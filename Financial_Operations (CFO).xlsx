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hidePivotFieldList="1"/>
  <xr:revisionPtr revIDLastSave="0" documentId="8_{AF5E691F-01D3-4C6F-8AFD-5E3A14C0212F}" xr6:coauthVersionLast="47" xr6:coauthVersionMax="47" xr10:uidLastSave="{00000000-0000-0000-0000-000000000000}"/>
  <bookViews>
    <workbookView xWindow="0" yWindow="0" windowWidth="0" windowHeight="0" firstSheet="8" activeTab="4" xr2:uid="{00000000-000D-0000-FFFF-FFFF00000000}"/>
  </bookViews>
  <sheets>
    <sheet name="Financial_Operations_Data" sheetId="1" r:id="rId1"/>
    <sheet name="Dept. spending" sheetId="5" r:id="rId2"/>
    <sheet name="Expenses Category " sheetId="6" r:id="rId3"/>
    <sheet name="Anomaly" sheetId="7" r:id="rId4"/>
    <sheet name="Dashboard " sheetId="8" r:id="rId5"/>
    <sheet name="Region Expenses" sheetId="9" r:id="rId6"/>
    <sheet name="Vendor overspent " sheetId="10" r:id="rId7"/>
    <sheet name="Monthly burn cash" sheetId="11" r:id="rId8"/>
    <sheet name="Sheet1" sheetId="2" r:id="rId9"/>
  </sheets>
  <definedNames>
    <definedName name="_xlnm._FilterDatabase" localSheetId="8" hidden="1">Sheet1!$A$1:$M$1001</definedName>
    <definedName name="Slicer_Region">#N/A</definedName>
  </definedNames>
  <calcPr calcId="191028"/>
  <pivotCaches>
    <pivotCache cacheId="65" r:id="rId10"/>
  </pivotCaches>
  <extLst>
    <ext xmlns:x14="http://schemas.microsoft.com/office/spreadsheetml/2009/9/main" uri="{BBE1A952-AA13-448e-AADC-164F8A28A991}">
      <x14:slicerCaches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02" i="2" l="1"/>
  <c r="G1002" i="2"/>
  <c r="B4" i="8"/>
  <c r="D4" i="8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T12" i="2"/>
  <c r="T13" i="2"/>
  <c r="T11" i="2"/>
  <c r="I1002" i="2"/>
  <c r="I1048576" i="2"/>
  <c r="P2" i="2"/>
  <c r="Q2" i="2" s="1"/>
  <c r="P3" i="2"/>
  <c r="Q3" i="2" s="1"/>
  <c r="P4" i="2"/>
  <c r="Q4" i="2" s="1"/>
  <c r="P5" i="2"/>
  <c r="Q5" i="2" s="1"/>
  <c r="P6" i="2"/>
  <c r="Q6" i="2" s="1"/>
  <c r="P7" i="2"/>
  <c r="Q7" i="2" s="1"/>
  <c r="P8" i="2"/>
  <c r="Q8" i="2" s="1"/>
  <c r="P9" i="2"/>
  <c r="Q9" i="2" s="1"/>
  <c r="P10" i="2"/>
  <c r="Q10" i="2" s="1"/>
  <c r="P11" i="2"/>
  <c r="Q11" i="2" s="1"/>
  <c r="P12" i="2"/>
  <c r="Q12" i="2" s="1"/>
  <c r="P13" i="2"/>
  <c r="Q13" i="2" s="1"/>
  <c r="P14" i="2"/>
  <c r="Q14" i="2" s="1"/>
  <c r="P15" i="2"/>
  <c r="Q15" i="2" s="1"/>
  <c r="P16" i="2"/>
  <c r="Q16" i="2" s="1"/>
  <c r="P17" i="2"/>
  <c r="Q17" i="2" s="1"/>
  <c r="P18" i="2"/>
  <c r="Q18" i="2" s="1"/>
  <c r="P19" i="2"/>
  <c r="Q19" i="2" s="1"/>
  <c r="P20" i="2"/>
  <c r="Q20" i="2" s="1"/>
  <c r="P21" i="2"/>
  <c r="Q21" i="2" s="1"/>
  <c r="P22" i="2"/>
  <c r="Q22" i="2" s="1"/>
  <c r="P23" i="2"/>
  <c r="Q23" i="2" s="1"/>
  <c r="P24" i="2"/>
  <c r="Q24" i="2" s="1"/>
  <c r="P25" i="2"/>
  <c r="Q25" i="2" s="1"/>
  <c r="P26" i="2"/>
  <c r="Q26" i="2" s="1"/>
  <c r="P27" i="2"/>
  <c r="Q27" i="2" s="1"/>
  <c r="P28" i="2"/>
  <c r="Q28" i="2" s="1"/>
  <c r="P29" i="2"/>
  <c r="Q29" i="2" s="1"/>
  <c r="P30" i="2"/>
  <c r="Q30" i="2" s="1"/>
  <c r="P31" i="2"/>
  <c r="Q31" i="2" s="1"/>
  <c r="P32" i="2"/>
  <c r="Q32" i="2" s="1"/>
  <c r="P33" i="2"/>
  <c r="Q33" i="2" s="1"/>
  <c r="P34" i="2"/>
  <c r="Q34" i="2" s="1"/>
  <c r="P35" i="2"/>
  <c r="Q35" i="2" s="1"/>
  <c r="P36" i="2"/>
  <c r="Q36" i="2" s="1"/>
  <c r="P37" i="2"/>
  <c r="Q37" i="2" s="1"/>
  <c r="P38" i="2"/>
  <c r="Q38" i="2" s="1"/>
  <c r="P39" i="2"/>
  <c r="Q39" i="2" s="1"/>
  <c r="P40" i="2"/>
  <c r="Q40" i="2" s="1"/>
  <c r="P41" i="2"/>
  <c r="Q41" i="2" s="1"/>
  <c r="P42" i="2"/>
  <c r="Q42" i="2" s="1"/>
  <c r="P43" i="2"/>
  <c r="Q43" i="2" s="1"/>
  <c r="P44" i="2"/>
  <c r="Q44" i="2" s="1"/>
  <c r="P45" i="2"/>
  <c r="Q45" i="2" s="1"/>
  <c r="P46" i="2"/>
  <c r="Q46" i="2" s="1"/>
  <c r="P47" i="2"/>
  <c r="Q47" i="2" s="1"/>
  <c r="P48" i="2"/>
  <c r="Q48" i="2" s="1"/>
  <c r="P49" i="2"/>
  <c r="Q49" i="2" s="1"/>
  <c r="P50" i="2"/>
  <c r="Q50" i="2" s="1"/>
  <c r="P51" i="2"/>
  <c r="Q51" i="2" s="1"/>
  <c r="P52" i="2"/>
  <c r="Q52" i="2" s="1"/>
  <c r="P53" i="2"/>
  <c r="Q53" i="2" s="1"/>
  <c r="P54" i="2"/>
  <c r="Q54" i="2" s="1"/>
  <c r="P55" i="2"/>
  <c r="Q55" i="2" s="1"/>
  <c r="P56" i="2"/>
  <c r="Q56" i="2" s="1"/>
  <c r="P57" i="2"/>
  <c r="Q57" i="2" s="1"/>
  <c r="P58" i="2"/>
  <c r="Q58" i="2" s="1"/>
  <c r="P59" i="2"/>
  <c r="Q59" i="2" s="1"/>
  <c r="P60" i="2"/>
  <c r="Q60" i="2" s="1"/>
  <c r="P61" i="2"/>
  <c r="Q61" i="2" s="1"/>
  <c r="P62" i="2"/>
  <c r="Q62" i="2" s="1"/>
  <c r="P63" i="2"/>
  <c r="Q63" i="2" s="1"/>
  <c r="P64" i="2"/>
  <c r="Q64" i="2" s="1"/>
  <c r="P65" i="2"/>
  <c r="Q65" i="2" s="1"/>
  <c r="P66" i="2"/>
  <c r="Q66" i="2" s="1"/>
  <c r="P67" i="2"/>
  <c r="Q67" i="2" s="1"/>
  <c r="P68" i="2"/>
  <c r="Q68" i="2" s="1"/>
  <c r="P69" i="2"/>
  <c r="Q69" i="2" s="1"/>
  <c r="P70" i="2"/>
  <c r="Q70" i="2" s="1"/>
  <c r="P71" i="2"/>
  <c r="Q71" i="2" s="1"/>
  <c r="P72" i="2"/>
  <c r="Q72" i="2" s="1"/>
  <c r="P73" i="2"/>
  <c r="Q73" i="2" s="1"/>
  <c r="P74" i="2"/>
  <c r="Q74" i="2" s="1"/>
  <c r="P75" i="2"/>
  <c r="Q75" i="2" s="1"/>
  <c r="P76" i="2"/>
  <c r="Q76" i="2" s="1"/>
  <c r="P77" i="2"/>
  <c r="Q77" i="2" s="1"/>
  <c r="P78" i="2"/>
  <c r="Q78" i="2" s="1"/>
  <c r="P79" i="2"/>
  <c r="Q79" i="2" s="1"/>
  <c r="P80" i="2"/>
  <c r="Q80" i="2" s="1"/>
  <c r="P81" i="2"/>
  <c r="Q81" i="2" s="1"/>
  <c r="P82" i="2"/>
  <c r="Q82" i="2" s="1"/>
  <c r="P83" i="2"/>
  <c r="Q83" i="2" s="1"/>
  <c r="P84" i="2"/>
  <c r="Q84" i="2" s="1"/>
  <c r="P85" i="2"/>
  <c r="Q85" i="2" s="1"/>
  <c r="P86" i="2"/>
  <c r="Q86" i="2" s="1"/>
  <c r="P87" i="2"/>
  <c r="Q87" i="2" s="1"/>
  <c r="P88" i="2"/>
  <c r="Q88" i="2" s="1"/>
  <c r="P89" i="2"/>
  <c r="Q89" i="2" s="1"/>
  <c r="P90" i="2"/>
  <c r="Q90" i="2" s="1"/>
  <c r="P91" i="2"/>
  <c r="Q91" i="2" s="1"/>
  <c r="P92" i="2"/>
  <c r="Q92" i="2" s="1"/>
  <c r="P93" i="2"/>
  <c r="Q93" i="2" s="1"/>
  <c r="P94" i="2"/>
  <c r="Q94" i="2" s="1"/>
  <c r="P95" i="2"/>
  <c r="Q95" i="2" s="1"/>
  <c r="P96" i="2"/>
  <c r="Q96" i="2" s="1"/>
  <c r="P97" i="2"/>
  <c r="Q97" i="2" s="1"/>
  <c r="P98" i="2"/>
  <c r="Q98" i="2" s="1"/>
  <c r="P99" i="2"/>
  <c r="Q99" i="2" s="1"/>
  <c r="P100" i="2"/>
  <c r="Q100" i="2" s="1"/>
  <c r="P101" i="2"/>
  <c r="Q101" i="2" s="1"/>
  <c r="P102" i="2"/>
  <c r="Q102" i="2" s="1"/>
  <c r="P103" i="2"/>
  <c r="Q103" i="2" s="1"/>
  <c r="P104" i="2"/>
  <c r="Q104" i="2" s="1"/>
  <c r="P105" i="2"/>
  <c r="Q105" i="2" s="1"/>
  <c r="P106" i="2"/>
  <c r="Q106" i="2" s="1"/>
  <c r="P107" i="2"/>
  <c r="Q107" i="2" s="1"/>
  <c r="P108" i="2"/>
  <c r="Q108" i="2" s="1"/>
  <c r="P109" i="2"/>
  <c r="Q109" i="2" s="1"/>
  <c r="P110" i="2"/>
  <c r="Q110" i="2" s="1"/>
  <c r="P111" i="2"/>
  <c r="Q111" i="2" s="1"/>
  <c r="P112" i="2"/>
  <c r="Q112" i="2" s="1"/>
  <c r="P113" i="2"/>
  <c r="Q113" i="2" s="1"/>
  <c r="P114" i="2"/>
  <c r="Q114" i="2" s="1"/>
  <c r="P115" i="2"/>
  <c r="Q115" i="2" s="1"/>
  <c r="P116" i="2"/>
  <c r="Q116" i="2" s="1"/>
  <c r="P117" i="2"/>
  <c r="Q117" i="2" s="1"/>
  <c r="P118" i="2"/>
  <c r="Q118" i="2" s="1"/>
  <c r="P119" i="2"/>
  <c r="Q119" i="2" s="1"/>
  <c r="P120" i="2"/>
  <c r="Q120" i="2" s="1"/>
  <c r="P121" i="2"/>
  <c r="Q121" i="2" s="1"/>
  <c r="P122" i="2"/>
  <c r="Q122" i="2" s="1"/>
  <c r="P123" i="2"/>
  <c r="Q123" i="2" s="1"/>
  <c r="P124" i="2"/>
  <c r="Q124" i="2" s="1"/>
  <c r="P125" i="2"/>
  <c r="Q125" i="2" s="1"/>
  <c r="P126" i="2"/>
  <c r="Q126" i="2" s="1"/>
  <c r="P127" i="2"/>
  <c r="Q127" i="2" s="1"/>
  <c r="P128" i="2"/>
  <c r="Q128" i="2" s="1"/>
  <c r="P129" i="2"/>
  <c r="Q129" i="2" s="1"/>
  <c r="P130" i="2"/>
  <c r="Q130" i="2" s="1"/>
  <c r="P131" i="2"/>
  <c r="Q131" i="2" s="1"/>
  <c r="P132" i="2"/>
  <c r="Q132" i="2" s="1"/>
  <c r="P133" i="2"/>
  <c r="Q133" i="2" s="1"/>
  <c r="P134" i="2"/>
  <c r="Q134" i="2" s="1"/>
  <c r="P135" i="2"/>
  <c r="Q135" i="2" s="1"/>
  <c r="P136" i="2"/>
  <c r="Q136" i="2" s="1"/>
  <c r="P137" i="2"/>
  <c r="Q137" i="2" s="1"/>
  <c r="P138" i="2"/>
  <c r="Q138" i="2" s="1"/>
  <c r="P139" i="2"/>
  <c r="Q139" i="2" s="1"/>
  <c r="P140" i="2"/>
  <c r="Q140" i="2" s="1"/>
  <c r="P141" i="2"/>
  <c r="Q141" i="2" s="1"/>
  <c r="P142" i="2"/>
  <c r="Q142" i="2" s="1"/>
  <c r="P143" i="2"/>
  <c r="Q143" i="2" s="1"/>
  <c r="P144" i="2"/>
  <c r="Q144" i="2" s="1"/>
  <c r="P145" i="2"/>
  <c r="Q145" i="2" s="1"/>
  <c r="P146" i="2"/>
  <c r="Q146" i="2" s="1"/>
  <c r="P147" i="2"/>
  <c r="Q147" i="2" s="1"/>
  <c r="P148" i="2"/>
  <c r="Q148" i="2" s="1"/>
  <c r="P149" i="2"/>
  <c r="Q149" i="2" s="1"/>
  <c r="P150" i="2"/>
  <c r="Q150" i="2" s="1"/>
  <c r="P151" i="2"/>
  <c r="Q151" i="2" s="1"/>
  <c r="P152" i="2"/>
  <c r="Q152" i="2" s="1"/>
  <c r="P153" i="2"/>
  <c r="Q153" i="2" s="1"/>
  <c r="P154" i="2"/>
  <c r="Q154" i="2" s="1"/>
  <c r="P155" i="2"/>
  <c r="Q155" i="2" s="1"/>
  <c r="P156" i="2"/>
  <c r="Q156" i="2" s="1"/>
  <c r="P157" i="2"/>
  <c r="Q157" i="2" s="1"/>
  <c r="P158" i="2"/>
  <c r="Q158" i="2" s="1"/>
  <c r="P159" i="2"/>
  <c r="Q159" i="2" s="1"/>
  <c r="P160" i="2"/>
  <c r="Q160" i="2" s="1"/>
  <c r="P161" i="2"/>
  <c r="Q161" i="2" s="1"/>
  <c r="P162" i="2"/>
  <c r="Q162" i="2" s="1"/>
  <c r="P163" i="2"/>
  <c r="Q163" i="2" s="1"/>
  <c r="P164" i="2"/>
  <c r="Q164" i="2" s="1"/>
  <c r="P165" i="2"/>
  <c r="Q165" i="2" s="1"/>
  <c r="P166" i="2"/>
  <c r="Q166" i="2" s="1"/>
  <c r="P167" i="2"/>
  <c r="Q167" i="2" s="1"/>
  <c r="P168" i="2"/>
  <c r="Q168" i="2" s="1"/>
  <c r="P169" i="2"/>
  <c r="Q169" i="2" s="1"/>
  <c r="P170" i="2"/>
  <c r="Q170" i="2" s="1"/>
  <c r="P171" i="2"/>
  <c r="Q171" i="2" s="1"/>
  <c r="P172" i="2"/>
  <c r="Q172" i="2" s="1"/>
  <c r="P173" i="2"/>
  <c r="Q173" i="2" s="1"/>
  <c r="P174" i="2"/>
  <c r="Q174" i="2" s="1"/>
  <c r="P175" i="2"/>
  <c r="Q175" i="2" s="1"/>
  <c r="P176" i="2"/>
  <c r="Q176" i="2" s="1"/>
  <c r="P177" i="2"/>
  <c r="Q177" i="2" s="1"/>
  <c r="P178" i="2"/>
  <c r="Q178" i="2" s="1"/>
  <c r="P179" i="2"/>
  <c r="Q179" i="2" s="1"/>
  <c r="P180" i="2"/>
  <c r="Q180" i="2" s="1"/>
  <c r="P181" i="2"/>
  <c r="Q181" i="2" s="1"/>
  <c r="P182" i="2"/>
  <c r="Q182" i="2" s="1"/>
  <c r="P183" i="2"/>
  <c r="Q183" i="2" s="1"/>
  <c r="P184" i="2"/>
  <c r="Q184" i="2" s="1"/>
  <c r="P185" i="2"/>
  <c r="Q185" i="2" s="1"/>
  <c r="P186" i="2"/>
  <c r="Q186" i="2" s="1"/>
  <c r="P187" i="2"/>
  <c r="Q187" i="2" s="1"/>
  <c r="P188" i="2"/>
  <c r="Q188" i="2" s="1"/>
  <c r="P189" i="2"/>
  <c r="Q189" i="2" s="1"/>
  <c r="P190" i="2"/>
  <c r="Q190" i="2" s="1"/>
  <c r="P191" i="2"/>
  <c r="Q191" i="2" s="1"/>
  <c r="P192" i="2"/>
  <c r="Q192" i="2" s="1"/>
  <c r="P193" i="2"/>
  <c r="Q193" i="2" s="1"/>
  <c r="P194" i="2"/>
  <c r="Q194" i="2" s="1"/>
  <c r="P195" i="2"/>
  <c r="Q195" i="2" s="1"/>
  <c r="P196" i="2"/>
  <c r="Q196" i="2" s="1"/>
  <c r="P197" i="2"/>
  <c r="Q197" i="2" s="1"/>
  <c r="P198" i="2"/>
  <c r="Q198" i="2" s="1"/>
  <c r="P199" i="2"/>
  <c r="Q199" i="2" s="1"/>
  <c r="P200" i="2"/>
  <c r="Q200" i="2" s="1"/>
  <c r="P201" i="2"/>
  <c r="Q201" i="2" s="1"/>
  <c r="P202" i="2"/>
  <c r="Q202" i="2" s="1"/>
  <c r="P203" i="2"/>
  <c r="Q203" i="2" s="1"/>
  <c r="P204" i="2"/>
  <c r="Q204" i="2" s="1"/>
  <c r="P205" i="2"/>
  <c r="Q205" i="2" s="1"/>
  <c r="P206" i="2"/>
  <c r="Q206" i="2" s="1"/>
  <c r="P207" i="2"/>
  <c r="Q207" i="2" s="1"/>
  <c r="P208" i="2"/>
  <c r="Q208" i="2" s="1"/>
  <c r="P209" i="2"/>
  <c r="Q209" i="2" s="1"/>
  <c r="P210" i="2"/>
  <c r="Q210" i="2" s="1"/>
  <c r="P211" i="2"/>
  <c r="Q211" i="2" s="1"/>
  <c r="P212" i="2"/>
  <c r="Q212" i="2" s="1"/>
  <c r="P213" i="2"/>
  <c r="Q213" i="2" s="1"/>
  <c r="P214" i="2"/>
  <c r="Q214" i="2" s="1"/>
  <c r="P215" i="2"/>
  <c r="Q215" i="2" s="1"/>
  <c r="P216" i="2"/>
  <c r="Q216" i="2" s="1"/>
  <c r="P217" i="2"/>
  <c r="Q217" i="2" s="1"/>
  <c r="P218" i="2"/>
  <c r="Q218" i="2" s="1"/>
  <c r="P219" i="2"/>
  <c r="Q219" i="2" s="1"/>
  <c r="P220" i="2"/>
  <c r="Q220" i="2" s="1"/>
  <c r="P221" i="2"/>
  <c r="Q221" i="2" s="1"/>
  <c r="P222" i="2"/>
  <c r="Q222" i="2" s="1"/>
  <c r="P223" i="2"/>
  <c r="Q223" i="2" s="1"/>
  <c r="P224" i="2"/>
  <c r="Q224" i="2" s="1"/>
  <c r="P225" i="2"/>
  <c r="Q225" i="2" s="1"/>
  <c r="P226" i="2"/>
  <c r="Q226" i="2" s="1"/>
  <c r="P227" i="2"/>
  <c r="Q227" i="2" s="1"/>
  <c r="P228" i="2"/>
  <c r="Q228" i="2" s="1"/>
  <c r="P229" i="2"/>
  <c r="Q229" i="2" s="1"/>
  <c r="P230" i="2"/>
  <c r="Q230" i="2" s="1"/>
  <c r="P231" i="2"/>
  <c r="Q231" i="2" s="1"/>
  <c r="P232" i="2"/>
  <c r="Q232" i="2" s="1"/>
  <c r="P233" i="2"/>
  <c r="Q233" i="2" s="1"/>
  <c r="P234" i="2"/>
  <c r="Q234" i="2" s="1"/>
  <c r="P235" i="2"/>
  <c r="Q235" i="2" s="1"/>
  <c r="P236" i="2"/>
  <c r="Q236" i="2" s="1"/>
  <c r="P237" i="2"/>
  <c r="Q237" i="2" s="1"/>
  <c r="P238" i="2"/>
  <c r="Q238" i="2" s="1"/>
  <c r="P239" i="2"/>
  <c r="Q239" i="2" s="1"/>
  <c r="P240" i="2"/>
  <c r="Q240" i="2" s="1"/>
  <c r="P241" i="2"/>
  <c r="Q241" i="2" s="1"/>
  <c r="P242" i="2"/>
  <c r="Q242" i="2" s="1"/>
  <c r="P243" i="2"/>
  <c r="Q243" i="2" s="1"/>
  <c r="P244" i="2"/>
  <c r="Q244" i="2" s="1"/>
  <c r="P245" i="2"/>
  <c r="Q245" i="2" s="1"/>
  <c r="P246" i="2"/>
  <c r="Q246" i="2" s="1"/>
  <c r="P247" i="2"/>
  <c r="Q247" i="2" s="1"/>
  <c r="P248" i="2"/>
  <c r="Q248" i="2" s="1"/>
  <c r="P249" i="2"/>
  <c r="Q249" i="2" s="1"/>
  <c r="P250" i="2"/>
  <c r="Q250" i="2" s="1"/>
  <c r="P251" i="2"/>
  <c r="Q251" i="2" s="1"/>
  <c r="P252" i="2"/>
  <c r="Q252" i="2" s="1"/>
  <c r="P253" i="2"/>
  <c r="Q253" i="2" s="1"/>
  <c r="P254" i="2"/>
  <c r="Q254" i="2" s="1"/>
  <c r="P255" i="2"/>
  <c r="Q255" i="2" s="1"/>
  <c r="P256" i="2"/>
  <c r="Q256" i="2" s="1"/>
  <c r="P257" i="2"/>
  <c r="Q257" i="2" s="1"/>
  <c r="P258" i="2"/>
  <c r="Q258" i="2" s="1"/>
  <c r="P259" i="2"/>
  <c r="Q259" i="2" s="1"/>
  <c r="P260" i="2"/>
  <c r="Q260" i="2" s="1"/>
  <c r="P261" i="2"/>
  <c r="Q261" i="2" s="1"/>
  <c r="P262" i="2"/>
  <c r="Q262" i="2" s="1"/>
  <c r="P263" i="2"/>
  <c r="Q263" i="2" s="1"/>
  <c r="P264" i="2"/>
  <c r="Q264" i="2" s="1"/>
  <c r="P265" i="2"/>
  <c r="Q265" i="2" s="1"/>
  <c r="P266" i="2"/>
  <c r="Q266" i="2" s="1"/>
  <c r="P267" i="2"/>
  <c r="Q267" i="2" s="1"/>
  <c r="P268" i="2"/>
  <c r="Q268" i="2" s="1"/>
  <c r="P269" i="2"/>
  <c r="Q269" i="2" s="1"/>
  <c r="P270" i="2"/>
  <c r="Q270" i="2" s="1"/>
  <c r="P271" i="2"/>
  <c r="Q271" i="2" s="1"/>
  <c r="P272" i="2"/>
  <c r="Q272" i="2" s="1"/>
  <c r="P273" i="2"/>
  <c r="Q273" i="2" s="1"/>
  <c r="P274" i="2"/>
  <c r="Q274" i="2" s="1"/>
  <c r="P275" i="2"/>
  <c r="Q275" i="2" s="1"/>
  <c r="P276" i="2"/>
  <c r="Q276" i="2" s="1"/>
  <c r="P277" i="2"/>
  <c r="Q277" i="2" s="1"/>
  <c r="P278" i="2"/>
  <c r="Q278" i="2" s="1"/>
  <c r="P279" i="2"/>
  <c r="Q279" i="2" s="1"/>
  <c r="P280" i="2"/>
  <c r="Q280" i="2" s="1"/>
  <c r="P281" i="2"/>
  <c r="Q281" i="2" s="1"/>
  <c r="P282" i="2"/>
  <c r="Q282" i="2" s="1"/>
  <c r="P283" i="2"/>
  <c r="Q283" i="2" s="1"/>
  <c r="P284" i="2"/>
  <c r="Q284" i="2" s="1"/>
  <c r="P285" i="2"/>
  <c r="Q285" i="2" s="1"/>
  <c r="P286" i="2"/>
  <c r="Q286" i="2" s="1"/>
  <c r="P287" i="2"/>
  <c r="Q287" i="2" s="1"/>
  <c r="P288" i="2"/>
  <c r="Q288" i="2" s="1"/>
  <c r="P289" i="2"/>
  <c r="Q289" i="2" s="1"/>
  <c r="P290" i="2"/>
  <c r="Q290" i="2" s="1"/>
  <c r="P291" i="2"/>
  <c r="Q291" i="2" s="1"/>
  <c r="P292" i="2"/>
  <c r="Q292" i="2" s="1"/>
  <c r="P293" i="2"/>
  <c r="Q293" i="2" s="1"/>
  <c r="P294" i="2"/>
  <c r="Q294" i="2" s="1"/>
  <c r="P295" i="2"/>
  <c r="Q295" i="2" s="1"/>
  <c r="P296" i="2"/>
  <c r="Q296" i="2" s="1"/>
  <c r="P297" i="2"/>
  <c r="Q297" i="2" s="1"/>
  <c r="P298" i="2"/>
  <c r="Q298" i="2" s="1"/>
  <c r="P299" i="2"/>
  <c r="Q299" i="2" s="1"/>
  <c r="P300" i="2"/>
  <c r="Q300" i="2" s="1"/>
  <c r="P301" i="2"/>
  <c r="Q301" i="2" s="1"/>
  <c r="P302" i="2"/>
  <c r="Q302" i="2" s="1"/>
  <c r="P303" i="2"/>
  <c r="Q303" i="2" s="1"/>
  <c r="P304" i="2"/>
  <c r="Q304" i="2" s="1"/>
  <c r="P305" i="2"/>
  <c r="Q305" i="2" s="1"/>
  <c r="P306" i="2"/>
  <c r="Q306" i="2" s="1"/>
  <c r="P307" i="2"/>
  <c r="Q307" i="2" s="1"/>
  <c r="P308" i="2"/>
  <c r="Q308" i="2" s="1"/>
  <c r="P309" i="2"/>
  <c r="Q309" i="2" s="1"/>
  <c r="P310" i="2"/>
  <c r="Q310" i="2" s="1"/>
  <c r="P311" i="2"/>
  <c r="Q311" i="2" s="1"/>
  <c r="P312" i="2"/>
  <c r="Q312" i="2" s="1"/>
  <c r="P313" i="2"/>
  <c r="Q313" i="2" s="1"/>
  <c r="P314" i="2"/>
  <c r="Q314" i="2" s="1"/>
  <c r="P315" i="2"/>
  <c r="Q315" i="2" s="1"/>
  <c r="P316" i="2"/>
  <c r="Q316" i="2" s="1"/>
  <c r="P317" i="2"/>
  <c r="Q317" i="2" s="1"/>
  <c r="P318" i="2"/>
  <c r="Q318" i="2" s="1"/>
  <c r="P319" i="2"/>
  <c r="Q319" i="2" s="1"/>
  <c r="P320" i="2"/>
  <c r="Q320" i="2" s="1"/>
  <c r="P321" i="2"/>
  <c r="Q321" i="2" s="1"/>
  <c r="P322" i="2"/>
  <c r="Q322" i="2" s="1"/>
  <c r="P323" i="2"/>
  <c r="Q323" i="2" s="1"/>
  <c r="P324" i="2"/>
  <c r="Q324" i="2" s="1"/>
  <c r="P325" i="2"/>
  <c r="Q325" i="2" s="1"/>
  <c r="P326" i="2"/>
  <c r="Q326" i="2" s="1"/>
  <c r="P327" i="2"/>
  <c r="Q327" i="2" s="1"/>
  <c r="P328" i="2"/>
  <c r="Q328" i="2" s="1"/>
  <c r="P329" i="2"/>
  <c r="Q329" i="2" s="1"/>
  <c r="P330" i="2"/>
  <c r="Q330" i="2" s="1"/>
  <c r="P331" i="2"/>
  <c r="Q331" i="2" s="1"/>
  <c r="P332" i="2"/>
  <c r="Q332" i="2" s="1"/>
  <c r="P333" i="2"/>
  <c r="Q333" i="2" s="1"/>
  <c r="P334" i="2"/>
  <c r="Q334" i="2" s="1"/>
  <c r="P335" i="2"/>
  <c r="Q335" i="2" s="1"/>
  <c r="P336" i="2"/>
  <c r="Q336" i="2" s="1"/>
  <c r="P337" i="2"/>
  <c r="Q337" i="2" s="1"/>
  <c r="P338" i="2"/>
  <c r="Q338" i="2" s="1"/>
  <c r="P339" i="2"/>
  <c r="Q339" i="2" s="1"/>
  <c r="P340" i="2"/>
  <c r="Q340" i="2" s="1"/>
  <c r="P341" i="2"/>
  <c r="Q341" i="2" s="1"/>
  <c r="P342" i="2"/>
  <c r="Q342" i="2" s="1"/>
  <c r="P343" i="2"/>
  <c r="Q343" i="2" s="1"/>
  <c r="P344" i="2"/>
  <c r="Q344" i="2" s="1"/>
  <c r="P345" i="2"/>
  <c r="Q345" i="2" s="1"/>
  <c r="P346" i="2"/>
  <c r="Q346" i="2" s="1"/>
  <c r="P347" i="2"/>
  <c r="Q347" i="2" s="1"/>
  <c r="P348" i="2"/>
  <c r="Q348" i="2" s="1"/>
  <c r="P349" i="2"/>
  <c r="Q349" i="2" s="1"/>
  <c r="P350" i="2"/>
  <c r="Q350" i="2" s="1"/>
  <c r="P351" i="2"/>
  <c r="Q351" i="2" s="1"/>
  <c r="P352" i="2"/>
  <c r="Q352" i="2" s="1"/>
  <c r="P353" i="2"/>
  <c r="Q353" i="2" s="1"/>
  <c r="P354" i="2"/>
  <c r="Q354" i="2" s="1"/>
  <c r="P355" i="2"/>
  <c r="Q355" i="2" s="1"/>
  <c r="P356" i="2"/>
  <c r="Q356" i="2" s="1"/>
  <c r="P357" i="2"/>
  <c r="Q357" i="2" s="1"/>
  <c r="P358" i="2"/>
  <c r="Q358" i="2" s="1"/>
  <c r="P359" i="2"/>
  <c r="Q359" i="2" s="1"/>
  <c r="P360" i="2"/>
  <c r="Q360" i="2" s="1"/>
  <c r="P361" i="2"/>
  <c r="Q361" i="2" s="1"/>
  <c r="P362" i="2"/>
  <c r="Q362" i="2" s="1"/>
  <c r="P363" i="2"/>
  <c r="Q363" i="2" s="1"/>
  <c r="P364" i="2"/>
  <c r="Q364" i="2" s="1"/>
  <c r="P365" i="2"/>
  <c r="Q365" i="2" s="1"/>
  <c r="P366" i="2"/>
  <c r="Q366" i="2" s="1"/>
  <c r="P367" i="2"/>
  <c r="Q367" i="2" s="1"/>
  <c r="P368" i="2"/>
  <c r="Q368" i="2" s="1"/>
  <c r="P369" i="2"/>
  <c r="Q369" i="2" s="1"/>
  <c r="P370" i="2"/>
  <c r="Q370" i="2" s="1"/>
  <c r="P371" i="2"/>
  <c r="Q371" i="2" s="1"/>
  <c r="P372" i="2"/>
  <c r="Q372" i="2" s="1"/>
  <c r="P373" i="2"/>
  <c r="Q373" i="2" s="1"/>
  <c r="P374" i="2"/>
  <c r="Q374" i="2" s="1"/>
  <c r="P375" i="2"/>
  <c r="Q375" i="2" s="1"/>
  <c r="P376" i="2"/>
  <c r="Q376" i="2" s="1"/>
  <c r="P377" i="2"/>
  <c r="Q377" i="2" s="1"/>
  <c r="P378" i="2"/>
  <c r="Q378" i="2" s="1"/>
  <c r="P379" i="2"/>
  <c r="Q379" i="2" s="1"/>
  <c r="P380" i="2"/>
  <c r="Q380" i="2" s="1"/>
  <c r="P381" i="2"/>
  <c r="Q381" i="2" s="1"/>
  <c r="P382" i="2"/>
  <c r="Q382" i="2" s="1"/>
  <c r="P383" i="2"/>
  <c r="Q383" i="2" s="1"/>
  <c r="P384" i="2"/>
  <c r="Q384" i="2" s="1"/>
  <c r="P385" i="2"/>
  <c r="Q385" i="2" s="1"/>
  <c r="P386" i="2"/>
  <c r="Q386" i="2" s="1"/>
  <c r="P387" i="2"/>
  <c r="Q387" i="2" s="1"/>
  <c r="P388" i="2"/>
  <c r="Q388" i="2" s="1"/>
  <c r="P389" i="2"/>
  <c r="Q389" i="2" s="1"/>
  <c r="P390" i="2"/>
  <c r="Q390" i="2" s="1"/>
  <c r="P391" i="2"/>
  <c r="Q391" i="2" s="1"/>
  <c r="P392" i="2"/>
  <c r="Q392" i="2" s="1"/>
  <c r="P393" i="2"/>
  <c r="Q393" i="2" s="1"/>
  <c r="P394" i="2"/>
  <c r="Q394" i="2" s="1"/>
  <c r="P395" i="2"/>
  <c r="Q395" i="2" s="1"/>
  <c r="P396" i="2"/>
  <c r="Q396" i="2" s="1"/>
  <c r="P397" i="2"/>
  <c r="Q397" i="2" s="1"/>
  <c r="P398" i="2"/>
  <c r="Q398" i="2" s="1"/>
  <c r="P399" i="2"/>
  <c r="Q399" i="2" s="1"/>
  <c r="P400" i="2"/>
  <c r="Q400" i="2" s="1"/>
  <c r="P401" i="2"/>
  <c r="Q401" i="2" s="1"/>
  <c r="P402" i="2"/>
  <c r="Q402" i="2" s="1"/>
  <c r="P403" i="2"/>
  <c r="Q403" i="2" s="1"/>
  <c r="P404" i="2"/>
  <c r="Q404" i="2" s="1"/>
  <c r="P405" i="2"/>
  <c r="Q405" i="2" s="1"/>
  <c r="P406" i="2"/>
  <c r="Q406" i="2" s="1"/>
  <c r="P407" i="2"/>
  <c r="Q407" i="2" s="1"/>
  <c r="P408" i="2"/>
  <c r="Q408" i="2" s="1"/>
  <c r="P409" i="2"/>
  <c r="Q409" i="2" s="1"/>
  <c r="P410" i="2"/>
  <c r="Q410" i="2" s="1"/>
  <c r="P411" i="2"/>
  <c r="Q411" i="2" s="1"/>
  <c r="P412" i="2"/>
  <c r="Q412" i="2" s="1"/>
  <c r="P413" i="2"/>
  <c r="Q413" i="2" s="1"/>
  <c r="P414" i="2"/>
  <c r="Q414" i="2" s="1"/>
  <c r="P415" i="2"/>
  <c r="Q415" i="2" s="1"/>
  <c r="P416" i="2"/>
  <c r="Q416" i="2" s="1"/>
  <c r="P417" i="2"/>
  <c r="Q417" i="2" s="1"/>
  <c r="P418" i="2"/>
  <c r="Q418" i="2" s="1"/>
  <c r="P419" i="2"/>
  <c r="Q419" i="2" s="1"/>
  <c r="P420" i="2"/>
  <c r="Q420" i="2" s="1"/>
  <c r="P421" i="2"/>
  <c r="Q421" i="2" s="1"/>
  <c r="P422" i="2"/>
  <c r="Q422" i="2" s="1"/>
  <c r="P423" i="2"/>
  <c r="Q423" i="2" s="1"/>
  <c r="P424" i="2"/>
  <c r="Q424" i="2" s="1"/>
  <c r="P425" i="2"/>
  <c r="Q425" i="2" s="1"/>
  <c r="P426" i="2"/>
  <c r="Q426" i="2" s="1"/>
  <c r="P427" i="2"/>
  <c r="Q427" i="2" s="1"/>
  <c r="P428" i="2"/>
  <c r="Q428" i="2" s="1"/>
  <c r="P429" i="2"/>
  <c r="Q429" i="2" s="1"/>
  <c r="P430" i="2"/>
  <c r="Q430" i="2" s="1"/>
  <c r="P431" i="2"/>
  <c r="Q431" i="2" s="1"/>
  <c r="P432" i="2"/>
  <c r="Q432" i="2" s="1"/>
  <c r="P433" i="2"/>
  <c r="Q433" i="2" s="1"/>
  <c r="P434" i="2"/>
  <c r="Q434" i="2" s="1"/>
  <c r="P435" i="2"/>
  <c r="Q435" i="2" s="1"/>
  <c r="P436" i="2"/>
  <c r="Q436" i="2" s="1"/>
  <c r="P437" i="2"/>
  <c r="Q437" i="2" s="1"/>
  <c r="P438" i="2"/>
  <c r="Q438" i="2" s="1"/>
  <c r="P439" i="2"/>
  <c r="Q439" i="2" s="1"/>
  <c r="P440" i="2"/>
  <c r="Q440" i="2" s="1"/>
  <c r="P441" i="2"/>
  <c r="Q441" i="2" s="1"/>
  <c r="P442" i="2"/>
  <c r="Q442" i="2" s="1"/>
  <c r="P443" i="2"/>
  <c r="Q443" i="2" s="1"/>
  <c r="P444" i="2"/>
  <c r="Q444" i="2" s="1"/>
  <c r="P445" i="2"/>
  <c r="Q445" i="2" s="1"/>
  <c r="P446" i="2"/>
  <c r="Q446" i="2" s="1"/>
  <c r="P447" i="2"/>
  <c r="Q447" i="2" s="1"/>
  <c r="P448" i="2"/>
  <c r="Q448" i="2" s="1"/>
  <c r="P449" i="2"/>
  <c r="Q449" i="2" s="1"/>
  <c r="P450" i="2"/>
  <c r="Q450" i="2" s="1"/>
  <c r="P451" i="2"/>
  <c r="Q451" i="2" s="1"/>
  <c r="P452" i="2"/>
  <c r="Q452" i="2" s="1"/>
  <c r="P453" i="2"/>
  <c r="Q453" i="2" s="1"/>
  <c r="P454" i="2"/>
  <c r="Q454" i="2" s="1"/>
  <c r="P455" i="2"/>
  <c r="Q455" i="2" s="1"/>
  <c r="P456" i="2"/>
  <c r="Q456" i="2" s="1"/>
  <c r="P457" i="2"/>
  <c r="Q457" i="2" s="1"/>
  <c r="P458" i="2"/>
  <c r="Q458" i="2" s="1"/>
  <c r="P459" i="2"/>
  <c r="Q459" i="2" s="1"/>
  <c r="P460" i="2"/>
  <c r="Q460" i="2" s="1"/>
  <c r="P461" i="2"/>
  <c r="Q461" i="2" s="1"/>
  <c r="P462" i="2"/>
  <c r="Q462" i="2" s="1"/>
  <c r="P463" i="2"/>
  <c r="Q463" i="2" s="1"/>
  <c r="P464" i="2"/>
  <c r="Q464" i="2" s="1"/>
  <c r="P465" i="2"/>
  <c r="Q465" i="2" s="1"/>
  <c r="P466" i="2"/>
  <c r="Q466" i="2" s="1"/>
  <c r="P467" i="2"/>
  <c r="Q467" i="2" s="1"/>
  <c r="P468" i="2"/>
  <c r="Q468" i="2" s="1"/>
  <c r="P469" i="2"/>
  <c r="Q469" i="2" s="1"/>
  <c r="P470" i="2"/>
  <c r="Q470" i="2" s="1"/>
  <c r="P471" i="2"/>
  <c r="Q471" i="2" s="1"/>
  <c r="P472" i="2"/>
  <c r="Q472" i="2" s="1"/>
  <c r="P473" i="2"/>
  <c r="Q473" i="2" s="1"/>
  <c r="P474" i="2"/>
  <c r="Q474" i="2" s="1"/>
  <c r="P475" i="2"/>
  <c r="Q475" i="2" s="1"/>
  <c r="P476" i="2"/>
  <c r="Q476" i="2" s="1"/>
  <c r="P477" i="2"/>
  <c r="Q477" i="2" s="1"/>
  <c r="P478" i="2"/>
  <c r="Q478" i="2" s="1"/>
  <c r="P479" i="2"/>
  <c r="Q479" i="2" s="1"/>
  <c r="P480" i="2"/>
  <c r="Q480" i="2" s="1"/>
  <c r="P481" i="2"/>
  <c r="Q481" i="2" s="1"/>
  <c r="P482" i="2"/>
  <c r="Q482" i="2" s="1"/>
  <c r="P483" i="2"/>
  <c r="Q483" i="2" s="1"/>
  <c r="P484" i="2"/>
  <c r="Q484" i="2" s="1"/>
  <c r="P485" i="2"/>
  <c r="Q485" i="2" s="1"/>
  <c r="P486" i="2"/>
  <c r="Q486" i="2" s="1"/>
  <c r="P487" i="2"/>
  <c r="Q487" i="2" s="1"/>
  <c r="P488" i="2"/>
  <c r="Q488" i="2" s="1"/>
  <c r="P489" i="2"/>
  <c r="Q489" i="2" s="1"/>
  <c r="P490" i="2"/>
  <c r="Q490" i="2" s="1"/>
  <c r="P491" i="2"/>
  <c r="Q491" i="2" s="1"/>
  <c r="P492" i="2"/>
  <c r="Q492" i="2" s="1"/>
  <c r="P493" i="2"/>
  <c r="Q493" i="2" s="1"/>
  <c r="P494" i="2"/>
  <c r="Q494" i="2" s="1"/>
  <c r="P495" i="2"/>
  <c r="Q495" i="2" s="1"/>
  <c r="P496" i="2"/>
  <c r="Q496" i="2" s="1"/>
  <c r="P497" i="2"/>
  <c r="Q497" i="2" s="1"/>
  <c r="P498" i="2"/>
  <c r="Q498" i="2" s="1"/>
  <c r="P499" i="2"/>
  <c r="Q499" i="2" s="1"/>
  <c r="P500" i="2"/>
  <c r="Q500" i="2" s="1"/>
  <c r="P501" i="2"/>
  <c r="Q501" i="2" s="1"/>
  <c r="P502" i="2"/>
  <c r="Q502" i="2" s="1"/>
  <c r="P503" i="2"/>
  <c r="Q503" i="2" s="1"/>
  <c r="P504" i="2"/>
  <c r="Q504" i="2" s="1"/>
  <c r="P505" i="2"/>
  <c r="Q505" i="2" s="1"/>
  <c r="P506" i="2"/>
  <c r="Q506" i="2" s="1"/>
  <c r="P507" i="2"/>
  <c r="Q507" i="2" s="1"/>
  <c r="P508" i="2"/>
  <c r="Q508" i="2" s="1"/>
  <c r="P509" i="2"/>
  <c r="Q509" i="2" s="1"/>
  <c r="P510" i="2"/>
  <c r="Q510" i="2" s="1"/>
  <c r="P511" i="2"/>
  <c r="Q511" i="2" s="1"/>
  <c r="P512" i="2"/>
  <c r="Q512" i="2" s="1"/>
  <c r="P513" i="2"/>
  <c r="Q513" i="2" s="1"/>
  <c r="P514" i="2"/>
  <c r="Q514" i="2" s="1"/>
  <c r="P515" i="2"/>
  <c r="Q515" i="2" s="1"/>
  <c r="P516" i="2"/>
  <c r="Q516" i="2" s="1"/>
  <c r="P517" i="2"/>
  <c r="Q517" i="2" s="1"/>
  <c r="P518" i="2"/>
  <c r="Q518" i="2" s="1"/>
  <c r="P519" i="2"/>
  <c r="Q519" i="2" s="1"/>
  <c r="P520" i="2"/>
  <c r="Q520" i="2" s="1"/>
  <c r="P521" i="2"/>
  <c r="Q521" i="2" s="1"/>
  <c r="P522" i="2"/>
  <c r="Q522" i="2" s="1"/>
  <c r="P523" i="2"/>
  <c r="Q523" i="2" s="1"/>
  <c r="P524" i="2"/>
  <c r="Q524" i="2" s="1"/>
  <c r="P525" i="2"/>
  <c r="Q525" i="2" s="1"/>
  <c r="P526" i="2"/>
  <c r="Q526" i="2" s="1"/>
  <c r="P527" i="2"/>
  <c r="Q527" i="2" s="1"/>
  <c r="P528" i="2"/>
  <c r="Q528" i="2" s="1"/>
  <c r="P529" i="2"/>
  <c r="Q529" i="2" s="1"/>
  <c r="P530" i="2"/>
  <c r="Q530" i="2" s="1"/>
  <c r="P531" i="2"/>
  <c r="Q531" i="2" s="1"/>
  <c r="P532" i="2"/>
  <c r="Q532" i="2" s="1"/>
  <c r="P533" i="2"/>
  <c r="Q533" i="2" s="1"/>
  <c r="P534" i="2"/>
  <c r="Q534" i="2" s="1"/>
  <c r="P535" i="2"/>
  <c r="Q535" i="2" s="1"/>
  <c r="P536" i="2"/>
  <c r="Q536" i="2" s="1"/>
  <c r="P537" i="2"/>
  <c r="Q537" i="2" s="1"/>
  <c r="P538" i="2"/>
  <c r="Q538" i="2" s="1"/>
  <c r="P539" i="2"/>
  <c r="Q539" i="2" s="1"/>
  <c r="P540" i="2"/>
  <c r="Q540" i="2" s="1"/>
  <c r="P541" i="2"/>
  <c r="Q541" i="2" s="1"/>
  <c r="P542" i="2"/>
  <c r="Q542" i="2" s="1"/>
  <c r="P543" i="2"/>
  <c r="Q543" i="2" s="1"/>
  <c r="P544" i="2"/>
  <c r="Q544" i="2" s="1"/>
  <c r="P545" i="2"/>
  <c r="Q545" i="2" s="1"/>
  <c r="P546" i="2"/>
  <c r="Q546" i="2" s="1"/>
  <c r="P547" i="2"/>
  <c r="Q547" i="2" s="1"/>
  <c r="P548" i="2"/>
  <c r="Q548" i="2" s="1"/>
  <c r="P549" i="2"/>
  <c r="Q549" i="2" s="1"/>
  <c r="P550" i="2"/>
  <c r="Q550" i="2" s="1"/>
  <c r="P551" i="2"/>
  <c r="Q551" i="2" s="1"/>
  <c r="P552" i="2"/>
  <c r="Q552" i="2" s="1"/>
  <c r="P553" i="2"/>
  <c r="Q553" i="2" s="1"/>
  <c r="P554" i="2"/>
  <c r="Q554" i="2" s="1"/>
  <c r="P555" i="2"/>
  <c r="Q555" i="2" s="1"/>
  <c r="P556" i="2"/>
  <c r="Q556" i="2" s="1"/>
  <c r="P557" i="2"/>
  <c r="Q557" i="2" s="1"/>
  <c r="P558" i="2"/>
  <c r="Q558" i="2" s="1"/>
  <c r="P559" i="2"/>
  <c r="Q559" i="2" s="1"/>
  <c r="P560" i="2"/>
  <c r="Q560" i="2" s="1"/>
  <c r="P561" i="2"/>
  <c r="Q561" i="2" s="1"/>
  <c r="P562" i="2"/>
  <c r="Q562" i="2" s="1"/>
  <c r="P563" i="2"/>
  <c r="Q563" i="2" s="1"/>
  <c r="P564" i="2"/>
  <c r="Q564" i="2" s="1"/>
  <c r="P565" i="2"/>
  <c r="Q565" i="2" s="1"/>
  <c r="P566" i="2"/>
  <c r="Q566" i="2" s="1"/>
  <c r="P567" i="2"/>
  <c r="Q567" i="2" s="1"/>
  <c r="P568" i="2"/>
  <c r="Q568" i="2" s="1"/>
  <c r="P569" i="2"/>
  <c r="Q569" i="2" s="1"/>
  <c r="P570" i="2"/>
  <c r="Q570" i="2" s="1"/>
  <c r="P571" i="2"/>
  <c r="Q571" i="2" s="1"/>
  <c r="P572" i="2"/>
  <c r="Q572" i="2" s="1"/>
  <c r="P573" i="2"/>
  <c r="Q573" i="2" s="1"/>
  <c r="P574" i="2"/>
  <c r="Q574" i="2" s="1"/>
  <c r="P575" i="2"/>
  <c r="Q575" i="2" s="1"/>
  <c r="P576" i="2"/>
  <c r="Q576" i="2" s="1"/>
  <c r="P577" i="2"/>
  <c r="Q577" i="2" s="1"/>
  <c r="P578" i="2"/>
  <c r="Q578" i="2" s="1"/>
  <c r="P579" i="2"/>
  <c r="Q579" i="2" s="1"/>
  <c r="P580" i="2"/>
  <c r="Q580" i="2" s="1"/>
  <c r="P581" i="2"/>
  <c r="Q581" i="2" s="1"/>
  <c r="P582" i="2"/>
  <c r="Q582" i="2" s="1"/>
  <c r="P583" i="2"/>
  <c r="Q583" i="2" s="1"/>
  <c r="P584" i="2"/>
  <c r="Q584" i="2" s="1"/>
  <c r="P585" i="2"/>
  <c r="Q585" i="2" s="1"/>
  <c r="P586" i="2"/>
  <c r="Q586" i="2" s="1"/>
  <c r="P587" i="2"/>
  <c r="Q587" i="2" s="1"/>
  <c r="P588" i="2"/>
  <c r="Q588" i="2" s="1"/>
  <c r="P589" i="2"/>
  <c r="Q589" i="2" s="1"/>
  <c r="P590" i="2"/>
  <c r="Q590" i="2" s="1"/>
  <c r="P591" i="2"/>
  <c r="Q591" i="2" s="1"/>
  <c r="P592" i="2"/>
  <c r="Q592" i="2" s="1"/>
  <c r="P593" i="2"/>
  <c r="Q593" i="2" s="1"/>
  <c r="P594" i="2"/>
  <c r="Q594" i="2" s="1"/>
  <c r="P595" i="2"/>
  <c r="Q595" i="2" s="1"/>
  <c r="P596" i="2"/>
  <c r="Q596" i="2" s="1"/>
  <c r="P597" i="2"/>
  <c r="Q597" i="2" s="1"/>
  <c r="P598" i="2"/>
  <c r="Q598" i="2" s="1"/>
  <c r="P599" i="2"/>
  <c r="Q599" i="2" s="1"/>
  <c r="P600" i="2"/>
  <c r="Q600" i="2" s="1"/>
  <c r="P601" i="2"/>
  <c r="Q601" i="2" s="1"/>
  <c r="P602" i="2"/>
  <c r="Q602" i="2" s="1"/>
  <c r="P603" i="2"/>
  <c r="Q603" i="2" s="1"/>
  <c r="P604" i="2"/>
  <c r="Q604" i="2" s="1"/>
  <c r="P605" i="2"/>
  <c r="Q605" i="2" s="1"/>
  <c r="P606" i="2"/>
  <c r="Q606" i="2" s="1"/>
  <c r="P607" i="2"/>
  <c r="Q607" i="2" s="1"/>
  <c r="P608" i="2"/>
  <c r="Q608" i="2" s="1"/>
  <c r="P609" i="2"/>
  <c r="Q609" i="2" s="1"/>
  <c r="P610" i="2"/>
  <c r="Q610" i="2" s="1"/>
  <c r="P611" i="2"/>
  <c r="Q611" i="2" s="1"/>
  <c r="P612" i="2"/>
  <c r="Q612" i="2" s="1"/>
  <c r="P613" i="2"/>
  <c r="Q613" i="2" s="1"/>
  <c r="P614" i="2"/>
  <c r="Q614" i="2" s="1"/>
  <c r="P615" i="2"/>
  <c r="Q615" i="2" s="1"/>
  <c r="P616" i="2"/>
  <c r="Q616" i="2" s="1"/>
  <c r="P617" i="2"/>
  <c r="Q617" i="2" s="1"/>
  <c r="P618" i="2"/>
  <c r="Q618" i="2" s="1"/>
  <c r="P619" i="2"/>
  <c r="Q619" i="2" s="1"/>
  <c r="P620" i="2"/>
  <c r="Q620" i="2" s="1"/>
  <c r="P621" i="2"/>
  <c r="Q621" i="2" s="1"/>
  <c r="P622" i="2"/>
  <c r="Q622" i="2" s="1"/>
  <c r="P623" i="2"/>
  <c r="Q623" i="2" s="1"/>
  <c r="P624" i="2"/>
  <c r="Q624" i="2" s="1"/>
  <c r="P625" i="2"/>
  <c r="Q625" i="2" s="1"/>
  <c r="P626" i="2"/>
  <c r="Q626" i="2" s="1"/>
  <c r="P627" i="2"/>
  <c r="Q627" i="2" s="1"/>
  <c r="P628" i="2"/>
  <c r="Q628" i="2" s="1"/>
  <c r="P629" i="2"/>
  <c r="Q629" i="2" s="1"/>
  <c r="P630" i="2"/>
  <c r="Q630" i="2" s="1"/>
  <c r="P631" i="2"/>
  <c r="Q631" i="2" s="1"/>
  <c r="P632" i="2"/>
  <c r="Q632" i="2" s="1"/>
  <c r="P633" i="2"/>
  <c r="Q633" i="2" s="1"/>
  <c r="P634" i="2"/>
  <c r="Q634" i="2" s="1"/>
  <c r="P635" i="2"/>
  <c r="Q635" i="2" s="1"/>
  <c r="P636" i="2"/>
  <c r="Q636" i="2" s="1"/>
  <c r="P637" i="2"/>
  <c r="Q637" i="2" s="1"/>
  <c r="P638" i="2"/>
  <c r="Q638" i="2" s="1"/>
  <c r="P639" i="2"/>
  <c r="Q639" i="2" s="1"/>
  <c r="P640" i="2"/>
  <c r="Q640" i="2" s="1"/>
  <c r="P641" i="2"/>
  <c r="Q641" i="2" s="1"/>
  <c r="P642" i="2"/>
  <c r="Q642" i="2" s="1"/>
  <c r="P643" i="2"/>
  <c r="Q643" i="2" s="1"/>
  <c r="P644" i="2"/>
  <c r="Q644" i="2" s="1"/>
  <c r="P645" i="2"/>
  <c r="Q645" i="2" s="1"/>
  <c r="P646" i="2"/>
  <c r="Q646" i="2" s="1"/>
  <c r="P647" i="2"/>
  <c r="Q647" i="2" s="1"/>
  <c r="P648" i="2"/>
  <c r="Q648" i="2" s="1"/>
  <c r="P649" i="2"/>
  <c r="Q649" i="2" s="1"/>
  <c r="P650" i="2"/>
  <c r="Q650" i="2" s="1"/>
  <c r="P651" i="2"/>
  <c r="Q651" i="2" s="1"/>
  <c r="P652" i="2"/>
  <c r="Q652" i="2" s="1"/>
  <c r="P653" i="2"/>
  <c r="Q653" i="2" s="1"/>
  <c r="P654" i="2"/>
  <c r="Q654" i="2" s="1"/>
  <c r="P655" i="2"/>
  <c r="Q655" i="2" s="1"/>
  <c r="P656" i="2"/>
  <c r="Q656" i="2" s="1"/>
  <c r="P657" i="2"/>
  <c r="Q657" i="2" s="1"/>
  <c r="P658" i="2"/>
  <c r="Q658" i="2" s="1"/>
  <c r="P659" i="2"/>
  <c r="Q659" i="2" s="1"/>
  <c r="P660" i="2"/>
  <c r="Q660" i="2" s="1"/>
  <c r="P661" i="2"/>
  <c r="Q661" i="2" s="1"/>
  <c r="P662" i="2"/>
  <c r="Q662" i="2" s="1"/>
  <c r="P663" i="2"/>
  <c r="Q663" i="2" s="1"/>
  <c r="P664" i="2"/>
  <c r="Q664" i="2" s="1"/>
  <c r="P665" i="2"/>
  <c r="Q665" i="2" s="1"/>
  <c r="P666" i="2"/>
  <c r="Q666" i="2" s="1"/>
  <c r="P667" i="2"/>
  <c r="Q667" i="2" s="1"/>
  <c r="P668" i="2"/>
  <c r="Q668" i="2" s="1"/>
  <c r="P669" i="2"/>
  <c r="Q669" i="2" s="1"/>
  <c r="P670" i="2"/>
  <c r="Q670" i="2" s="1"/>
  <c r="P671" i="2"/>
  <c r="Q671" i="2" s="1"/>
  <c r="P672" i="2"/>
  <c r="Q672" i="2" s="1"/>
  <c r="P673" i="2"/>
  <c r="Q673" i="2" s="1"/>
  <c r="P674" i="2"/>
  <c r="Q674" i="2" s="1"/>
  <c r="P675" i="2"/>
  <c r="Q675" i="2" s="1"/>
  <c r="P676" i="2"/>
  <c r="Q676" i="2" s="1"/>
  <c r="P677" i="2"/>
  <c r="Q677" i="2" s="1"/>
  <c r="P678" i="2"/>
  <c r="Q678" i="2" s="1"/>
  <c r="P679" i="2"/>
  <c r="Q679" i="2" s="1"/>
  <c r="P680" i="2"/>
  <c r="Q680" i="2" s="1"/>
  <c r="P681" i="2"/>
  <c r="Q681" i="2" s="1"/>
  <c r="P682" i="2"/>
  <c r="Q682" i="2" s="1"/>
  <c r="P683" i="2"/>
  <c r="Q683" i="2" s="1"/>
  <c r="P684" i="2"/>
  <c r="Q684" i="2" s="1"/>
  <c r="P685" i="2"/>
  <c r="Q685" i="2" s="1"/>
  <c r="P686" i="2"/>
  <c r="Q686" i="2" s="1"/>
  <c r="P687" i="2"/>
  <c r="Q687" i="2" s="1"/>
  <c r="P688" i="2"/>
  <c r="Q688" i="2" s="1"/>
  <c r="P689" i="2"/>
  <c r="Q689" i="2" s="1"/>
  <c r="P690" i="2"/>
  <c r="Q690" i="2" s="1"/>
  <c r="P691" i="2"/>
  <c r="Q691" i="2" s="1"/>
  <c r="P692" i="2"/>
  <c r="Q692" i="2" s="1"/>
  <c r="P693" i="2"/>
  <c r="Q693" i="2" s="1"/>
  <c r="P694" i="2"/>
  <c r="Q694" i="2" s="1"/>
  <c r="P695" i="2"/>
  <c r="Q695" i="2" s="1"/>
  <c r="P696" i="2"/>
  <c r="Q696" i="2" s="1"/>
  <c r="P697" i="2"/>
  <c r="Q697" i="2" s="1"/>
  <c r="P698" i="2"/>
  <c r="Q698" i="2" s="1"/>
  <c r="P699" i="2"/>
  <c r="Q699" i="2" s="1"/>
  <c r="P700" i="2"/>
  <c r="Q700" i="2" s="1"/>
  <c r="P701" i="2"/>
  <c r="Q701" i="2" s="1"/>
  <c r="P702" i="2"/>
  <c r="Q702" i="2" s="1"/>
  <c r="P703" i="2"/>
  <c r="Q703" i="2" s="1"/>
  <c r="P704" i="2"/>
  <c r="Q704" i="2" s="1"/>
  <c r="P705" i="2"/>
  <c r="Q705" i="2" s="1"/>
  <c r="P706" i="2"/>
  <c r="Q706" i="2" s="1"/>
  <c r="P707" i="2"/>
  <c r="Q707" i="2" s="1"/>
  <c r="P708" i="2"/>
  <c r="Q708" i="2" s="1"/>
  <c r="P709" i="2"/>
  <c r="Q709" i="2" s="1"/>
  <c r="P710" i="2"/>
  <c r="Q710" i="2" s="1"/>
  <c r="P711" i="2"/>
  <c r="Q711" i="2" s="1"/>
  <c r="P712" i="2"/>
  <c r="Q712" i="2" s="1"/>
  <c r="P713" i="2"/>
  <c r="Q713" i="2" s="1"/>
  <c r="P714" i="2"/>
  <c r="Q714" i="2" s="1"/>
  <c r="P715" i="2"/>
  <c r="Q715" i="2" s="1"/>
  <c r="P716" i="2"/>
  <c r="Q716" i="2" s="1"/>
  <c r="P717" i="2"/>
  <c r="Q717" i="2" s="1"/>
  <c r="P718" i="2"/>
  <c r="Q718" i="2" s="1"/>
  <c r="P719" i="2"/>
  <c r="Q719" i="2" s="1"/>
  <c r="P720" i="2"/>
  <c r="Q720" i="2" s="1"/>
  <c r="P721" i="2"/>
  <c r="Q721" i="2" s="1"/>
  <c r="P722" i="2"/>
  <c r="Q722" i="2" s="1"/>
  <c r="P723" i="2"/>
  <c r="Q723" i="2" s="1"/>
  <c r="P724" i="2"/>
  <c r="Q724" i="2" s="1"/>
  <c r="P725" i="2"/>
  <c r="Q725" i="2" s="1"/>
  <c r="P726" i="2"/>
  <c r="Q726" i="2" s="1"/>
  <c r="P727" i="2"/>
  <c r="Q727" i="2" s="1"/>
  <c r="P728" i="2"/>
  <c r="Q728" i="2" s="1"/>
  <c r="P729" i="2"/>
  <c r="Q729" i="2" s="1"/>
  <c r="P730" i="2"/>
  <c r="Q730" i="2" s="1"/>
  <c r="P731" i="2"/>
  <c r="Q731" i="2" s="1"/>
  <c r="P732" i="2"/>
  <c r="Q732" i="2" s="1"/>
  <c r="P733" i="2"/>
  <c r="Q733" i="2" s="1"/>
  <c r="P734" i="2"/>
  <c r="Q734" i="2" s="1"/>
  <c r="P735" i="2"/>
  <c r="Q735" i="2" s="1"/>
  <c r="P736" i="2"/>
  <c r="Q736" i="2" s="1"/>
  <c r="P737" i="2"/>
  <c r="Q737" i="2" s="1"/>
  <c r="P738" i="2"/>
  <c r="Q738" i="2" s="1"/>
  <c r="P739" i="2"/>
  <c r="Q739" i="2" s="1"/>
  <c r="P740" i="2"/>
  <c r="Q740" i="2" s="1"/>
  <c r="P741" i="2"/>
  <c r="Q741" i="2" s="1"/>
  <c r="P742" i="2"/>
  <c r="Q742" i="2" s="1"/>
  <c r="P743" i="2"/>
  <c r="Q743" i="2" s="1"/>
  <c r="P744" i="2"/>
  <c r="Q744" i="2" s="1"/>
  <c r="P745" i="2"/>
  <c r="Q745" i="2" s="1"/>
  <c r="P746" i="2"/>
  <c r="Q746" i="2" s="1"/>
  <c r="P747" i="2"/>
  <c r="Q747" i="2" s="1"/>
  <c r="P748" i="2"/>
  <c r="Q748" i="2" s="1"/>
  <c r="P749" i="2"/>
  <c r="Q749" i="2" s="1"/>
  <c r="P750" i="2"/>
  <c r="Q750" i="2" s="1"/>
  <c r="P751" i="2"/>
  <c r="Q751" i="2" s="1"/>
  <c r="P752" i="2"/>
  <c r="Q752" i="2" s="1"/>
  <c r="P753" i="2"/>
  <c r="Q753" i="2" s="1"/>
  <c r="P754" i="2"/>
  <c r="Q754" i="2" s="1"/>
  <c r="P755" i="2"/>
  <c r="Q755" i="2" s="1"/>
  <c r="P756" i="2"/>
  <c r="Q756" i="2" s="1"/>
  <c r="P757" i="2"/>
  <c r="Q757" i="2" s="1"/>
  <c r="P758" i="2"/>
  <c r="Q758" i="2" s="1"/>
  <c r="P759" i="2"/>
  <c r="Q759" i="2" s="1"/>
  <c r="P760" i="2"/>
  <c r="Q760" i="2" s="1"/>
  <c r="P761" i="2"/>
  <c r="Q761" i="2" s="1"/>
  <c r="P762" i="2"/>
  <c r="Q762" i="2" s="1"/>
  <c r="P763" i="2"/>
  <c r="Q763" i="2" s="1"/>
  <c r="P764" i="2"/>
  <c r="Q764" i="2" s="1"/>
  <c r="P765" i="2"/>
  <c r="Q765" i="2" s="1"/>
  <c r="P766" i="2"/>
  <c r="Q766" i="2" s="1"/>
  <c r="P767" i="2"/>
  <c r="Q767" i="2" s="1"/>
  <c r="P768" i="2"/>
  <c r="Q768" i="2" s="1"/>
  <c r="P769" i="2"/>
  <c r="Q769" i="2" s="1"/>
  <c r="P770" i="2"/>
  <c r="Q770" i="2" s="1"/>
  <c r="P771" i="2"/>
  <c r="Q771" i="2" s="1"/>
  <c r="P772" i="2"/>
  <c r="Q772" i="2" s="1"/>
  <c r="P773" i="2"/>
  <c r="Q773" i="2" s="1"/>
  <c r="P774" i="2"/>
  <c r="Q774" i="2" s="1"/>
  <c r="P775" i="2"/>
  <c r="Q775" i="2" s="1"/>
  <c r="P776" i="2"/>
  <c r="Q776" i="2" s="1"/>
  <c r="P777" i="2"/>
  <c r="Q777" i="2" s="1"/>
  <c r="P778" i="2"/>
  <c r="Q778" i="2" s="1"/>
  <c r="P779" i="2"/>
  <c r="Q779" i="2" s="1"/>
  <c r="P780" i="2"/>
  <c r="Q780" i="2" s="1"/>
  <c r="P781" i="2"/>
  <c r="Q781" i="2" s="1"/>
  <c r="P782" i="2"/>
  <c r="Q782" i="2" s="1"/>
  <c r="P783" i="2"/>
  <c r="Q783" i="2" s="1"/>
  <c r="P784" i="2"/>
  <c r="Q784" i="2" s="1"/>
  <c r="P785" i="2"/>
  <c r="Q785" i="2" s="1"/>
  <c r="P786" i="2"/>
  <c r="Q786" i="2" s="1"/>
  <c r="P787" i="2"/>
  <c r="Q787" i="2" s="1"/>
  <c r="P788" i="2"/>
  <c r="Q788" i="2" s="1"/>
  <c r="P789" i="2"/>
  <c r="Q789" i="2" s="1"/>
  <c r="P790" i="2"/>
  <c r="Q790" i="2" s="1"/>
  <c r="P791" i="2"/>
  <c r="Q791" i="2" s="1"/>
  <c r="P792" i="2"/>
  <c r="Q792" i="2" s="1"/>
  <c r="P793" i="2"/>
  <c r="Q793" i="2" s="1"/>
  <c r="P794" i="2"/>
  <c r="Q794" i="2" s="1"/>
  <c r="P795" i="2"/>
  <c r="Q795" i="2" s="1"/>
  <c r="P796" i="2"/>
  <c r="Q796" i="2" s="1"/>
  <c r="P797" i="2"/>
  <c r="Q797" i="2" s="1"/>
  <c r="P798" i="2"/>
  <c r="Q798" i="2" s="1"/>
  <c r="P799" i="2"/>
  <c r="Q799" i="2" s="1"/>
  <c r="P800" i="2"/>
  <c r="Q800" i="2" s="1"/>
  <c r="P801" i="2"/>
  <c r="Q801" i="2" s="1"/>
  <c r="P802" i="2"/>
  <c r="Q802" i="2" s="1"/>
  <c r="P803" i="2"/>
  <c r="Q803" i="2" s="1"/>
  <c r="P804" i="2"/>
  <c r="Q804" i="2" s="1"/>
  <c r="P805" i="2"/>
  <c r="Q805" i="2" s="1"/>
  <c r="P806" i="2"/>
  <c r="Q806" i="2" s="1"/>
  <c r="P807" i="2"/>
  <c r="Q807" i="2" s="1"/>
  <c r="P808" i="2"/>
  <c r="Q808" i="2" s="1"/>
  <c r="P809" i="2"/>
  <c r="Q809" i="2" s="1"/>
  <c r="P810" i="2"/>
  <c r="Q810" i="2" s="1"/>
  <c r="P811" i="2"/>
  <c r="Q811" i="2" s="1"/>
  <c r="P812" i="2"/>
  <c r="Q812" i="2" s="1"/>
  <c r="P813" i="2"/>
  <c r="Q813" i="2" s="1"/>
  <c r="P814" i="2"/>
  <c r="Q814" i="2" s="1"/>
  <c r="P815" i="2"/>
  <c r="Q815" i="2" s="1"/>
  <c r="P816" i="2"/>
  <c r="Q816" i="2" s="1"/>
  <c r="P817" i="2"/>
  <c r="Q817" i="2" s="1"/>
  <c r="P818" i="2"/>
  <c r="Q818" i="2" s="1"/>
  <c r="P819" i="2"/>
  <c r="Q819" i="2" s="1"/>
  <c r="P820" i="2"/>
  <c r="Q820" i="2" s="1"/>
  <c r="P821" i="2"/>
  <c r="Q821" i="2" s="1"/>
  <c r="P822" i="2"/>
  <c r="Q822" i="2" s="1"/>
  <c r="P823" i="2"/>
  <c r="Q823" i="2" s="1"/>
  <c r="P824" i="2"/>
  <c r="Q824" i="2" s="1"/>
  <c r="P825" i="2"/>
  <c r="Q825" i="2" s="1"/>
  <c r="P826" i="2"/>
  <c r="Q826" i="2" s="1"/>
  <c r="P827" i="2"/>
  <c r="Q827" i="2" s="1"/>
  <c r="P828" i="2"/>
  <c r="Q828" i="2" s="1"/>
  <c r="P829" i="2"/>
  <c r="Q829" i="2" s="1"/>
  <c r="P830" i="2"/>
  <c r="Q830" i="2" s="1"/>
  <c r="P831" i="2"/>
  <c r="Q831" i="2" s="1"/>
  <c r="P832" i="2"/>
  <c r="Q832" i="2" s="1"/>
  <c r="P833" i="2"/>
  <c r="Q833" i="2" s="1"/>
  <c r="P834" i="2"/>
  <c r="Q834" i="2" s="1"/>
  <c r="P835" i="2"/>
  <c r="Q835" i="2" s="1"/>
  <c r="P836" i="2"/>
  <c r="Q836" i="2" s="1"/>
  <c r="P837" i="2"/>
  <c r="Q837" i="2" s="1"/>
  <c r="P838" i="2"/>
  <c r="Q838" i="2" s="1"/>
  <c r="P839" i="2"/>
  <c r="Q839" i="2" s="1"/>
  <c r="P840" i="2"/>
  <c r="Q840" i="2" s="1"/>
  <c r="P841" i="2"/>
  <c r="Q841" i="2" s="1"/>
  <c r="P842" i="2"/>
  <c r="Q842" i="2" s="1"/>
  <c r="P843" i="2"/>
  <c r="Q843" i="2" s="1"/>
  <c r="P844" i="2"/>
  <c r="Q844" i="2" s="1"/>
  <c r="P845" i="2"/>
  <c r="Q845" i="2" s="1"/>
  <c r="P846" i="2"/>
  <c r="Q846" i="2" s="1"/>
  <c r="P847" i="2"/>
  <c r="Q847" i="2" s="1"/>
  <c r="P848" i="2"/>
  <c r="Q848" i="2" s="1"/>
  <c r="P849" i="2"/>
  <c r="Q849" i="2" s="1"/>
  <c r="P850" i="2"/>
  <c r="Q850" i="2" s="1"/>
  <c r="P851" i="2"/>
  <c r="Q851" i="2" s="1"/>
  <c r="P852" i="2"/>
  <c r="Q852" i="2" s="1"/>
  <c r="P853" i="2"/>
  <c r="Q853" i="2" s="1"/>
  <c r="P854" i="2"/>
  <c r="Q854" i="2" s="1"/>
  <c r="P855" i="2"/>
  <c r="Q855" i="2" s="1"/>
  <c r="P856" i="2"/>
  <c r="Q856" i="2" s="1"/>
  <c r="P857" i="2"/>
  <c r="Q857" i="2" s="1"/>
  <c r="P858" i="2"/>
  <c r="Q858" i="2" s="1"/>
  <c r="P859" i="2"/>
  <c r="Q859" i="2" s="1"/>
  <c r="P860" i="2"/>
  <c r="Q860" i="2" s="1"/>
  <c r="P861" i="2"/>
  <c r="Q861" i="2" s="1"/>
  <c r="P862" i="2"/>
  <c r="Q862" i="2" s="1"/>
  <c r="P863" i="2"/>
  <c r="Q863" i="2" s="1"/>
  <c r="P864" i="2"/>
  <c r="Q864" i="2" s="1"/>
  <c r="P865" i="2"/>
  <c r="Q865" i="2" s="1"/>
  <c r="P866" i="2"/>
  <c r="Q866" i="2" s="1"/>
  <c r="P867" i="2"/>
  <c r="Q867" i="2" s="1"/>
  <c r="P868" i="2"/>
  <c r="Q868" i="2" s="1"/>
  <c r="P869" i="2"/>
  <c r="Q869" i="2" s="1"/>
  <c r="P870" i="2"/>
  <c r="Q870" i="2" s="1"/>
  <c r="P871" i="2"/>
  <c r="Q871" i="2" s="1"/>
  <c r="P872" i="2"/>
  <c r="Q872" i="2" s="1"/>
  <c r="P873" i="2"/>
  <c r="Q873" i="2" s="1"/>
  <c r="P874" i="2"/>
  <c r="Q874" i="2" s="1"/>
  <c r="P875" i="2"/>
  <c r="Q875" i="2" s="1"/>
  <c r="P876" i="2"/>
  <c r="Q876" i="2" s="1"/>
  <c r="P877" i="2"/>
  <c r="Q877" i="2" s="1"/>
  <c r="P878" i="2"/>
  <c r="Q878" i="2" s="1"/>
  <c r="P879" i="2"/>
  <c r="Q879" i="2" s="1"/>
  <c r="P880" i="2"/>
  <c r="Q880" i="2" s="1"/>
  <c r="P881" i="2"/>
  <c r="Q881" i="2" s="1"/>
  <c r="P882" i="2"/>
  <c r="Q882" i="2" s="1"/>
  <c r="P883" i="2"/>
  <c r="Q883" i="2" s="1"/>
  <c r="P884" i="2"/>
  <c r="Q884" i="2" s="1"/>
  <c r="P885" i="2"/>
  <c r="Q885" i="2" s="1"/>
  <c r="P886" i="2"/>
  <c r="Q886" i="2" s="1"/>
  <c r="P887" i="2"/>
  <c r="Q887" i="2" s="1"/>
  <c r="P888" i="2"/>
  <c r="Q888" i="2" s="1"/>
  <c r="P889" i="2"/>
  <c r="Q889" i="2" s="1"/>
  <c r="P890" i="2"/>
  <c r="Q890" i="2" s="1"/>
  <c r="P891" i="2"/>
  <c r="Q891" i="2" s="1"/>
  <c r="P892" i="2"/>
  <c r="Q892" i="2" s="1"/>
  <c r="P893" i="2"/>
  <c r="Q893" i="2" s="1"/>
  <c r="P894" i="2"/>
  <c r="Q894" i="2" s="1"/>
  <c r="P895" i="2"/>
  <c r="Q895" i="2" s="1"/>
  <c r="P896" i="2"/>
  <c r="Q896" i="2" s="1"/>
  <c r="P897" i="2"/>
  <c r="Q897" i="2" s="1"/>
  <c r="P898" i="2"/>
  <c r="Q898" i="2" s="1"/>
  <c r="P899" i="2"/>
  <c r="Q899" i="2" s="1"/>
  <c r="P900" i="2"/>
  <c r="Q900" i="2" s="1"/>
  <c r="P901" i="2"/>
  <c r="Q901" i="2" s="1"/>
  <c r="P902" i="2"/>
  <c r="Q902" i="2" s="1"/>
  <c r="P903" i="2"/>
  <c r="Q903" i="2" s="1"/>
  <c r="P904" i="2"/>
  <c r="Q904" i="2" s="1"/>
  <c r="P905" i="2"/>
  <c r="Q905" i="2" s="1"/>
  <c r="P906" i="2"/>
  <c r="Q906" i="2" s="1"/>
  <c r="P907" i="2"/>
  <c r="Q907" i="2" s="1"/>
  <c r="P908" i="2"/>
  <c r="Q908" i="2" s="1"/>
  <c r="P909" i="2"/>
  <c r="Q909" i="2" s="1"/>
  <c r="P910" i="2"/>
  <c r="Q910" i="2" s="1"/>
  <c r="P911" i="2"/>
  <c r="Q911" i="2" s="1"/>
  <c r="P912" i="2"/>
  <c r="Q912" i="2" s="1"/>
  <c r="P913" i="2"/>
  <c r="Q913" i="2" s="1"/>
  <c r="P914" i="2"/>
  <c r="Q914" i="2" s="1"/>
  <c r="P915" i="2"/>
  <c r="Q915" i="2" s="1"/>
  <c r="P916" i="2"/>
  <c r="Q916" i="2" s="1"/>
  <c r="P917" i="2"/>
  <c r="Q917" i="2" s="1"/>
  <c r="P918" i="2"/>
  <c r="Q918" i="2" s="1"/>
  <c r="P919" i="2"/>
  <c r="Q919" i="2" s="1"/>
  <c r="P920" i="2"/>
  <c r="Q920" i="2" s="1"/>
  <c r="P921" i="2"/>
  <c r="Q921" i="2" s="1"/>
  <c r="P922" i="2"/>
  <c r="Q922" i="2" s="1"/>
  <c r="P923" i="2"/>
  <c r="Q923" i="2" s="1"/>
  <c r="P924" i="2"/>
  <c r="Q924" i="2" s="1"/>
  <c r="P925" i="2"/>
  <c r="Q925" i="2" s="1"/>
  <c r="P926" i="2"/>
  <c r="Q926" i="2" s="1"/>
  <c r="P927" i="2"/>
  <c r="Q927" i="2" s="1"/>
  <c r="P928" i="2"/>
  <c r="Q928" i="2" s="1"/>
  <c r="P929" i="2"/>
  <c r="Q929" i="2" s="1"/>
  <c r="P930" i="2"/>
  <c r="Q930" i="2" s="1"/>
  <c r="P931" i="2"/>
  <c r="Q931" i="2" s="1"/>
  <c r="P932" i="2"/>
  <c r="Q932" i="2" s="1"/>
  <c r="P933" i="2"/>
  <c r="Q933" i="2" s="1"/>
  <c r="P934" i="2"/>
  <c r="Q934" i="2" s="1"/>
  <c r="P935" i="2"/>
  <c r="Q935" i="2" s="1"/>
  <c r="P936" i="2"/>
  <c r="Q936" i="2" s="1"/>
  <c r="P937" i="2"/>
  <c r="Q937" i="2" s="1"/>
  <c r="P938" i="2"/>
  <c r="Q938" i="2" s="1"/>
  <c r="P939" i="2"/>
  <c r="Q939" i="2" s="1"/>
  <c r="P940" i="2"/>
  <c r="Q940" i="2" s="1"/>
  <c r="P941" i="2"/>
  <c r="Q941" i="2" s="1"/>
  <c r="P942" i="2"/>
  <c r="Q942" i="2" s="1"/>
  <c r="P943" i="2"/>
  <c r="Q943" i="2" s="1"/>
  <c r="P944" i="2"/>
  <c r="Q944" i="2" s="1"/>
  <c r="P945" i="2"/>
  <c r="Q945" i="2" s="1"/>
  <c r="P946" i="2"/>
  <c r="Q946" i="2" s="1"/>
  <c r="P947" i="2"/>
  <c r="Q947" i="2" s="1"/>
  <c r="P948" i="2"/>
  <c r="Q948" i="2" s="1"/>
  <c r="P949" i="2"/>
  <c r="Q949" i="2" s="1"/>
  <c r="P950" i="2"/>
  <c r="Q950" i="2" s="1"/>
  <c r="P951" i="2"/>
  <c r="Q951" i="2" s="1"/>
  <c r="P952" i="2"/>
  <c r="Q952" i="2" s="1"/>
  <c r="P953" i="2"/>
  <c r="Q953" i="2" s="1"/>
  <c r="P954" i="2"/>
  <c r="Q954" i="2" s="1"/>
  <c r="P955" i="2"/>
  <c r="Q955" i="2" s="1"/>
  <c r="P956" i="2"/>
  <c r="Q956" i="2" s="1"/>
  <c r="P957" i="2"/>
  <c r="Q957" i="2" s="1"/>
  <c r="P958" i="2"/>
  <c r="Q958" i="2" s="1"/>
  <c r="P959" i="2"/>
  <c r="Q959" i="2" s="1"/>
  <c r="P960" i="2"/>
  <c r="Q960" i="2" s="1"/>
  <c r="P961" i="2"/>
  <c r="Q961" i="2" s="1"/>
  <c r="P962" i="2"/>
  <c r="Q962" i="2" s="1"/>
  <c r="P963" i="2"/>
  <c r="Q963" i="2" s="1"/>
  <c r="P964" i="2"/>
  <c r="Q964" i="2" s="1"/>
  <c r="P965" i="2"/>
  <c r="Q965" i="2" s="1"/>
  <c r="P966" i="2"/>
  <c r="Q966" i="2" s="1"/>
  <c r="P967" i="2"/>
  <c r="Q967" i="2" s="1"/>
  <c r="P968" i="2"/>
  <c r="Q968" i="2" s="1"/>
  <c r="P969" i="2"/>
  <c r="Q969" i="2" s="1"/>
  <c r="P970" i="2"/>
  <c r="Q970" i="2" s="1"/>
  <c r="P971" i="2"/>
  <c r="Q971" i="2" s="1"/>
  <c r="P972" i="2"/>
  <c r="Q972" i="2" s="1"/>
  <c r="P973" i="2"/>
  <c r="Q973" i="2" s="1"/>
  <c r="P974" i="2"/>
  <c r="Q974" i="2" s="1"/>
  <c r="P975" i="2"/>
  <c r="Q975" i="2" s="1"/>
  <c r="P976" i="2"/>
  <c r="Q976" i="2" s="1"/>
  <c r="P977" i="2"/>
  <c r="Q977" i="2" s="1"/>
  <c r="P978" i="2"/>
  <c r="Q978" i="2" s="1"/>
  <c r="P979" i="2"/>
  <c r="Q979" i="2" s="1"/>
  <c r="P980" i="2"/>
  <c r="Q980" i="2" s="1"/>
  <c r="P981" i="2"/>
  <c r="Q981" i="2" s="1"/>
  <c r="P982" i="2"/>
  <c r="Q982" i="2" s="1"/>
  <c r="P983" i="2"/>
  <c r="Q983" i="2" s="1"/>
  <c r="P984" i="2"/>
  <c r="Q984" i="2" s="1"/>
  <c r="P985" i="2"/>
  <c r="Q985" i="2" s="1"/>
  <c r="P986" i="2"/>
  <c r="Q986" i="2" s="1"/>
  <c r="P987" i="2"/>
  <c r="Q987" i="2" s="1"/>
  <c r="P988" i="2"/>
  <c r="Q988" i="2" s="1"/>
  <c r="P989" i="2"/>
  <c r="Q989" i="2" s="1"/>
  <c r="P990" i="2"/>
  <c r="Q990" i="2" s="1"/>
  <c r="P991" i="2"/>
  <c r="Q991" i="2" s="1"/>
  <c r="P992" i="2"/>
  <c r="Q992" i="2" s="1"/>
  <c r="P993" i="2"/>
  <c r="Q993" i="2" s="1"/>
  <c r="P994" i="2"/>
  <c r="Q994" i="2" s="1"/>
  <c r="P995" i="2"/>
  <c r="Q995" i="2" s="1"/>
  <c r="P996" i="2"/>
  <c r="Q996" i="2" s="1"/>
  <c r="P997" i="2"/>
  <c r="Q997" i="2" s="1"/>
  <c r="P998" i="2"/>
  <c r="Q998" i="2" s="1"/>
  <c r="P999" i="2"/>
  <c r="Q999" i="2" s="1"/>
  <c r="P1000" i="2"/>
  <c r="Q1000" i="2" s="1"/>
  <c r="P1001" i="2"/>
  <c r="Q1001" i="2" s="1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S3" i="2"/>
  <c r="S7" i="2" s="1"/>
  <c r="U3" i="2" l="1"/>
  <c r="S9" i="2" a="1"/>
  <c r="S9" i="2" s="1"/>
  <c r="T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<sst xmlns="http://schemas.openxmlformats.org/spreadsheetml/2006/main" count="20098" uniqueCount="1682">
  <si>
    <t>TransactionID</t>
  </si>
  <si>
    <t>Date</t>
  </si>
  <si>
    <t>Department</t>
  </si>
  <si>
    <t>CostCenter</t>
  </si>
  <si>
    <t>ExpenseCategory</t>
  </si>
  <si>
    <t>Description</t>
  </si>
  <si>
    <t>BudgetAmount</t>
  </si>
  <si>
    <t>ActualExpense</t>
  </si>
  <si>
    <t>Variance</t>
  </si>
  <si>
    <t>PaymentMethod</t>
  </si>
  <si>
    <t>Vendor</t>
  </si>
  <si>
    <t>Region</t>
  </si>
  <si>
    <t>CashFlowType</t>
  </si>
  <si>
    <t>T00001</t>
  </si>
  <si>
    <t>2023-11-20</t>
  </si>
  <si>
    <t>IT</t>
  </si>
  <si>
    <t>CC103</t>
  </si>
  <si>
    <t>Utilities</t>
  </si>
  <si>
    <t>Utilities related expense</t>
  </si>
  <si>
    <t>Card</t>
  </si>
  <si>
    <t>Urban Services</t>
  </si>
  <si>
    <t>North</t>
  </si>
  <si>
    <t>Operating Expense</t>
  </si>
  <si>
    <t>T00002</t>
  </si>
  <si>
    <t>2024-06-14</t>
  </si>
  <si>
    <t>Finance</t>
  </si>
  <si>
    <t>CC104</t>
  </si>
  <si>
    <t>Maintenance</t>
  </si>
  <si>
    <t>Maintenance related expense</t>
  </si>
  <si>
    <t>Fast Logistics</t>
  </si>
  <si>
    <t>South</t>
  </si>
  <si>
    <t>T00003</t>
  </si>
  <si>
    <t>2024-09-19</t>
  </si>
  <si>
    <t>HR</t>
  </si>
  <si>
    <t>CC102</t>
  </si>
  <si>
    <t>Marketing</t>
  </si>
  <si>
    <t>Marketing related expense</t>
  </si>
  <si>
    <t>Cash</t>
  </si>
  <si>
    <t>T00004</t>
  </si>
  <si>
    <t>2023-08-08</t>
  </si>
  <si>
    <t>CC105</t>
  </si>
  <si>
    <t>Global Tech</t>
  </si>
  <si>
    <t>Capital Expense</t>
  </si>
  <si>
    <t>T00005</t>
  </si>
  <si>
    <t>2024-02-06</t>
  </si>
  <si>
    <t>Operations</t>
  </si>
  <si>
    <t>Equipment</t>
  </si>
  <si>
    <t>Equipment related expense</t>
  </si>
  <si>
    <t>ABC Ltd</t>
  </si>
  <si>
    <t>East</t>
  </si>
  <si>
    <t>T00006</t>
  </si>
  <si>
    <t>2023-10-20</t>
  </si>
  <si>
    <t>T00007</t>
  </si>
  <si>
    <t>2023-01-10</t>
  </si>
  <si>
    <t>Bank Transfer</t>
  </si>
  <si>
    <t>T00008</t>
  </si>
  <si>
    <t>2024-11-24</t>
  </si>
  <si>
    <t>T00009</t>
  </si>
  <si>
    <t>2025-03-17</t>
  </si>
  <si>
    <t>T00010</t>
  </si>
  <si>
    <t>2024-08-11</t>
  </si>
  <si>
    <t>CC101</t>
  </si>
  <si>
    <t>T00011</t>
  </si>
  <si>
    <t>2023-07-10</t>
  </si>
  <si>
    <t>Sales</t>
  </si>
  <si>
    <t>T00012</t>
  </si>
  <si>
    <t>2024-07-20</t>
  </si>
  <si>
    <t>Prime Supplies</t>
  </si>
  <si>
    <t>West</t>
  </si>
  <si>
    <t>T00013</t>
  </si>
  <si>
    <t>2024-01-23</t>
  </si>
  <si>
    <t>Salary</t>
  </si>
  <si>
    <t>Salary related expense</t>
  </si>
  <si>
    <t>T00014</t>
  </si>
  <si>
    <t>2024-04-09</t>
  </si>
  <si>
    <t>T00015</t>
  </si>
  <si>
    <t>2025-02-15</t>
  </si>
  <si>
    <t>T00016</t>
  </si>
  <si>
    <t>2024-07-27</t>
  </si>
  <si>
    <t>T00017</t>
  </si>
  <si>
    <t>2023-03-30</t>
  </si>
  <si>
    <t>T00018</t>
  </si>
  <si>
    <t>2023-12-19</t>
  </si>
  <si>
    <t>T00019</t>
  </si>
  <si>
    <t>2023-09-01</t>
  </si>
  <si>
    <t>Travel</t>
  </si>
  <si>
    <t>Travel related expense</t>
  </si>
  <si>
    <t>T00020</t>
  </si>
  <si>
    <t>2023-09-29</t>
  </si>
  <si>
    <t>T00021</t>
  </si>
  <si>
    <t>2024-12-12</t>
  </si>
  <si>
    <t>T00022</t>
  </si>
  <si>
    <t>2024-04-21</t>
  </si>
  <si>
    <t>T00023</t>
  </si>
  <si>
    <t>2025-06-12</t>
  </si>
  <si>
    <t>T00024</t>
  </si>
  <si>
    <t>2024-07-06</t>
  </si>
  <si>
    <t>T00025</t>
  </si>
  <si>
    <t>2023-05-25</t>
  </si>
  <si>
    <t>T00026</t>
  </si>
  <si>
    <t>2024-11-18</t>
  </si>
  <si>
    <t>T00027</t>
  </si>
  <si>
    <t>2025-05-23</t>
  </si>
  <si>
    <t>T00028</t>
  </si>
  <si>
    <t>2025-03-21</t>
  </si>
  <si>
    <t>T00029</t>
  </si>
  <si>
    <t>2023-01-22</t>
  </si>
  <si>
    <t>T00030</t>
  </si>
  <si>
    <t>2025-06-09</t>
  </si>
  <si>
    <t>T00031</t>
  </si>
  <si>
    <t>2024-01-07</t>
  </si>
  <si>
    <t>T00032</t>
  </si>
  <si>
    <t>2023-03-22</t>
  </si>
  <si>
    <t>T00033</t>
  </si>
  <si>
    <t>2023-03-20</t>
  </si>
  <si>
    <t>T00034</t>
  </si>
  <si>
    <t>2025-02-20</t>
  </si>
  <si>
    <t>T00035</t>
  </si>
  <si>
    <t>2023-02-15</t>
  </si>
  <si>
    <t>T00036</t>
  </si>
  <si>
    <t>2024-06-30</t>
  </si>
  <si>
    <t>T00037</t>
  </si>
  <si>
    <t>2023-08-12</t>
  </si>
  <si>
    <t>T00038</t>
  </si>
  <si>
    <t>2024-09-30</t>
  </si>
  <si>
    <t>T00039</t>
  </si>
  <si>
    <t>2023-11-21</t>
  </si>
  <si>
    <t>T00040</t>
  </si>
  <si>
    <t>2023-04-23</t>
  </si>
  <si>
    <t>T00041</t>
  </si>
  <si>
    <t>2024-02-21</t>
  </si>
  <si>
    <t>T00042</t>
  </si>
  <si>
    <t>2024-03-24</t>
  </si>
  <si>
    <t>T00043</t>
  </si>
  <si>
    <t>2025-01-28</t>
  </si>
  <si>
    <t>T00044</t>
  </si>
  <si>
    <t>2024-07-10</t>
  </si>
  <si>
    <t>T00045</t>
  </si>
  <si>
    <t>2024-12-08</t>
  </si>
  <si>
    <t>T00046</t>
  </si>
  <si>
    <t>2023-05-18</t>
  </si>
  <si>
    <t>T00047</t>
  </si>
  <si>
    <t>2024-07-19</t>
  </si>
  <si>
    <t>T00048</t>
  </si>
  <si>
    <t>2024-04-29</t>
  </si>
  <si>
    <t>T00049</t>
  </si>
  <si>
    <t>2024-11-30</t>
  </si>
  <si>
    <t>T00050</t>
  </si>
  <si>
    <t>2024-10-25</t>
  </si>
  <si>
    <t>T00051</t>
  </si>
  <si>
    <t>2024-05-24</t>
  </si>
  <si>
    <t>T00052</t>
  </si>
  <si>
    <t>2024-09-01</t>
  </si>
  <si>
    <t>T00053</t>
  </si>
  <si>
    <t>2025-02-17</t>
  </si>
  <si>
    <t>T00054</t>
  </si>
  <si>
    <t>2023-05-17</t>
  </si>
  <si>
    <t>T00055</t>
  </si>
  <si>
    <t>2025-03-02</t>
  </si>
  <si>
    <t>T00056</t>
  </si>
  <si>
    <t>2023-08-10</t>
  </si>
  <si>
    <t>T00057</t>
  </si>
  <si>
    <t>2024-06-29</t>
  </si>
  <si>
    <t>T00058</t>
  </si>
  <si>
    <t>2025-05-13</t>
  </si>
  <si>
    <t>T00059</t>
  </si>
  <si>
    <t>2024-05-19</t>
  </si>
  <si>
    <t>T00060</t>
  </si>
  <si>
    <t>2023-10-12</t>
  </si>
  <si>
    <t>T00061</t>
  </si>
  <si>
    <t>2024-01-22</t>
  </si>
  <si>
    <t>T00062</t>
  </si>
  <si>
    <t>2024-10-23</t>
  </si>
  <si>
    <t>T00063</t>
  </si>
  <si>
    <t>2024-07-11</t>
  </si>
  <si>
    <t>T00064</t>
  </si>
  <si>
    <t>2024-12-03</t>
  </si>
  <si>
    <t>T00065</t>
  </si>
  <si>
    <t>2023-07-19</t>
  </si>
  <si>
    <t>T00066</t>
  </si>
  <si>
    <t>2024-09-06</t>
  </si>
  <si>
    <t>T00067</t>
  </si>
  <si>
    <t>2025-04-13</t>
  </si>
  <si>
    <t>T00068</t>
  </si>
  <si>
    <t>2023-03-17</t>
  </si>
  <si>
    <t>T00069</t>
  </si>
  <si>
    <t>2024-09-05</t>
  </si>
  <si>
    <t>T00070</t>
  </si>
  <si>
    <t>2023-08-30</t>
  </si>
  <si>
    <t>T00071</t>
  </si>
  <si>
    <t>2024-01-03</t>
  </si>
  <si>
    <t>T00072</t>
  </si>
  <si>
    <t>2024-09-13</t>
  </si>
  <si>
    <t>T00073</t>
  </si>
  <si>
    <t>2023-02-06</t>
  </si>
  <si>
    <t>T00074</t>
  </si>
  <si>
    <t>2023-09-18</t>
  </si>
  <si>
    <t>T00075</t>
  </si>
  <si>
    <t>2023-01-30</t>
  </si>
  <si>
    <t>T00076</t>
  </si>
  <si>
    <t>2025-02-07</t>
  </si>
  <si>
    <t>T00077</t>
  </si>
  <si>
    <t>2023-09-25</t>
  </si>
  <si>
    <t>T00078</t>
  </si>
  <si>
    <t>T00079</t>
  </si>
  <si>
    <t>T00080</t>
  </si>
  <si>
    <t>2025-02-11</t>
  </si>
  <si>
    <t>T00081</t>
  </si>
  <si>
    <t>T00082</t>
  </si>
  <si>
    <t>2025-05-29</t>
  </si>
  <si>
    <t>T00083</t>
  </si>
  <si>
    <t>2023-11-12</t>
  </si>
  <si>
    <t>T00084</t>
  </si>
  <si>
    <t>2024-08-25</t>
  </si>
  <si>
    <t>T00085</t>
  </si>
  <si>
    <t>2025-05-08</t>
  </si>
  <si>
    <t>T00086</t>
  </si>
  <si>
    <t>2023-06-15</t>
  </si>
  <si>
    <t>T00087</t>
  </si>
  <si>
    <t>2025-02-12</t>
  </si>
  <si>
    <t>T00088</t>
  </si>
  <si>
    <t>2024-05-17</t>
  </si>
  <si>
    <t>T00089</t>
  </si>
  <si>
    <t>2023-11-09</t>
  </si>
  <si>
    <t>T00090</t>
  </si>
  <si>
    <t>2023-11-01</t>
  </si>
  <si>
    <t>T00091</t>
  </si>
  <si>
    <t>2025-02-28</t>
  </si>
  <si>
    <t>T00092</t>
  </si>
  <si>
    <t>2023-02-09</t>
  </si>
  <si>
    <t>T00093</t>
  </si>
  <si>
    <t>2023-04-12</t>
  </si>
  <si>
    <t>T00094</t>
  </si>
  <si>
    <t>2025-01-19</t>
  </si>
  <si>
    <t>T00095</t>
  </si>
  <si>
    <t>2023-07-26</t>
  </si>
  <si>
    <t>T00096</t>
  </si>
  <si>
    <t>2024-12-19</t>
  </si>
  <si>
    <t>T00097</t>
  </si>
  <si>
    <t>2025-01-10</t>
  </si>
  <si>
    <t>T00098</t>
  </si>
  <si>
    <t>2024-02-07</t>
  </si>
  <si>
    <t>T00099</t>
  </si>
  <si>
    <t>2023-04-08</t>
  </si>
  <si>
    <t>T00100</t>
  </si>
  <si>
    <t>2024-12-07</t>
  </si>
  <si>
    <t>T00101</t>
  </si>
  <si>
    <t>2025-06-17</t>
  </si>
  <si>
    <t>T00102</t>
  </si>
  <si>
    <t>2023-08-29</t>
  </si>
  <si>
    <t>T00103</t>
  </si>
  <si>
    <t>2024-09-16</t>
  </si>
  <si>
    <t>T00104</t>
  </si>
  <si>
    <t>2023-10-14</t>
  </si>
  <si>
    <t>T00105</t>
  </si>
  <si>
    <t>2024-05-20</t>
  </si>
  <si>
    <t>T00106</t>
  </si>
  <si>
    <t>2023-08-01</t>
  </si>
  <si>
    <t>T00107</t>
  </si>
  <si>
    <t>2023-04-25</t>
  </si>
  <si>
    <t>T00108</t>
  </si>
  <si>
    <t>2023-10-15</t>
  </si>
  <si>
    <t>T00109</t>
  </si>
  <si>
    <t>T00110</t>
  </si>
  <si>
    <t>T00111</t>
  </si>
  <si>
    <t>2025-06-06</t>
  </si>
  <si>
    <t>T00112</t>
  </si>
  <si>
    <t>2023-06-16</t>
  </si>
  <si>
    <t>T00113</t>
  </si>
  <si>
    <t>T00114</t>
  </si>
  <si>
    <t>2023-05-14</t>
  </si>
  <si>
    <t>T00115</t>
  </si>
  <si>
    <t>2023-09-30</t>
  </si>
  <si>
    <t>T00116</t>
  </si>
  <si>
    <t>T00117</t>
  </si>
  <si>
    <t>T00118</t>
  </si>
  <si>
    <t>2024-04-17</t>
  </si>
  <si>
    <t>T00119</t>
  </si>
  <si>
    <t>T00120</t>
  </si>
  <si>
    <t>2025-02-06</t>
  </si>
  <si>
    <t>T00121</t>
  </si>
  <si>
    <t>2023-08-23</t>
  </si>
  <si>
    <t>T00122</t>
  </si>
  <si>
    <t>2023-05-24</t>
  </si>
  <si>
    <t>T00123</t>
  </si>
  <si>
    <t>2023-03-07</t>
  </si>
  <si>
    <t>T00124</t>
  </si>
  <si>
    <t>2024-10-15</t>
  </si>
  <si>
    <t>T00125</t>
  </si>
  <si>
    <t>2025-05-18</t>
  </si>
  <si>
    <t>T00126</t>
  </si>
  <si>
    <t>2023-12-23</t>
  </si>
  <si>
    <t>T00127</t>
  </si>
  <si>
    <t>2024-09-11</t>
  </si>
  <si>
    <t>T00128</t>
  </si>
  <si>
    <t>2025-02-03</t>
  </si>
  <si>
    <t>T00129</t>
  </si>
  <si>
    <t>2024-11-29</t>
  </si>
  <si>
    <t>T00130</t>
  </si>
  <si>
    <t>T00131</t>
  </si>
  <si>
    <t>2024-02-10</t>
  </si>
  <si>
    <t>T00132</t>
  </si>
  <si>
    <t>2024-07-15</t>
  </si>
  <si>
    <t>T00133</t>
  </si>
  <si>
    <t>2023-12-25</t>
  </si>
  <si>
    <t>T00134</t>
  </si>
  <si>
    <t>2025-04-24</t>
  </si>
  <si>
    <t>T00135</t>
  </si>
  <si>
    <t>2024-06-09</t>
  </si>
  <si>
    <t>T00136</t>
  </si>
  <si>
    <t>2024-03-29</t>
  </si>
  <si>
    <t>T00137</t>
  </si>
  <si>
    <t>2024-04-24</t>
  </si>
  <si>
    <t>T00138</t>
  </si>
  <si>
    <t>2025-03-01</t>
  </si>
  <si>
    <t>T00139</t>
  </si>
  <si>
    <t>2024-02-28</t>
  </si>
  <si>
    <t>T00140</t>
  </si>
  <si>
    <t>2023-03-04</t>
  </si>
  <si>
    <t>T00141</t>
  </si>
  <si>
    <t>2023-09-28</t>
  </si>
  <si>
    <t>T00142</t>
  </si>
  <si>
    <t>2025-03-11</t>
  </si>
  <si>
    <t>T00143</t>
  </si>
  <si>
    <t>2023-09-15</t>
  </si>
  <si>
    <t>T00144</t>
  </si>
  <si>
    <t>2024-12-25</t>
  </si>
  <si>
    <t>T00145</t>
  </si>
  <si>
    <t>2023-05-02</t>
  </si>
  <si>
    <t>T00146</t>
  </si>
  <si>
    <t>T00147</t>
  </si>
  <si>
    <t>2024-08-16</t>
  </si>
  <si>
    <t>T00148</t>
  </si>
  <si>
    <t>2024-10-04</t>
  </si>
  <si>
    <t>T00149</t>
  </si>
  <si>
    <t>2023-07-11</t>
  </si>
  <si>
    <t>T00150</t>
  </si>
  <si>
    <t>2024-11-08</t>
  </si>
  <si>
    <t>T00151</t>
  </si>
  <si>
    <t>2025-02-25</t>
  </si>
  <si>
    <t>T00152</t>
  </si>
  <si>
    <t>2023-03-14</t>
  </si>
  <si>
    <t>T00153</t>
  </si>
  <si>
    <t>2023-10-26</t>
  </si>
  <si>
    <t>T00154</t>
  </si>
  <si>
    <t>2024-03-04</t>
  </si>
  <si>
    <t>T00155</t>
  </si>
  <si>
    <t>T00156</t>
  </si>
  <si>
    <t>2024-04-18</t>
  </si>
  <si>
    <t>T00157</t>
  </si>
  <si>
    <t>2024-01-01</t>
  </si>
  <si>
    <t>T00158</t>
  </si>
  <si>
    <t>2024-12-10</t>
  </si>
  <si>
    <t>T00159</t>
  </si>
  <si>
    <t>2024-07-17</t>
  </si>
  <si>
    <t>T00160</t>
  </si>
  <si>
    <t>T00161</t>
  </si>
  <si>
    <t>2024-05-04</t>
  </si>
  <si>
    <t>T00162</t>
  </si>
  <si>
    <t>2023-02-23</t>
  </si>
  <si>
    <t>T00163</t>
  </si>
  <si>
    <t>2024-09-07</t>
  </si>
  <si>
    <t>T00164</t>
  </si>
  <si>
    <t>2023-11-15</t>
  </si>
  <si>
    <t>T00165</t>
  </si>
  <si>
    <t>2023-04-10</t>
  </si>
  <si>
    <t>T00166</t>
  </si>
  <si>
    <t>2025-02-04</t>
  </si>
  <si>
    <t>T00167</t>
  </si>
  <si>
    <t>2023-12-07</t>
  </si>
  <si>
    <t>T00168</t>
  </si>
  <si>
    <t>2025-02-13</t>
  </si>
  <si>
    <t>T00169</t>
  </si>
  <si>
    <t>2024-11-02</t>
  </si>
  <si>
    <t>T00170</t>
  </si>
  <si>
    <t>2023-03-15</t>
  </si>
  <si>
    <t>T00171</t>
  </si>
  <si>
    <t>2023-03-13</t>
  </si>
  <si>
    <t>T00172</t>
  </si>
  <si>
    <t>2025-03-30</t>
  </si>
  <si>
    <t>T00173</t>
  </si>
  <si>
    <t>2024-07-09</t>
  </si>
  <si>
    <t>T00174</t>
  </si>
  <si>
    <t>2023-09-05</t>
  </si>
  <si>
    <t>T00175</t>
  </si>
  <si>
    <t>2024-08-20</t>
  </si>
  <si>
    <t>T00176</t>
  </si>
  <si>
    <t>2024-07-14</t>
  </si>
  <si>
    <t>T00177</t>
  </si>
  <si>
    <t>2023-09-20</t>
  </si>
  <si>
    <t>T00178</t>
  </si>
  <si>
    <t>2024-08-31</t>
  </si>
  <si>
    <t>T00179</t>
  </si>
  <si>
    <t>T00180</t>
  </si>
  <si>
    <t>2024-03-18</t>
  </si>
  <si>
    <t>T00181</t>
  </si>
  <si>
    <t>2024-07-22</t>
  </si>
  <si>
    <t>T00182</t>
  </si>
  <si>
    <t>2023-07-03</t>
  </si>
  <si>
    <t>T00183</t>
  </si>
  <si>
    <t>2023-07-15</t>
  </si>
  <si>
    <t>T00184</t>
  </si>
  <si>
    <t>T00185</t>
  </si>
  <si>
    <t>T00186</t>
  </si>
  <si>
    <t>2023-02-21</t>
  </si>
  <si>
    <t>T00187</t>
  </si>
  <si>
    <t>2023-05-19</t>
  </si>
  <si>
    <t>T00188</t>
  </si>
  <si>
    <t>2024-01-24</t>
  </si>
  <si>
    <t>T00189</t>
  </si>
  <si>
    <t>2023-12-30</t>
  </si>
  <si>
    <t>T00190</t>
  </si>
  <si>
    <t>2023-11-04</t>
  </si>
  <si>
    <t>T00191</t>
  </si>
  <si>
    <t>2025-06-07</t>
  </si>
  <si>
    <t>T00192</t>
  </si>
  <si>
    <t>T00193</t>
  </si>
  <si>
    <t>T00194</t>
  </si>
  <si>
    <t>2024-06-02</t>
  </si>
  <si>
    <t>T00195</t>
  </si>
  <si>
    <t>T00196</t>
  </si>
  <si>
    <t>2024-02-03</t>
  </si>
  <si>
    <t>T00197</t>
  </si>
  <si>
    <t>2024-01-16</t>
  </si>
  <si>
    <t>T00198</t>
  </si>
  <si>
    <t>2023-01-04</t>
  </si>
  <si>
    <t>T00199</t>
  </si>
  <si>
    <t>2024-03-03</t>
  </si>
  <si>
    <t>T00200</t>
  </si>
  <si>
    <t>T00201</t>
  </si>
  <si>
    <t>2024-10-16</t>
  </si>
  <si>
    <t>T00202</t>
  </si>
  <si>
    <t>2025-03-31</t>
  </si>
  <si>
    <t>T00203</t>
  </si>
  <si>
    <t>2025-04-16</t>
  </si>
  <si>
    <t>T00204</t>
  </si>
  <si>
    <t>T00205</t>
  </si>
  <si>
    <t>2023-01-25</t>
  </si>
  <si>
    <t>T00206</t>
  </si>
  <si>
    <t>2023-06-12</t>
  </si>
  <si>
    <t>T00207</t>
  </si>
  <si>
    <t>2023-08-27</t>
  </si>
  <si>
    <t>T00208</t>
  </si>
  <si>
    <t>2023-06-20</t>
  </si>
  <si>
    <t>T00209</t>
  </si>
  <si>
    <t>2023-05-23</t>
  </si>
  <si>
    <t>T00210</t>
  </si>
  <si>
    <t>2024-09-18</t>
  </si>
  <si>
    <t>T00211</t>
  </si>
  <si>
    <t>2023-12-01</t>
  </si>
  <si>
    <t>T00212</t>
  </si>
  <si>
    <t>2024-02-19</t>
  </si>
  <si>
    <t>T00213</t>
  </si>
  <si>
    <t>2024-06-08</t>
  </si>
  <si>
    <t>T00214</t>
  </si>
  <si>
    <t>T00215</t>
  </si>
  <si>
    <t>2023-05-08</t>
  </si>
  <si>
    <t>T00216</t>
  </si>
  <si>
    <t>2024-05-11</t>
  </si>
  <si>
    <t>T00217</t>
  </si>
  <si>
    <t>2024-01-13</t>
  </si>
  <si>
    <t>T00218</t>
  </si>
  <si>
    <t>2024-02-20</t>
  </si>
  <si>
    <t>T00219</t>
  </si>
  <si>
    <t>T00220</t>
  </si>
  <si>
    <t>2023-06-06</t>
  </si>
  <si>
    <t>T00221</t>
  </si>
  <si>
    <t>2024-08-08</t>
  </si>
  <si>
    <t>T00222</t>
  </si>
  <si>
    <t>2023-11-22</t>
  </si>
  <si>
    <t>T00223</t>
  </si>
  <si>
    <t>2023-05-15</t>
  </si>
  <si>
    <t>T00224</t>
  </si>
  <si>
    <t>2024-08-04</t>
  </si>
  <si>
    <t>T00225</t>
  </si>
  <si>
    <t>2023-06-08</t>
  </si>
  <si>
    <t>T00226</t>
  </si>
  <si>
    <t>T00227</t>
  </si>
  <si>
    <t>T00228</t>
  </si>
  <si>
    <t>2024-09-29</t>
  </si>
  <si>
    <t>T00229</t>
  </si>
  <si>
    <t>2025-01-25</t>
  </si>
  <si>
    <t>T00230</t>
  </si>
  <si>
    <t>2024-06-07</t>
  </si>
  <si>
    <t>T00231</t>
  </si>
  <si>
    <t>2024-10-02</t>
  </si>
  <si>
    <t>T00232</t>
  </si>
  <si>
    <t>2023-07-14</t>
  </si>
  <si>
    <t>T00233</t>
  </si>
  <si>
    <t>2024-11-21</t>
  </si>
  <si>
    <t>T00234</t>
  </si>
  <si>
    <t>2023-11-10</t>
  </si>
  <si>
    <t>T00235</t>
  </si>
  <si>
    <t>2023-12-29</t>
  </si>
  <si>
    <t>T00236</t>
  </si>
  <si>
    <t>2023-02-22</t>
  </si>
  <si>
    <t>T00237</t>
  </si>
  <si>
    <t>2025-04-12</t>
  </si>
  <si>
    <t>T00238</t>
  </si>
  <si>
    <t>2024-08-09</t>
  </si>
  <si>
    <t>T00239</t>
  </si>
  <si>
    <t>2024-06-11</t>
  </si>
  <si>
    <t>T00240</t>
  </si>
  <si>
    <t>2025-04-20</t>
  </si>
  <si>
    <t>T00241</t>
  </si>
  <si>
    <t>T00242</t>
  </si>
  <si>
    <t>2024-11-10</t>
  </si>
  <si>
    <t>T00243</t>
  </si>
  <si>
    <t>2024-01-12</t>
  </si>
  <si>
    <t>T00244</t>
  </si>
  <si>
    <t>2023-06-14</t>
  </si>
  <si>
    <t>T00245</t>
  </si>
  <si>
    <t>2024-03-14</t>
  </si>
  <si>
    <t>T00246</t>
  </si>
  <si>
    <t>T00247</t>
  </si>
  <si>
    <t>2025-05-03</t>
  </si>
  <si>
    <t>T00248</t>
  </si>
  <si>
    <t>2024-01-06</t>
  </si>
  <si>
    <t>T00249</t>
  </si>
  <si>
    <t>2024-09-25</t>
  </si>
  <si>
    <t>T00250</t>
  </si>
  <si>
    <t>2025-04-17</t>
  </si>
  <si>
    <t>T00251</t>
  </si>
  <si>
    <t>2024-04-20</t>
  </si>
  <si>
    <t>T00252</t>
  </si>
  <si>
    <t>T00253</t>
  </si>
  <si>
    <t>2023-07-28</t>
  </si>
  <si>
    <t>T00254</t>
  </si>
  <si>
    <t>2024-02-02</t>
  </si>
  <si>
    <t>T00255</t>
  </si>
  <si>
    <t>T00256</t>
  </si>
  <si>
    <t>2023-09-16</t>
  </si>
  <si>
    <t>T00257</t>
  </si>
  <si>
    <t>2024-04-23</t>
  </si>
  <si>
    <t>T00258</t>
  </si>
  <si>
    <t>T00259</t>
  </si>
  <si>
    <t>2023-05-22</t>
  </si>
  <si>
    <t>T00260</t>
  </si>
  <si>
    <t>2023-10-13</t>
  </si>
  <si>
    <t>T00261</t>
  </si>
  <si>
    <t>2024-02-26</t>
  </si>
  <si>
    <t>T00262</t>
  </si>
  <si>
    <t>2024-03-31</t>
  </si>
  <si>
    <t>T00263</t>
  </si>
  <si>
    <t>2023-09-09</t>
  </si>
  <si>
    <t>T00264</t>
  </si>
  <si>
    <t>2023-03-21</t>
  </si>
  <si>
    <t>T00265</t>
  </si>
  <si>
    <t>2023-03-09</t>
  </si>
  <si>
    <t>T00266</t>
  </si>
  <si>
    <t>2025-02-24</t>
  </si>
  <si>
    <t>T00267</t>
  </si>
  <si>
    <t>2023-01-21</t>
  </si>
  <si>
    <t>T00268</t>
  </si>
  <si>
    <t>2023-04-04</t>
  </si>
  <si>
    <t>T00269</t>
  </si>
  <si>
    <t>2024-04-05</t>
  </si>
  <si>
    <t>T00270</t>
  </si>
  <si>
    <t>T00271</t>
  </si>
  <si>
    <t>2024-06-21</t>
  </si>
  <si>
    <t>T00272</t>
  </si>
  <si>
    <t>2023-02-26</t>
  </si>
  <si>
    <t>T00273</t>
  </si>
  <si>
    <t>T00274</t>
  </si>
  <si>
    <t>2024-06-25</t>
  </si>
  <si>
    <t>T00275</t>
  </si>
  <si>
    <t>2023-12-06</t>
  </si>
  <si>
    <t>T00276</t>
  </si>
  <si>
    <t>2024-11-04</t>
  </si>
  <si>
    <t>T00277</t>
  </si>
  <si>
    <t>2024-05-16</t>
  </si>
  <si>
    <t>T00278</t>
  </si>
  <si>
    <t>2024-06-06</t>
  </si>
  <si>
    <t>T00279</t>
  </si>
  <si>
    <t>2025-04-26</t>
  </si>
  <si>
    <t>T00280</t>
  </si>
  <si>
    <t>T00281</t>
  </si>
  <si>
    <t>T00282</t>
  </si>
  <si>
    <t>2025-06-13</t>
  </si>
  <si>
    <t>T00283</t>
  </si>
  <si>
    <t>2023-07-12</t>
  </si>
  <si>
    <t>T00284</t>
  </si>
  <si>
    <t>2024-11-13</t>
  </si>
  <si>
    <t>T00285</t>
  </si>
  <si>
    <t>2023-10-02</t>
  </si>
  <si>
    <t>T00286</t>
  </si>
  <si>
    <t>2024-03-17</t>
  </si>
  <si>
    <t>T00287</t>
  </si>
  <si>
    <t>2024-11-14</t>
  </si>
  <si>
    <t>T00288</t>
  </si>
  <si>
    <t>2023-10-28</t>
  </si>
  <si>
    <t>T00289</t>
  </si>
  <si>
    <t>T00290</t>
  </si>
  <si>
    <t>2023-05-11</t>
  </si>
  <si>
    <t>T00291</t>
  </si>
  <si>
    <t>2023-12-31</t>
  </si>
  <si>
    <t>T00292</t>
  </si>
  <si>
    <t>2023-01-26</t>
  </si>
  <si>
    <t>T00293</t>
  </si>
  <si>
    <t>2023-06-28</t>
  </si>
  <si>
    <t>T00294</t>
  </si>
  <si>
    <t>2024-09-15</t>
  </si>
  <si>
    <t>T00295</t>
  </si>
  <si>
    <t>2024-09-26</t>
  </si>
  <si>
    <t>T00296</t>
  </si>
  <si>
    <t>2025-01-04</t>
  </si>
  <si>
    <t>T00297</t>
  </si>
  <si>
    <t>2023-02-20</t>
  </si>
  <si>
    <t>T00298</t>
  </si>
  <si>
    <t>2025-06-05</t>
  </si>
  <si>
    <t>T00299</t>
  </si>
  <si>
    <t>T00300</t>
  </si>
  <si>
    <t>T00301</t>
  </si>
  <si>
    <t>2023-02-18</t>
  </si>
  <si>
    <t>T00302</t>
  </si>
  <si>
    <t>2024-07-05</t>
  </si>
  <si>
    <t>T00303</t>
  </si>
  <si>
    <t>T00304</t>
  </si>
  <si>
    <t>2023-06-26</t>
  </si>
  <si>
    <t>T00305</t>
  </si>
  <si>
    <t>2025-03-07</t>
  </si>
  <si>
    <t>T00306</t>
  </si>
  <si>
    <t>2024-09-28</t>
  </si>
  <si>
    <t>T00307</t>
  </si>
  <si>
    <t>2023-12-20</t>
  </si>
  <si>
    <t>T00308</t>
  </si>
  <si>
    <t>2024-05-09</t>
  </si>
  <si>
    <t>T00309</t>
  </si>
  <si>
    <t>T00310</t>
  </si>
  <si>
    <t>2024-06-19</t>
  </si>
  <si>
    <t>T00311</t>
  </si>
  <si>
    <t>2023-12-27</t>
  </si>
  <si>
    <t>T00312</t>
  </si>
  <si>
    <t>2024-12-24</t>
  </si>
  <si>
    <t>T00313</t>
  </si>
  <si>
    <t>T00314</t>
  </si>
  <si>
    <t>2024-03-15</t>
  </si>
  <si>
    <t>T00315</t>
  </si>
  <si>
    <t>2024-09-08</t>
  </si>
  <si>
    <t>T00316</t>
  </si>
  <si>
    <t>2023-12-15</t>
  </si>
  <si>
    <t>T00317</t>
  </si>
  <si>
    <t>T00318</t>
  </si>
  <si>
    <t>2023-01-02</t>
  </si>
  <si>
    <t>T00319</t>
  </si>
  <si>
    <t>T00320</t>
  </si>
  <si>
    <t>2023-11-05</t>
  </si>
  <si>
    <t>T00321</t>
  </si>
  <si>
    <t>2025-03-16</t>
  </si>
  <si>
    <t>T00322</t>
  </si>
  <si>
    <t>2024-12-29</t>
  </si>
  <si>
    <t>T00323</t>
  </si>
  <si>
    <t>2024-03-12</t>
  </si>
  <si>
    <t>T00324</t>
  </si>
  <si>
    <t>2024-07-30</t>
  </si>
  <si>
    <t>T00325</t>
  </si>
  <si>
    <t>2024-11-23</t>
  </si>
  <si>
    <t>T00326</t>
  </si>
  <si>
    <t>2023-03-08</t>
  </si>
  <si>
    <t>T00327</t>
  </si>
  <si>
    <t>2023-10-27</t>
  </si>
  <si>
    <t>T00328</t>
  </si>
  <si>
    <t>T00329</t>
  </si>
  <si>
    <t>2023-07-16</t>
  </si>
  <si>
    <t>T00330</t>
  </si>
  <si>
    <t>2024-07-29</t>
  </si>
  <si>
    <t>T00331</t>
  </si>
  <si>
    <t>T00332</t>
  </si>
  <si>
    <t>2024-03-20</t>
  </si>
  <si>
    <t>T00333</t>
  </si>
  <si>
    <t>2024-08-07</t>
  </si>
  <si>
    <t>T00334</t>
  </si>
  <si>
    <t>2024-12-06</t>
  </si>
  <si>
    <t>T00335</t>
  </si>
  <si>
    <t>T00336</t>
  </si>
  <si>
    <t>T00337</t>
  </si>
  <si>
    <t>2024-07-25</t>
  </si>
  <si>
    <t>T00338</t>
  </si>
  <si>
    <t>T00339</t>
  </si>
  <si>
    <t>2024-04-07</t>
  </si>
  <si>
    <t>T00340</t>
  </si>
  <si>
    <t>T00341</t>
  </si>
  <si>
    <t>2023-07-25</t>
  </si>
  <si>
    <t>T00342</t>
  </si>
  <si>
    <t>2024-06-22</t>
  </si>
  <si>
    <t>T00343</t>
  </si>
  <si>
    <t>T00344</t>
  </si>
  <si>
    <t>T00345</t>
  </si>
  <si>
    <t>2025-01-12</t>
  </si>
  <si>
    <t>T00346</t>
  </si>
  <si>
    <t>T00347</t>
  </si>
  <si>
    <t>T00348</t>
  </si>
  <si>
    <t>T00349</t>
  </si>
  <si>
    <t>2023-11-28</t>
  </si>
  <si>
    <t>T00350</t>
  </si>
  <si>
    <t>T00351</t>
  </si>
  <si>
    <t>2025-04-02</t>
  </si>
  <si>
    <t>T00352</t>
  </si>
  <si>
    <t>T00353</t>
  </si>
  <si>
    <t>2023-08-19</t>
  </si>
  <si>
    <t>T00354</t>
  </si>
  <si>
    <t>2025-02-16</t>
  </si>
  <si>
    <t>T00355</t>
  </si>
  <si>
    <t>2023-09-14</t>
  </si>
  <si>
    <t>T00356</t>
  </si>
  <si>
    <t>2023-11-27</t>
  </si>
  <si>
    <t>T00357</t>
  </si>
  <si>
    <t>2025-05-09</t>
  </si>
  <si>
    <t>T00358</t>
  </si>
  <si>
    <t>2025-04-10</t>
  </si>
  <si>
    <t>T00359</t>
  </si>
  <si>
    <t>T00360</t>
  </si>
  <si>
    <t>2024-09-27</t>
  </si>
  <si>
    <t>T00361</t>
  </si>
  <si>
    <t>2024-04-30</t>
  </si>
  <si>
    <t>T00362</t>
  </si>
  <si>
    <t>T00363</t>
  </si>
  <si>
    <t>2024-03-28</t>
  </si>
  <si>
    <t>T00364</t>
  </si>
  <si>
    <t>2024-07-18</t>
  </si>
  <si>
    <t>T00365</t>
  </si>
  <si>
    <t>T00366</t>
  </si>
  <si>
    <t>T00367</t>
  </si>
  <si>
    <t>T00368</t>
  </si>
  <si>
    <t>T00369</t>
  </si>
  <si>
    <t>2024-11-05</t>
  </si>
  <si>
    <t>T00370</t>
  </si>
  <si>
    <t>T00371</t>
  </si>
  <si>
    <t>T00372</t>
  </si>
  <si>
    <t>2024-03-10</t>
  </si>
  <si>
    <t>T00373</t>
  </si>
  <si>
    <t>2023-05-05</t>
  </si>
  <si>
    <t>T00374</t>
  </si>
  <si>
    <t>T00375</t>
  </si>
  <si>
    <t>2025-01-30</t>
  </si>
  <si>
    <t>T00376</t>
  </si>
  <si>
    <t>T00377</t>
  </si>
  <si>
    <t>T00378</t>
  </si>
  <si>
    <t>T00379</t>
  </si>
  <si>
    <t>2023-05-03</t>
  </si>
  <si>
    <t>T00380</t>
  </si>
  <si>
    <t>T00381</t>
  </si>
  <si>
    <t>T00382</t>
  </si>
  <si>
    <t>2025-04-04</t>
  </si>
  <si>
    <t>T00383</t>
  </si>
  <si>
    <t>2025-03-09</t>
  </si>
  <si>
    <t>T00384</t>
  </si>
  <si>
    <t>T00385</t>
  </si>
  <si>
    <t>2023-03-31</t>
  </si>
  <si>
    <t>T00386</t>
  </si>
  <si>
    <t>2023-09-26</t>
  </si>
  <si>
    <t>T00387</t>
  </si>
  <si>
    <t>2025-05-26</t>
  </si>
  <si>
    <t>T00388</t>
  </si>
  <si>
    <t>2025-01-03</t>
  </si>
  <si>
    <t>T00389</t>
  </si>
  <si>
    <t>T00390</t>
  </si>
  <si>
    <t>2023-02-11</t>
  </si>
  <si>
    <t>T00391</t>
  </si>
  <si>
    <t>T00392</t>
  </si>
  <si>
    <t>2023-08-04</t>
  </si>
  <si>
    <t>T00393</t>
  </si>
  <si>
    <t>2024-08-21</t>
  </si>
  <si>
    <t>T00394</t>
  </si>
  <si>
    <t>2023-05-29</t>
  </si>
  <si>
    <t>T00395</t>
  </si>
  <si>
    <t>T00396</t>
  </si>
  <si>
    <t>2023-09-13</t>
  </si>
  <si>
    <t>T00397</t>
  </si>
  <si>
    <t>2024-01-26</t>
  </si>
  <si>
    <t>T00398</t>
  </si>
  <si>
    <t>2025-05-04</t>
  </si>
  <si>
    <t>T00399</t>
  </si>
  <si>
    <t>2025-05-07</t>
  </si>
  <si>
    <t>T00400</t>
  </si>
  <si>
    <t>T00401</t>
  </si>
  <si>
    <t>2023-08-25</t>
  </si>
  <si>
    <t>T00402</t>
  </si>
  <si>
    <t>2023-01-15</t>
  </si>
  <si>
    <t>T00403</t>
  </si>
  <si>
    <t>2025-05-06</t>
  </si>
  <si>
    <t>T00404</t>
  </si>
  <si>
    <t>2023-01-03</t>
  </si>
  <si>
    <t>T00405</t>
  </si>
  <si>
    <t>T00406</t>
  </si>
  <si>
    <t>T00407</t>
  </si>
  <si>
    <t>2024-03-01</t>
  </si>
  <si>
    <t>T00408</t>
  </si>
  <si>
    <t>T00409</t>
  </si>
  <si>
    <t>2023-10-16</t>
  </si>
  <si>
    <t>T00410</t>
  </si>
  <si>
    <t>T00411</t>
  </si>
  <si>
    <t>2025-06-15</t>
  </si>
  <si>
    <t>T00412</t>
  </si>
  <si>
    <t>2023-04-02</t>
  </si>
  <si>
    <t>T00413</t>
  </si>
  <si>
    <t>2023-05-16</t>
  </si>
  <si>
    <t>T00414</t>
  </si>
  <si>
    <t>2023-12-12</t>
  </si>
  <si>
    <t>T00415</t>
  </si>
  <si>
    <t>2024-06-20</t>
  </si>
  <si>
    <t>T00416</t>
  </si>
  <si>
    <t>T00417</t>
  </si>
  <si>
    <t>2025-01-15</t>
  </si>
  <si>
    <t>T00418</t>
  </si>
  <si>
    <t>T00419</t>
  </si>
  <si>
    <t>2024-08-28</t>
  </si>
  <si>
    <t>T00420</t>
  </si>
  <si>
    <t>2023-01-14</t>
  </si>
  <si>
    <t>T00421</t>
  </si>
  <si>
    <t>2023-10-11</t>
  </si>
  <si>
    <t>T00422</t>
  </si>
  <si>
    <t>2023-07-07</t>
  </si>
  <si>
    <t>T00423</t>
  </si>
  <si>
    <t>2025-03-27</t>
  </si>
  <si>
    <t>T00424</t>
  </si>
  <si>
    <t>T00425</t>
  </si>
  <si>
    <t>2025-03-04</t>
  </si>
  <si>
    <t>T00426</t>
  </si>
  <si>
    <t>T00427</t>
  </si>
  <si>
    <t>2025-04-30</t>
  </si>
  <si>
    <t>T00428</t>
  </si>
  <si>
    <t>T00429</t>
  </si>
  <si>
    <t>2023-05-01</t>
  </si>
  <si>
    <t>T00430</t>
  </si>
  <si>
    <t>T00431</t>
  </si>
  <si>
    <t>2023-10-10</t>
  </si>
  <si>
    <t>T00432</t>
  </si>
  <si>
    <t>T00433</t>
  </si>
  <si>
    <t>2024-06-01</t>
  </si>
  <si>
    <t>T00434</t>
  </si>
  <si>
    <t>2023-12-26</t>
  </si>
  <si>
    <t>T00435</t>
  </si>
  <si>
    <t>2024-06-05</t>
  </si>
  <si>
    <t>T00436</t>
  </si>
  <si>
    <t>2024-11-25</t>
  </si>
  <si>
    <t>T00437</t>
  </si>
  <si>
    <t>2024-12-16</t>
  </si>
  <si>
    <t>T00438</t>
  </si>
  <si>
    <t>T00439</t>
  </si>
  <si>
    <t>2024-05-18</t>
  </si>
  <si>
    <t>T00440</t>
  </si>
  <si>
    <t>2023-04-14</t>
  </si>
  <si>
    <t>T00441</t>
  </si>
  <si>
    <t>T00442</t>
  </si>
  <si>
    <t>2025-03-15</t>
  </si>
  <si>
    <t>T00443</t>
  </si>
  <si>
    <t>T00444</t>
  </si>
  <si>
    <t>2023-12-21</t>
  </si>
  <si>
    <t>T00445</t>
  </si>
  <si>
    <t>2024-02-27</t>
  </si>
  <si>
    <t>T00446</t>
  </si>
  <si>
    <t>2024-12-13</t>
  </si>
  <si>
    <t>T00447</t>
  </si>
  <si>
    <t>2023-11-30</t>
  </si>
  <si>
    <t>T00448</t>
  </si>
  <si>
    <t>2024-05-30</t>
  </si>
  <si>
    <t>T00449</t>
  </si>
  <si>
    <t>T00450</t>
  </si>
  <si>
    <t>2023-04-29</t>
  </si>
  <si>
    <t>T00451</t>
  </si>
  <si>
    <t>T00452</t>
  </si>
  <si>
    <t>T00453</t>
  </si>
  <si>
    <t>2024-10-20</t>
  </si>
  <si>
    <t>T00454</t>
  </si>
  <si>
    <t>2023-01-06</t>
  </si>
  <si>
    <t>T00455</t>
  </si>
  <si>
    <t>2024-03-23</t>
  </si>
  <si>
    <t>T00456</t>
  </si>
  <si>
    <t>T00457</t>
  </si>
  <si>
    <t>2024-12-23</t>
  </si>
  <si>
    <t>T00458</t>
  </si>
  <si>
    <t>2024-11-28</t>
  </si>
  <si>
    <t>T00459</t>
  </si>
  <si>
    <t>2025-05-15</t>
  </si>
  <si>
    <t>T00460</t>
  </si>
  <si>
    <t>T00461</t>
  </si>
  <si>
    <t>2025-01-05</t>
  </si>
  <si>
    <t>T00462</t>
  </si>
  <si>
    <t>2023-05-28</t>
  </si>
  <si>
    <t>T00463</t>
  </si>
  <si>
    <t>2024-01-05</t>
  </si>
  <si>
    <t>T00464</t>
  </si>
  <si>
    <t>2024-03-13</t>
  </si>
  <si>
    <t>T00465</t>
  </si>
  <si>
    <t>2024-08-24</t>
  </si>
  <si>
    <t>T00466</t>
  </si>
  <si>
    <t>2023-06-23</t>
  </si>
  <si>
    <t>T00467</t>
  </si>
  <si>
    <t>2025-06-03</t>
  </si>
  <si>
    <t>T00468</t>
  </si>
  <si>
    <t>2024-03-30</t>
  </si>
  <si>
    <t>T00469</t>
  </si>
  <si>
    <t>T00470</t>
  </si>
  <si>
    <t>T00471</t>
  </si>
  <si>
    <t>2025-05-27</t>
  </si>
  <si>
    <t>T00472</t>
  </si>
  <si>
    <t>T00473</t>
  </si>
  <si>
    <t>2024-05-03</t>
  </si>
  <si>
    <t>T00474</t>
  </si>
  <si>
    <t>T00475</t>
  </si>
  <si>
    <t>T00476</t>
  </si>
  <si>
    <t>2024-07-24</t>
  </si>
  <si>
    <t>T00477</t>
  </si>
  <si>
    <t>2023-11-03</t>
  </si>
  <si>
    <t>T00478</t>
  </si>
  <si>
    <t>2023-08-14</t>
  </si>
  <si>
    <t>T00479</t>
  </si>
  <si>
    <t>2023-03-18</t>
  </si>
  <si>
    <t>T00480</t>
  </si>
  <si>
    <t>2024-04-06</t>
  </si>
  <si>
    <t>T00481</t>
  </si>
  <si>
    <t>2025-05-12</t>
  </si>
  <si>
    <t>T00482</t>
  </si>
  <si>
    <t>2023-06-21</t>
  </si>
  <si>
    <t>T00483</t>
  </si>
  <si>
    <t>T00484</t>
  </si>
  <si>
    <t>2025-01-18</t>
  </si>
  <si>
    <t>T00485</t>
  </si>
  <si>
    <t>2024-03-08</t>
  </si>
  <si>
    <t>T00486</t>
  </si>
  <si>
    <t>T00487</t>
  </si>
  <si>
    <t>T00488</t>
  </si>
  <si>
    <t>T00489</t>
  </si>
  <si>
    <t>2024-01-10</t>
  </si>
  <si>
    <t>T00490</t>
  </si>
  <si>
    <t>T00491</t>
  </si>
  <si>
    <t>T00492</t>
  </si>
  <si>
    <t>2025-01-09</t>
  </si>
  <si>
    <t>T00493</t>
  </si>
  <si>
    <t>T00494</t>
  </si>
  <si>
    <t>T00495</t>
  </si>
  <si>
    <t>2025-01-01</t>
  </si>
  <si>
    <t>T00496</t>
  </si>
  <si>
    <t>2023-10-30</t>
  </si>
  <si>
    <t>T00497</t>
  </si>
  <si>
    <t>2025-05-10</t>
  </si>
  <si>
    <t>T00498</t>
  </si>
  <si>
    <t>2023-12-02</t>
  </si>
  <si>
    <t>T00499</t>
  </si>
  <si>
    <t>2023-11-11</t>
  </si>
  <si>
    <t>T00500</t>
  </si>
  <si>
    <t>2024-12-27</t>
  </si>
  <si>
    <t>T00501</t>
  </si>
  <si>
    <t>T00502</t>
  </si>
  <si>
    <t>T00503</t>
  </si>
  <si>
    <t>2023-02-17</t>
  </si>
  <si>
    <t>T00504</t>
  </si>
  <si>
    <t>T00505</t>
  </si>
  <si>
    <t>2023-01-27</t>
  </si>
  <si>
    <t>T00506</t>
  </si>
  <si>
    <t>2023-01-17</t>
  </si>
  <si>
    <t>T00507</t>
  </si>
  <si>
    <t>2024-09-17</t>
  </si>
  <si>
    <t>T00508</t>
  </si>
  <si>
    <t>T00509</t>
  </si>
  <si>
    <t>2023-01-01</t>
  </si>
  <si>
    <t>T00510</t>
  </si>
  <si>
    <t>T00511</t>
  </si>
  <si>
    <t>2025-05-28</t>
  </si>
  <si>
    <t>T00512</t>
  </si>
  <si>
    <t>2023-07-20</t>
  </si>
  <si>
    <t>T00513</t>
  </si>
  <si>
    <t>2024-05-22</t>
  </si>
  <si>
    <t>T00514</t>
  </si>
  <si>
    <t>T00515</t>
  </si>
  <si>
    <t>2024-04-10</t>
  </si>
  <si>
    <t>T00516</t>
  </si>
  <si>
    <t>T00517</t>
  </si>
  <si>
    <t>T00518</t>
  </si>
  <si>
    <t>2025-02-19</t>
  </si>
  <si>
    <t>T00519</t>
  </si>
  <si>
    <t>T00520</t>
  </si>
  <si>
    <t>T00521</t>
  </si>
  <si>
    <t>2024-08-18</t>
  </si>
  <si>
    <t>T00522</t>
  </si>
  <si>
    <t>2023-05-13</t>
  </si>
  <si>
    <t>T00523</t>
  </si>
  <si>
    <t>T00524</t>
  </si>
  <si>
    <t>T00525</t>
  </si>
  <si>
    <t>T00526</t>
  </si>
  <si>
    <t>T00527</t>
  </si>
  <si>
    <t>T00528</t>
  </si>
  <si>
    <t>2023-08-07</t>
  </si>
  <si>
    <t>T00529</t>
  </si>
  <si>
    <t>2023-12-04</t>
  </si>
  <si>
    <t>T00530</t>
  </si>
  <si>
    <t>2024-10-26</t>
  </si>
  <si>
    <t>T00531</t>
  </si>
  <si>
    <t>T00532</t>
  </si>
  <si>
    <t>2025-01-24</t>
  </si>
  <si>
    <t>T00533</t>
  </si>
  <si>
    <t>2023-12-16</t>
  </si>
  <si>
    <t>T00534</t>
  </si>
  <si>
    <t>T00535</t>
  </si>
  <si>
    <t>2024-02-23</t>
  </si>
  <si>
    <t>T00536</t>
  </si>
  <si>
    <t>2023-08-11</t>
  </si>
  <si>
    <t>T00537</t>
  </si>
  <si>
    <t>T00538</t>
  </si>
  <si>
    <t>T00539</t>
  </si>
  <si>
    <t>2023-07-23</t>
  </si>
  <si>
    <t>T00540</t>
  </si>
  <si>
    <t>T00541</t>
  </si>
  <si>
    <t>2023-06-27</t>
  </si>
  <si>
    <t>T00542</t>
  </si>
  <si>
    <t>2023-01-28</t>
  </si>
  <si>
    <t>T00543</t>
  </si>
  <si>
    <t>2024-10-27</t>
  </si>
  <si>
    <t>T00544</t>
  </si>
  <si>
    <t>2023-03-06</t>
  </si>
  <si>
    <t>T00545</t>
  </si>
  <si>
    <t>2023-04-18</t>
  </si>
  <si>
    <t>T00546</t>
  </si>
  <si>
    <t>2024-12-02</t>
  </si>
  <si>
    <t>T00547</t>
  </si>
  <si>
    <t>2023-07-05</t>
  </si>
  <si>
    <t>T00548</t>
  </si>
  <si>
    <t>T00549</t>
  </si>
  <si>
    <t>2023-04-01</t>
  </si>
  <si>
    <t>T00550</t>
  </si>
  <si>
    <t>T00551</t>
  </si>
  <si>
    <t>T00552</t>
  </si>
  <si>
    <t>2024-01-17</t>
  </si>
  <si>
    <t>T00553</t>
  </si>
  <si>
    <t>2023-04-03</t>
  </si>
  <si>
    <t>T00554</t>
  </si>
  <si>
    <t>2024-11-09</t>
  </si>
  <si>
    <t>T00555</t>
  </si>
  <si>
    <t>T00556</t>
  </si>
  <si>
    <t>2024-06-26</t>
  </si>
  <si>
    <t>T00557</t>
  </si>
  <si>
    <t>T00558</t>
  </si>
  <si>
    <t>2025-01-16</t>
  </si>
  <si>
    <t>T00559</t>
  </si>
  <si>
    <t>T00560</t>
  </si>
  <si>
    <t>T00561</t>
  </si>
  <si>
    <t>2024-12-21</t>
  </si>
  <si>
    <t>T00562</t>
  </si>
  <si>
    <t>T00563</t>
  </si>
  <si>
    <t>2025-05-25</t>
  </si>
  <si>
    <t>T00564</t>
  </si>
  <si>
    <t>2024-07-12</t>
  </si>
  <si>
    <t>T00565</t>
  </si>
  <si>
    <t>2024-01-18</t>
  </si>
  <si>
    <t>T00566</t>
  </si>
  <si>
    <t>T00567</t>
  </si>
  <si>
    <t>2023-01-29</t>
  </si>
  <si>
    <t>T00568</t>
  </si>
  <si>
    <t>2023-05-31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</si>
  <si>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</si>
  <si>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</si>
  <si>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</si>
  <si>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</si>
  <si>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</si>
  <si>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</si>
  <si>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</si>
  <si>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</si>
  <si>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</si>
  <si>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</si>
  <si>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</si>
  <si>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</si>
  <si>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2024-09-12</t>
  </si>
  <si>
    <t>T00581</t>
  </si>
  <si>
    <t>2023-01-16</t>
  </si>
  <si>
    <t>T00582</t>
  </si>
  <si>
    <t>2023-09-12</t>
  </si>
  <si>
    <t>T00583</t>
  </si>
  <si>
    <t>T00584</t>
  </si>
  <si>
    <t>2024-10-18</t>
  </si>
  <si>
    <t>T00585</t>
  </si>
  <si>
    <t>T00586</t>
  </si>
  <si>
    <t>2024-01-11</t>
  </si>
  <si>
    <t>T00587</t>
  </si>
  <si>
    <t>2024-12-28</t>
  </si>
  <si>
    <t>T00588</t>
  </si>
  <si>
    <t>2024-05-10</t>
  </si>
  <si>
    <t>T00589</t>
  </si>
  <si>
    <t>2023-08-20</t>
  </si>
  <si>
    <t>T00590</t>
  </si>
  <si>
    <t>2023-06-07</t>
  </si>
  <si>
    <t>T00591</t>
  </si>
  <si>
    <t>T00592</t>
  </si>
  <si>
    <t>2025-06-14</t>
  </si>
  <si>
    <t>T00593</t>
  </si>
  <si>
    <t>2023-09-08</t>
  </si>
  <si>
    <t>T00594</t>
  </si>
  <si>
    <t>T00595</t>
  </si>
  <si>
    <t>T00596</t>
  </si>
  <si>
    <t>2023-04-21</t>
  </si>
  <si>
    <t>T00597</t>
  </si>
  <si>
    <t>2023-12-03</t>
  </si>
  <si>
    <t>T00598</t>
  </si>
  <si>
    <t>T00599</t>
  </si>
  <si>
    <t>2025-01-11</t>
  </si>
  <si>
    <t>T00600</t>
  </si>
  <si>
    <t>2023-04-30</t>
  </si>
  <si>
    <t>T00601</t>
  </si>
  <si>
    <t>2023-04-11</t>
  </si>
  <si>
    <t>T00602</t>
  </si>
  <si>
    <t>T00603</t>
  </si>
  <si>
    <t>2024-12-20</t>
  </si>
  <si>
    <t>T00604</t>
  </si>
  <si>
    <t>2023-07-22</t>
  </si>
  <si>
    <t>T00605</t>
  </si>
  <si>
    <t>T00606</t>
  </si>
  <si>
    <t>2023-10-23</t>
  </si>
  <si>
    <t>T00607</t>
  </si>
  <si>
    <t>T00608</t>
  </si>
  <si>
    <t>T00609</t>
  </si>
  <si>
    <t>T00610</t>
  </si>
  <si>
    <t>2024-01-21</t>
  </si>
  <si>
    <t>T00611</t>
  </si>
  <si>
    <t>2023-02-12</t>
  </si>
  <si>
    <t>T00612</t>
  </si>
  <si>
    <t>2023-12-13</t>
  </si>
  <si>
    <t>T00613</t>
  </si>
  <si>
    <t>T00614</t>
  </si>
  <si>
    <t>T00615</t>
  </si>
  <si>
    <t>2024-12-14</t>
  </si>
  <si>
    <t>T00616</t>
  </si>
  <si>
    <t>T00617</t>
  </si>
  <si>
    <t>T00618</t>
  </si>
  <si>
    <t>T00619</t>
  </si>
  <si>
    <t>T00620</t>
  </si>
  <si>
    <t>2023-08-15</t>
  </si>
  <si>
    <t>T00621</t>
  </si>
  <si>
    <t>2024-05-02</t>
  </si>
  <si>
    <t>T00622</t>
  </si>
  <si>
    <t>T00623</t>
  </si>
  <si>
    <t>T00624</t>
  </si>
  <si>
    <t>T00625</t>
  </si>
  <si>
    <t>2024-05-28</t>
  </si>
  <si>
    <t>T00626</t>
  </si>
  <si>
    <t>T00627</t>
  </si>
  <si>
    <t>T00628</t>
  </si>
  <si>
    <t>T00629</t>
  </si>
  <si>
    <t>2023-06-11</t>
  </si>
  <si>
    <t>T00630</t>
  </si>
  <si>
    <t>2023-05-12</t>
  </si>
  <si>
    <t>T00631</t>
  </si>
  <si>
    <t>2023-03-11</t>
  </si>
  <si>
    <t>T00632</t>
  </si>
  <si>
    <t>2023-03-01</t>
  </si>
  <si>
    <t>T00633</t>
  </si>
  <si>
    <t>T00634</t>
  </si>
  <si>
    <t>T00635</t>
  </si>
  <si>
    <t>T00636</t>
  </si>
  <si>
    <t>2024-05-25</t>
  </si>
  <si>
    <t>T00637</t>
  </si>
  <si>
    <t>2023-03-19</t>
  </si>
  <si>
    <t>T00638</t>
  </si>
  <si>
    <t>2023-01-13</t>
  </si>
  <si>
    <t>T00639</t>
  </si>
  <si>
    <t>2023-12-22</t>
  </si>
  <si>
    <t>T00640</t>
  </si>
  <si>
    <t>T00641</t>
  </si>
  <si>
    <t>2024-01-04</t>
  </si>
  <si>
    <t>T00642</t>
  </si>
  <si>
    <t>T00643</t>
  </si>
  <si>
    <t>T00644</t>
  </si>
  <si>
    <t>T00645</t>
  </si>
  <si>
    <t>T00646</t>
  </si>
  <si>
    <t>2023-02-16</t>
  </si>
  <si>
    <t>T00647</t>
  </si>
  <si>
    <t>T00648</t>
  </si>
  <si>
    <t>T00649</t>
  </si>
  <si>
    <t>T00650</t>
  </si>
  <si>
    <t>T00651</t>
  </si>
  <si>
    <t>T00652</t>
  </si>
  <si>
    <t>T00653</t>
  </si>
  <si>
    <t>2024-09-23</t>
  </si>
  <si>
    <t>T00654</t>
  </si>
  <si>
    <t>T00655</t>
  </si>
  <si>
    <t>T00656</t>
  </si>
  <si>
    <t>T00657</t>
  </si>
  <si>
    <t>T00658</t>
  </si>
  <si>
    <t>T00659</t>
  </si>
  <si>
    <t>2024-08-05</t>
  </si>
  <si>
    <t>T00660</t>
  </si>
  <si>
    <t>2024-06-04</t>
  </si>
  <si>
    <t>T00661</t>
  </si>
  <si>
    <t>T00662</t>
  </si>
  <si>
    <t>T00663</t>
  </si>
  <si>
    <t>2023-01-07</t>
  </si>
  <si>
    <t>T00664</t>
  </si>
  <si>
    <t>T00665</t>
  </si>
  <si>
    <t>T00666</t>
  </si>
  <si>
    <t>2024-03-25</t>
  </si>
  <si>
    <t>T00667</t>
  </si>
  <si>
    <t>T00668</t>
  </si>
  <si>
    <t>2025-01-07</t>
  </si>
  <si>
    <t>T00669</t>
  </si>
  <si>
    <t>2025-02-08</t>
  </si>
  <si>
    <t>T00670</t>
  </si>
  <si>
    <t>2024-07-07</t>
  </si>
  <si>
    <t>T00671</t>
  </si>
  <si>
    <t>T00672</t>
  </si>
  <si>
    <t>T00673</t>
  </si>
  <si>
    <t>2023-10-09</t>
  </si>
  <si>
    <t>T00674</t>
  </si>
  <si>
    <t>T00675</t>
  </si>
  <si>
    <t>T00676</t>
  </si>
  <si>
    <t>T00677</t>
  </si>
  <si>
    <t>2024-08-22</t>
  </si>
  <si>
    <t>T00678</t>
  </si>
  <si>
    <t>T00679</t>
  </si>
  <si>
    <t>T00680</t>
  </si>
  <si>
    <t>T00681</t>
  </si>
  <si>
    <t>T00682</t>
  </si>
  <si>
    <t>T00683</t>
  </si>
  <si>
    <t>2024-04-03</t>
  </si>
  <si>
    <t>T00684</t>
  </si>
  <si>
    <t>T00685</t>
  </si>
  <si>
    <t>T00686</t>
  </si>
  <si>
    <t>T00687</t>
  </si>
  <si>
    <t>T00688</t>
  </si>
  <si>
    <t>2025-04-07</t>
  </si>
  <si>
    <t>T00689</t>
  </si>
  <si>
    <t>2023-09-04</t>
  </si>
  <si>
    <t>T00690</t>
  </si>
  <si>
    <t>2023-07-09</t>
  </si>
  <si>
    <t>T00691</t>
  </si>
  <si>
    <t>2025-03-10</t>
  </si>
  <si>
    <t>T00692</t>
  </si>
  <si>
    <t>T00693</t>
  </si>
  <si>
    <t>T00694</t>
  </si>
  <si>
    <t>2024-11-11</t>
  </si>
  <si>
    <t>T00695</t>
  </si>
  <si>
    <t>T00696</t>
  </si>
  <si>
    <t>T00697</t>
  </si>
  <si>
    <t>2023-07-17</t>
  </si>
  <si>
    <t>T00698</t>
  </si>
  <si>
    <t>2024-07-21</t>
  </si>
  <si>
    <t>T00699</t>
  </si>
  <si>
    <t>2023-05-27</t>
  </si>
  <si>
    <t>T00700</t>
  </si>
  <si>
    <t>T00701</t>
  </si>
  <si>
    <t>T00702</t>
  </si>
  <si>
    <t>2024-01-02</t>
  </si>
  <si>
    <t>T00703</t>
  </si>
  <si>
    <t>T00704</t>
  </si>
  <si>
    <t>2025-05-01</t>
  </si>
  <si>
    <t>T00705</t>
  </si>
  <si>
    <t>2024-05-27</t>
  </si>
  <si>
    <t>T00706</t>
  </si>
  <si>
    <t>2024-05-21</t>
  </si>
  <si>
    <t>T00707</t>
  </si>
  <si>
    <t>2024-03-22</t>
  </si>
  <si>
    <t>T00708</t>
  </si>
  <si>
    <t>2024-02-24</t>
  </si>
  <si>
    <t>T00709</t>
  </si>
  <si>
    <t>2023-05-21</t>
  </si>
  <si>
    <t>T00710</t>
  </si>
  <si>
    <t>T00711</t>
  </si>
  <si>
    <t>2023-08-13</t>
  </si>
  <si>
    <t>T00712</t>
  </si>
  <si>
    <t>T00713</t>
  </si>
  <si>
    <t>T00714</t>
  </si>
  <si>
    <t>2023-01-18</t>
  </si>
  <si>
    <t>T00715</t>
  </si>
  <si>
    <t>2024-01-08</t>
  </si>
  <si>
    <t>T00716</t>
  </si>
  <si>
    <t>2023-12-17</t>
  </si>
  <si>
    <t>T00717</t>
  </si>
  <si>
    <t>2024-10-03</t>
  </si>
  <si>
    <t>T00718</t>
  </si>
  <si>
    <t>2023-03-24</t>
  </si>
  <si>
    <t>T00719</t>
  </si>
  <si>
    <t>2025-01-27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</si>
  <si>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</si>
  <si>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</si>
  <si>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</si>
  <si>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</si>
  <si>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</si>
  <si>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</si>
  <si>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</si>
  <si>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</si>
  <si>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2023-02-04</t>
  </si>
  <si>
    <t>T00728</t>
  </si>
  <si>
    <t>T00729</t>
  </si>
  <si>
    <t>2025-05-11</t>
  </si>
  <si>
    <t>T00730</t>
  </si>
  <si>
    <t>T00731</t>
  </si>
  <si>
    <t>2024-12-30</t>
  </si>
  <si>
    <t>T00732</t>
  </si>
  <si>
    <t>2023-11-17</t>
  </si>
  <si>
    <t>T00733</t>
  </si>
  <si>
    <t>2024-06-13</t>
  </si>
  <si>
    <t>T00734</t>
  </si>
  <si>
    <t>T00735</t>
  </si>
  <si>
    <t>T00736</t>
  </si>
  <si>
    <t>2023-08-05</t>
  </si>
  <si>
    <t>T00737</t>
  </si>
  <si>
    <t>T00738</t>
  </si>
  <si>
    <t>T00739</t>
  </si>
  <si>
    <t>T00740</t>
  </si>
  <si>
    <t>T00741</t>
  </si>
  <si>
    <t>T00742</t>
  </si>
  <si>
    <t>T00743</t>
  </si>
  <si>
    <t>2024-07-13</t>
  </si>
  <si>
    <t>T00744</t>
  </si>
  <si>
    <t>T00745</t>
  </si>
  <si>
    <t>2023-06-09</t>
  </si>
  <si>
    <t>T00746</t>
  </si>
  <si>
    <t>2024-10-09</t>
  </si>
  <si>
    <t>T00747</t>
  </si>
  <si>
    <t>T00748</t>
  </si>
  <si>
    <t>2023-11-13</t>
  </si>
  <si>
    <t>T00749</t>
  </si>
  <si>
    <t>T00750</t>
  </si>
  <si>
    <t>2023-10-29</t>
  </si>
  <si>
    <t>T00751</t>
  </si>
  <si>
    <t>T00752</t>
  </si>
  <si>
    <t>T00753</t>
  </si>
  <si>
    <t>T00754</t>
  </si>
  <si>
    <t>2023-08-21</t>
  </si>
  <si>
    <t>T00755</t>
  </si>
  <si>
    <t>T00756</t>
  </si>
  <si>
    <t>T00757</t>
  </si>
  <si>
    <t>T00758</t>
  </si>
  <si>
    <t>T00759</t>
  </si>
  <si>
    <t>T00760</t>
  </si>
  <si>
    <t>2024-04-16</t>
  </si>
  <si>
    <t>T00761</t>
  </si>
  <si>
    <t>T00762</t>
  </si>
  <si>
    <t>2023-09-23</t>
  </si>
  <si>
    <t>T00763</t>
  </si>
  <si>
    <t>T00764</t>
  </si>
  <si>
    <t>2024-01-09</t>
  </si>
  <si>
    <t>T00765</t>
  </si>
  <si>
    <t>T00766</t>
  </si>
  <si>
    <t>T00767</t>
  </si>
  <si>
    <t>T00768</t>
  </si>
  <si>
    <t>T00769</t>
  </si>
  <si>
    <t>T00770</t>
  </si>
  <si>
    <t>T00771</t>
  </si>
  <si>
    <t>2024-06-18</t>
  </si>
  <si>
    <t>T00772</t>
  </si>
  <si>
    <t>2024-01-28</t>
  </si>
  <si>
    <t>T00773</t>
  </si>
  <si>
    <t>T00774</t>
  </si>
  <si>
    <t>T00775</t>
  </si>
  <si>
    <t>T00776</t>
  </si>
  <si>
    <t>2024-07-08</t>
  </si>
  <si>
    <t>T00777</t>
  </si>
  <si>
    <t>T00778</t>
  </si>
  <si>
    <t>2024-04-11</t>
  </si>
  <si>
    <t>T00779</t>
  </si>
  <si>
    <t>T00780</t>
  </si>
  <si>
    <t>T00781</t>
  </si>
  <si>
    <t>2025-03-24</t>
  </si>
  <si>
    <t>T00782</t>
  </si>
  <si>
    <t>T00783</t>
  </si>
  <si>
    <t>T00784</t>
  </si>
  <si>
    <t>2023-02-01</t>
  </si>
  <si>
    <t>T00785</t>
  </si>
  <si>
    <t>T00786</t>
  </si>
  <si>
    <t>T00787</t>
  </si>
  <si>
    <t>T00788</t>
  </si>
  <si>
    <t>T00789</t>
  </si>
  <si>
    <t>T00790</t>
  </si>
  <si>
    <t>2024-03-02</t>
  </si>
  <si>
    <t>T00791</t>
  </si>
  <si>
    <t>T00792</t>
  </si>
  <si>
    <t>T00793</t>
  </si>
  <si>
    <t>2024-01-14</t>
  </si>
  <si>
    <t>T00794</t>
  </si>
  <si>
    <t>2025-02-09</t>
  </si>
  <si>
    <t>T00795</t>
  </si>
  <si>
    <t>T00796</t>
  </si>
  <si>
    <t>2025-01-26</t>
  </si>
  <si>
    <t>T00797</t>
  </si>
  <si>
    <t>T00798</t>
  </si>
  <si>
    <t>2025-04-29</t>
  </si>
  <si>
    <t>T00799</t>
  </si>
  <si>
    <t>2023-02-05</t>
  </si>
  <si>
    <t>T00800</t>
  </si>
  <si>
    <t>2025-03-19</t>
  </si>
  <si>
    <t>T00801</t>
  </si>
  <si>
    <t>2024-05-06</t>
  </si>
  <si>
    <t>T00802</t>
  </si>
  <si>
    <t>T00803</t>
  </si>
  <si>
    <t>2025-04-15</t>
  </si>
  <si>
    <t>T00804</t>
  </si>
  <si>
    <t>2023-08-02</t>
  </si>
  <si>
    <t>T00805</t>
  </si>
  <si>
    <t>T00806</t>
  </si>
  <si>
    <t>2024-05-29</t>
  </si>
  <si>
    <t>T00807</t>
  </si>
  <si>
    <t>2024-05-15</t>
  </si>
  <si>
    <t>T00808</t>
  </si>
  <si>
    <t>2023-12-05</t>
  </si>
  <si>
    <t>T00809</t>
  </si>
  <si>
    <t>2024-11-22</t>
  </si>
  <si>
    <t>T00810</t>
  </si>
  <si>
    <t>T00811</t>
  </si>
  <si>
    <t>T00812</t>
  </si>
  <si>
    <t>2023-06-10</t>
  </si>
  <si>
    <t>T00813</t>
  </si>
  <si>
    <t>T00814</t>
  </si>
  <si>
    <t>T00815</t>
  </si>
  <si>
    <t>2025-01-31</t>
  </si>
  <si>
    <t>T00816</t>
  </si>
  <si>
    <t>2023-03-16</t>
  </si>
  <si>
    <t>T00817</t>
  </si>
  <si>
    <t>T00818</t>
  </si>
  <si>
    <t>T00819</t>
  </si>
  <si>
    <t>2024-02-14</t>
  </si>
  <si>
    <t>T00820</t>
  </si>
  <si>
    <t>T00821</t>
  </si>
  <si>
    <t>T00822</t>
  </si>
  <si>
    <t>T00823</t>
  </si>
  <si>
    <t>T00824</t>
  </si>
  <si>
    <t>T00825</t>
  </si>
  <si>
    <t>T00826</t>
  </si>
  <si>
    <t>2025-05-24</t>
  </si>
  <si>
    <t>T00827</t>
  </si>
  <si>
    <t>T00828</t>
  </si>
  <si>
    <t>2024-10-06</t>
  </si>
  <si>
    <t>T00829</t>
  </si>
  <si>
    <t>T00830</t>
  </si>
  <si>
    <t>2023-06-30</t>
  </si>
  <si>
    <t>T00831</t>
  </si>
  <si>
    <t>2024-04-14</t>
  </si>
  <si>
    <t>T00832</t>
  </si>
  <si>
    <t>2023-07-06</t>
  </si>
  <si>
    <t>T00833</t>
  </si>
  <si>
    <t>T00834</t>
  </si>
  <si>
    <t>T00835</t>
  </si>
  <si>
    <t>2023-08-31</t>
  </si>
  <si>
    <t>T00836</t>
  </si>
  <si>
    <t>2025-05-05</t>
  </si>
  <si>
    <t>T00837</t>
  </si>
  <si>
    <t>2025-03-08</t>
  </si>
  <si>
    <t>T00838</t>
  </si>
  <si>
    <t>2023-04-17</t>
  </si>
  <si>
    <t>T00839</t>
  </si>
  <si>
    <t>T00840</t>
  </si>
  <si>
    <t>2023-08-17</t>
  </si>
  <si>
    <t>T00841</t>
  </si>
  <si>
    <t>T00842</t>
  </si>
  <si>
    <t>2023-08-22</t>
  </si>
  <si>
    <t>T00843</t>
  </si>
  <si>
    <t>2023-06-25</t>
  </si>
  <si>
    <t>T00844</t>
  </si>
  <si>
    <t>T00845</t>
  </si>
  <si>
    <t>2024-02-04</t>
  </si>
  <si>
    <t>T00846</t>
  </si>
  <si>
    <t>T00847</t>
  </si>
  <si>
    <t>T00848</t>
  </si>
  <si>
    <t>2024-03-07</t>
  </si>
  <si>
    <t>T00849</t>
  </si>
  <si>
    <t>2025-03-13</t>
  </si>
  <si>
    <t>T00850</t>
  </si>
  <si>
    <t>T00851</t>
  </si>
  <si>
    <t>T00852</t>
  </si>
  <si>
    <t>T00853</t>
  </si>
  <si>
    <t>T00854</t>
  </si>
  <si>
    <t>2025-01-02</t>
  </si>
  <si>
    <t>T00855</t>
  </si>
  <si>
    <t>T00856</t>
  </si>
  <si>
    <t>T00857</t>
  </si>
  <si>
    <t>2024-08-26</t>
  </si>
  <si>
    <t>T00858</t>
  </si>
  <si>
    <t>2024-09-14</t>
  </si>
  <si>
    <t>T00859</t>
  </si>
  <si>
    <t>2024-02-16</t>
  </si>
  <si>
    <t>T00860</t>
  </si>
  <si>
    <t>T00861</t>
  </si>
  <si>
    <t>T00862</t>
  </si>
  <si>
    <t>2024-07-16</t>
  </si>
  <si>
    <t>T00863</t>
  </si>
  <si>
    <t>2023-11-18</t>
  </si>
  <si>
    <t>T00864</t>
  </si>
  <si>
    <t>2023-05-09</t>
  </si>
  <si>
    <t>T00865</t>
  </si>
  <si>
    <t>T00866</t>
  </si>
  <si>
    <t>2024-08-17</t>
  </si>
  <si>
    <t>T00867</t>
  </si>
  <si>
    <t>T00868</t>
  </si>
  <si>
    <t>T00869</t>
  </si>
  <si>
    <t>2023-02-24</t>
  </si>
  <si>
    <t>T00870</t>
  </si>
  <si>
    <t>T00871</t>
  </si>
  <si>
    <t>2025-03-12</t>
  </si>
  <si>
    <t>T00872</t>
  </si>
  <si>
    <t>2023-06-29</t>
  </si>
  <si>
    <t>T00873</t>
  </si>
  <si>
    <t>T00874</t>
  </si>
  <si>
    <t>2024-02-05</t>
  </si>
  <si>
    <t>T00875</t>
  </si>
  <si>
    <t>T00876</t>
  </si>
  <si>
    <t>2024-02-09</t>
  </si>
  <si>
    <t>T00877</t>
  </si>
  <si>
    <t>T00878</t>
  </si>
  <si>
    <t>2023-11-23</t>
  </si>
  <si>
    <t>T00879</t>
  </si>
  <si>
    <t>T00880</t>
  </si>
  <si>
    <t>T00881</t>
  </si>
  <si>
    <t>T00882</t>
  </si>
  <si>
    <t>T00883</t>
  </si>
  <si>
    <t>T00884</t>
  </si>
  <si>
    <t>2024-10-22</t>
  </si>
  <si>
    <t>T00885</t>
  </si>
  <si>
    <t>T00886</t>
  </si>
  <si>
    <t>T00887</t>
  </si>
  <si>
    <t>2025-02-27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</si>
  <si>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</si>
  <si>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</si>
  <si>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</si>
  <si>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</si>
  <si>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</si>
  <si>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</si>
  <si>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</si>
  <si>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</si>
  <si>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</si>
  <si>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</si>
  <si>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2025-04-28</t>
  </si>
  <si>
    <t>T00898</t>
  </si>
  <si>
    <t>T00899</t>
  </si>
  <si>
    <t>T00900</t>
  </si>
  <si>
    <t>2023-12-08</t>
  </si>
  <si>
    <t>T00901</t>
  </si>
  <si>
    <t>T00902</t>
  </si>
  <si>
    <t>T00903</t>
  </si>
  <si>
    <t>2023-06-22</t>
  </si>
  <si>
    <t>T00904</t>
  </si>
  <si>
    <t>T00905</t>
  </si>
  <si>
    <t>2023-07-29</t>
  </si>
  <si>
    <t>T00906</t>
  </si>
  <si>
    <t>T00907</t>
  </si>
  <si>
    <t>T00908</t>
  </si>
  <si>
    <t>T00909</t>
  </si>
  <si>
    <t>T00910</t>
  </si>
  <si>
    <t>2023-10-25</t>
  </si>
  <si>
    <t>T00911</t>
  </si>
  <si>
    <t>2024-10-24</t>
  </si>
  <si>
    <t>T00912</t>
  </si>
  <si>
    <t>T00913</t>
  </si>
  <si>
    <t>2024-06-17</t>
  </si>
  <si>
    <t>T00914</t>
  </si>
  <si>
    <t>T00915</t>
  </si>
  <si>
    <t>T00916</t>
  </si>
  <si>
    <t>T00917</t>
  </si>
  <si>
    <t>T00918</t>
  </si>
  <si>
    <t>2024-08-23</t>
  </si>
  <si>
    <t>T00919</t>
  </si>
  <si>
    <t>T00920</t>
  </si>
  <si>
    <t>T00921</t>
  </si>
  <si>
    <t>T00922</t>
  </si>
  <si>
    <t>2025-01-06</t>
  </si>
  <si>
    <t>T00923</t>
  </si>
  <si>
    <t>2023-10-07</t>
  </si>
  <si>
    <t>T00924</t>
  </si>
  <si>
    <t>T00925</t>
  </si>
  <si>
    <t>T00926</t>
  </si>
  <si>
    <t>2023-07-27</t>
  </si>
  <si>
    <t>T00927</t>
  </si>
  <si>
    <t>2023-10-17</t>
  </si>
  <si>
    <t>T00928</t>
  </si>
  <si>
    <t>T00929</t>
  </si>
  <si>
    <t>2024-07-03</t>
  </si>
  <si>
    <t>T00930</t>
  </si>
  <si>
    <t>2024-02-25</t>
  </si>
  <si>
    <t>T00931</t>
  </si>
  <si>
    <t>T00932</t>
  </si>
  <si>
    <t>T00933</t>
  </si>
  <si>
    <t>T00934</t>
  </si>
  <si>
    <t>T00935</t>
  </si>
  <si>
    <t>2023-06-24</t>
  </si>
  <si>
    <t>T00936</t>
  </si>
  <si>
    <t>T00937</t>
  </si>
  <si>
    <t>2023-06-19</t>
  </si>
  <si>
    <t>T00938</t>
  </si>
  <si>
    <t>T00939</t>
  </si>
  <si>
    <t>T00940</t>
  </si>
  <si>
    <t>2025-06-16</t>
  </si>
  <si>
    <t>T00941</t>
  </si>
  <si>
    <t>T00942</t>
  </si>
  <si>
    <t>2024-02-17</t>
  </si>
  <si>
    <t>T00943</t>
  </si>
  <si>
    <t>2023-10-21</t>
  </si>
  <si>
    <t>T00944</t>
  </si>
  <si>
    <t>2025-04-03</t>
  </si>
  <si>
    <t>T00945</t>
  </si>
  <si>
    <t>T00946</t>
  </si>
  <si>
    <t>T00947</t>
  </si>
  <si>
    <t>2025-01-08</t>
  </si>
  <si>
    <t>T00948</t>
  </si>
  <si>
    <t>T00949</t>
  </si>
  <si>
    <t>2024-10-31</t>
  </si>
  <si>
    <t>T00950</t>
  </si>
  <si>
    <t>T00951</t>
  </si>
  <si>
    <t>T00952</t>
  </si>
  <si>
    <t>T00953</t>
  </si>
  <si>
    <t>2024-05-08</t>
  </si>
  <si>
    <t>T00954</t>
  </si>
  <si>
    <t>2025-05-20</t>
  </si>
  <si>
    <t>T00955</t>
  </si>
  <si>
    <t>2023-12-09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</si>
  <si>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</si>
  <si>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</si>
  <si>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</si>
  <si>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</si>
  <si>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</si>
  <si>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</si>
  <si>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</si>
  <si>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</si>
  <si>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</si>
  <si>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</si>
  <si>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2024-08-30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</si>
  <si>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</si>
  <si>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</si>
  <si>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</si>
  <si>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</si>
  <si>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</si>
  <si>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</si>
  <si>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</si>
  <si>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</si>
  <si>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</si>
  <si>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</si>
  <si>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2023-08-26</t>
  </si>
  <si>
    <t>T00976</t>
  </si>
  <si>
    <t>T00977</t>
  </si>
  <si>
    <t>2024-08-10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</si>
  <si>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</si>
  <si>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</si>
  <si>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</si>
  <si>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</si>
  <si>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</si>
  <si>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</si>
  <si>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</si>
  <si>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</si>
  <si>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2024-11-06</t>
  </si>
  <si>
    <t>T00986</t>
  </si>
  <si>
    <t>2024-02-22</t>
  </si>
  <si>
    <t>T00987</t>
  </si>
  <si>
    <t>T00988</t>
  </si>
  <si>
    <t>T00989</t>
  </si>
  <si>
    <t>T00990</t>
  </si>
  <si>
    <t>T00991</t>
  </si>
  <si>
    <t>2024-08-13</t>
  </si>
  <si>
    <t>T00992</t>
  </si>
  <si>
    <t>T00993</t>
  </si>
  <si>
    <t>T00994</t>
  </si>
  <si>
    <t>2023-04-28</t>
  </si>
  <si>
    <t>T00995</t>
  </si>
  <si>
    <t>T00996</t>
  </si>
  <si>
    <t>T00997</t>
  </si>
  <si>
    <t>T00998</t>
  </si>
  <si>
    <t>T00999</t>
  </si>
  <si>
    <t>T01000</t>
  </si>
  <si>
    <t>Sum of ActualExpense</t>
  </si>
  <si>
    <t xml:space="preserve">Normal /Anomaly </t>
  </si>
  <si>
    <t>Anomaly</t>
  </si>
  <si>
    <t>Grand Total</t>
  </si>
  <si>
    <t xml:space="preserve">CFO DECISION DASHBOARD </t>
  </si>
  <si>
    <t xml:space="preserve">TOTAL BUDGET </t>
  </si>
  <si>
    <t>TOTAL ACTUAL SPEND</t>
  </si>
  <si>
    <t>VARIANCE %</t>
  </si>
  <si>
    <t xml:space="preserve">TOTAL VARIANCE </t>
  </si>
  <si>
    <t xml:space="preserve"> </t>
  </si>
  <si>
    <t>Sum of Variance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</si>
  <si>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</si>
  <si>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</si>
  <si>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</si>
  <si>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</si>
  <si>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</si>
  <si>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</si>
  <si>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</si>
  <si>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</si>
  <si>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</si>
  <si>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</si>
  <si>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</si>
  <si>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</si>
  <si>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</si>
  <si>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Variance %</t>
  </si>
  <si>
    <t xml:space="preserve">AB Variances </t>
  </si>
  <si>
    <t>Column1</t>
  </si>
  <si>
    <t>VARIANCES %</t>
  </si>
  <si>
    <t xml:space="preserve">AVERAGE Variance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</si>
</sst>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_-[$₦-469]\ * #,##0_-;\-[$₦-469]\ * #,##0_-;_-[$₦-469]\ * &quot;-&quot;_-;_-@_-"/>
    <numFmt numFmtId="165" formatCode="_-[$₦-469]\ * #,##0_-;\-[$₦-469]\ * #,##0_-;_-[$₦-469]\ * &quot;-&quot;??_-;_-@_-"/>
    <numFmt numFmtId="166" formatCode="0.0%"/>
  </numFmts>
  <fonts count="5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 val="double"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28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-0.499984740745262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/>
      <top/>
      <bottom style="medium">
        <color theme="0"/>
      </bottom>
      <diagonal/>
    </border>
    <border>
      <left style="medium">
        <color theme="1" tint="0.249977111117893"/>
      </left>
      <right/>
      <top style="medium">
        <color theme="1" tint="0.249977111117893"/>
      </top>
      <bottom style="thin">
        <color theme="1" tint="0.249977111117893"/>
      </bottom>
      <diagonal/>
    </border>
    <border>
      <left/>
      <right/>
      <top style="medium">
        <color theme="1" tint="0.249977111117893"/>
      </top>
      <bottom style="thin">
        <color theme="1" tint="0.249977111117893"/>
      </bottom>
      <diagonal/>
    </border>
    <border>
      <left/>
      <right style="medium">
        <color theme="1" tint="0.249977111117893"/>
      </right>
      <top style="medium">
        <color theme="1" tint="0.249977111117893"/>
      </top>
      <bottom style="thin">
        <color theme="1" tint="0.249977111117893"/>
      </bottom>
      <diagonal/>
    </border>
    <border>
      <left style="medium">
        <color theme="1" tint="0.249977111117893"/>
      </left>
      <right/>
      <top/>
      <bottom/>
      <diagonal/>
    </border>
    <border>
      <left/>
      <right style="medium">
        <color theme="1" tint="0.249977111117893"/>
      </right>
      <top/>
      <bottom/>
      <diagonal/>
    </border>
    <border>
      <left style="medium">
        <color theme="1" tint="0.249977111117893"/>
      </left>
      <right/>
      <top/>
      <bottom style="medium">
        <color theme="0"/>
      </bottom>
      <diagonal/>
    </border>
    <border>
      <left/>
      <right style="medium">
        <color theme="1" tint="0.249977111117893"/>
      </right>
      <top/>
      <bottom style="medium">
        <color theme="0"/>
      </bottom>
      <diagonal/>
    </border>
    <border>
      <left style="medium">
        <color theme="1" tint="0.249977111117893"/>
      </left>
      <right/>
      <top style="thin">
        <color theme="0"/>
      </top>
      <bottom style="medium">
        <color theme="1" tint="0.249977111117893"/>
      </bottom>
      <diagonal/>
    </border>
    <border>
      <left/>
      <right/>
      <top style="thin">
        <color theme="0"/>
      </top>
      <bottom style="medium">
        <color theme="1" tint="0.249977111117893"/>
      </bottom>
      <diagonal/>
    </border>
    <border>
      <left/>
      <right style="medium">
        <color theme="1" tint="0.249977111117893"/>
      </right>
      <top style="thin">
        <color theme="0"/>
      </top>
      <bottom style="medium">
        <color theme="1" tint="0.249977111117893"/>
      </bottom>
      <diagonal/>
    </border>
    <border>
      <left style="medium">
        <color theme="1" tint="0.249977111117893"/>
      </left>
      <right/>
      <top/>
      <bottom style="medium">
        <color theme="1" tint="0.249977111117893"/>
      </bottom>
      <diagonal/>
    </border>
    <border>
      <left style="medium">
        <color theme="0"/>
      </left>
      <right style="medium">
        <color theme="0"/>
      </right>
      <top/>
      <bottom style="medium">
        <color theme="1" tint="0.249977111117893"/>
      </bottom>
      <diagonal/>
    </border>
    <border>
      <left/>
      <right/>
      <top/>
      <bottom style="medium">
        <color theme="1" tint="0.249977111117893"/>
      </bottom>
      <diagonal/>
    </border>
    <border>
      <left/>
      <right style="medium">
        <color theme="1" tint="0.249977111117893"/>
      </right>
      <top/>
      <bottom style="medium">
        <color theme="1" tint="0.249977111117893"/>
      </bottom>
      <diagonal/>
    </border>
  </borders>
  <cellStyleXfs count="1">
    <xf numFmtId="0" fontId="0" fillId="0" borderId="0"/>
  </cellStyleXfs>
  <cellXfs count="42">
    <xf numFmtId="0" fontId="0" fillId="0" borderId="0" xfId="0"/>
    <xf numFmtId="164" fontId="0" fillId="0" borderId="0" xfId="0" applyNumberFormat="1"/>
    <xf numFmtId="165" fontId="0" fillId="0" borderId="0" xfId="0" applyNumberFormat="1"/>
    <xf numFmtId="41" fontId="0" fillId="0" borderId="0" xfId="0" applyNumberFormat="1"/>
    <xf numFmtId="0" fontId="0" fillId="0" borderId="0" xfId="0" applyAlignment="1">
      <alignment wrapText="1"/>
    </xf>
    <xf numFmtId="166" fontId="0" fillId="0" borderId="0" xfId="0" applyNumberFormat="1"/>
    <xf numFmtId="166" fontId="0" fillId="0" borderId="0" xfId="0" applyNumberFormat="1" applyAlignment="1">
      <alignment wrapText="1"/>
    </xf>
    <xf numFmtId="0" fontId="0" fillId="0" borderId="0" xfId="0" pivotButton="1"/>
    <xf numFmtId="10" fontId="0" fillId="0" borderId="0" xfId="0" applyNumberFormat="1"/>
    <xf numFmtId="41" fontId="0" fillId="0" borderId="0" xfId="0" applyNumberFormat="1" applyAlignment="1">
      <alignment wrapText="1"/>
    </xf>
    <xf numFmtId="0" fontId="2" fillId="2" borderId="0" xfId="0" applyFont="1" applyFill="1" applyBorder="1"/>
    <xf numFmtId="0" fontId="0" fillId="0" borderId="0" xfId="0" applyBorder="1"/>
    <xf numFmtId="0" fontId="0" fillId="0" borderId="1" xfId="0" applyBorder="1"/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/>
    <xf numFmtId="0" fontId="0" fillId="2" borderId="0" xfId="0" applyFont="1" applyFill="1" applyBorder="1" applyAlignment="1">
      <alignment horizontal="center" vertical="center"/>
    </xf>
    <xf numFmtId="0" fontId="0" fillId="0" borderId="0" xfId="0" applyFont="1" applyBorder="1"/>
    <xf numFmtId="0" fontId="0" fillId="0" borderId="3" xfId="0" applyFont="1" applyBorder="1"/>
    <xf numFmtId="0" fontId="2" fillId="2" borderId="7" xfId="0" applyFont="1" applyFill="1" applyBorder="1"/>
    <xf numFmtId="0" fontId="2" fillId="2" borderId="8" xfId="0" applyFont="1" applyFill="1" applyBorder="1"/>
    <xf numFmtId="0" fontId="0" fillId="2" borderId="7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/>
    </xf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0" fillId="0" borderId="10" xfId="0" applyFont="1" applyBorder="1"/>
    <xf numFmtId="0" fontId="0" fillId="0" borderId="11" xfId="0" applyFont="1" applyBorder="1"/>
    <xf numFmtId="0" fontId="0" fillId="0" borderId="12" xfId="0" applyFont="1" applyBorder="1"/>
    <xf numFmtId="0" fontId="0" fillId="0" borderId="13" xfId="0" applyFont="1" applyBorder="1"/>
    <xf numFmtId="0" fontId="0" fillId="2" borderId="14" xfId="0" applyFont="1" applyFill="1" applyBorder="1" applyAlignment="1">
      <alignment horizontal="center" vertical="center"/>
    </xf>
    <xf numFmtId="165" fontId="1" fillId="3" borderId="15" xfId="0" applyNumberFormat="1" applyFont="1" applyFill="1" applyBorder="1" applyAlignment="1">
      <alignment horizontal="center" vertical="center"/>
    </xf>
    <xf numFmtId="0" fontId="0" fillId="2" borderId="16" xfId="0" applyFont="1" applyFill="1" applyBorder="1" applyAlignment="1">
      <alignment horizontal="center" vertical="center"/>
    </xf>
    <xf numFmtId="164" fontId="1" fillId="3" borderId="15" xfId="0" applyNumberFormat="1" applyFont="1" applyFill="1" applyBorder="1" applyAlignment="1">
      <alignment horizontal="center" vertical="center"/>
    </xf>
    <xf numFmtId="166" fontId="3" fillId="3" borderId="15" xfId="0" applyNumberFormat="1" applyFont="1" applyFill="1" applyBorder="1" applyAlignment="1">
      <alignment horizontal="center" vertical="center"/>
    </xf>
    <xf numFmtId="165" fontId="3" fillId="3" borderId="15" xfId="0" applyNumberFormat="1" applyFont="1" applyFill="1" applyBorder="1" applyAlignment="1">
      <alignment horizontal="center" vertical="center"/>
    </xf>
    <xf numFmtId="0" fontId="0" fillId="2" borderId="17" xfId="0" applyFont="1" applyFill="1" applyBorder="1" applyAlignment="1">
      <alignment horizontal="center" vertical="center"/>
    </xf>
    <xf numFmtId="9" fontId="0" fillId="0" borderId="0" xfId="0" applyNumberFormat="1"/>
    <xf numFmtId="0" fontId="4" fillId="3" borderId="4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 wrapText="1"/>
    </xf>
    <xf numFmtId="0" fontId="4" fillId="3" borderId="6" xfId="0" applyFont="1" applyFill="1" applyBorder="1" applyAlignment="1">
      <alignment horizontal="center" wrapText="1"/>
    </xf>
  </cellXfs>
  <cellStyles count="1">
    <cellStyle name="Normal" xfId="0" builtinId="0"/>
  </cellStyles>
  <dxfs count="13"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4" formatCode="_-[$₦-469]\ * #,##0_-;\-[$₦-469]\ * #,##0_-;_-[$₦-469]\ * &quot;-&quot;_-;_-@_-"/>
    </dxf>
    <dxf>
      <numFmt numFmtId="164" formatCode="_-[$₦-469]\ * #,##0_-;\-[$₦-469]\ * #,##0_-;_-[$₦-469]\ * &quot;-&quot;_-;_-@_-"/>
    </dxf>
    <dxf>
      <numFmt numFmtId="165" formatCode="_-[$₦-469]\ * #,##0_-;\-[$₦-469]\ * #,##0_-;_-[$₦-469]\ * &quot;-&quot;??_-;_-@_-"/>
    </dxf>
    <dxf>
      <numFmt numFmtId="165" formatCode="_-[$₦-469]\ * #,##0_-;\-[$₦-469]\ * #,##0_-;_-[$₦-469]\ 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[Financial_Operations_Dataset.xlsx]Dept. spending!PivotTable2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 Spending</a:t>
            </a:r>
          </a:p>
        </c:rich>
      </c:tx>
      <c:overlay val="0"/>
      <c:spPr>
        <a:solidFill>
          <a:srgbClr val="9BBB59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BBB5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'Dept. spending'!$B$3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BBB59"/>
            </a:solidFill>
            <a:ln>
              <a:noFill/>
            </a:ln>
            <a:effectLst/>
          </c:spPr>
          <c:invertIfNegative val="0"/>
          <c:cat>
            <c:strRef>
              <c:f>'Dept. spending'!$A$4:$A$9</c:f>
              <c:strCache>
                <c:ptCount val="6"/>
                <c:pt idx="0">
                  <c:v>Operations</c:v>
                </c:pt>
                <c:pt idx="1">
                  <c:v>IT</c:v>
                </c:pt>
                <c:pt idx="2">
                  <c:v>Finance</c:v>
                </c:pt>
                <c:pt idx="3">
                  <c:v>HR</c:v>
                </c:pt>
                <c:pt idx="4">
                  <c:v>Marketing</c:v>
                </c:pt>
                <c:pt idx="5">
                  <c:v>Sales</c:v>
                </c:pt>
              </c:strCache>
            </c:strRef>
          </c:cat>
          <c:val>
            <c:numRef>
              <c:f>'Dept. spending'!$B$4:$B$9</c:f>
              <c:numCache>
                <c:formatCode>0.00%</c:formatCode>
                <c:ptCount val="6"/>
                <c:pt idx="0">
                  <c:v>0.18862817829282205</c:v>
                </c:pt>
                <c:pt idx="1">
                  <c:v>0.18033172952274992</c:v>
                </c:pt>
                <c:pt idx="2">
                  <c:v>0.17172192596491262</c:v>
                </c:pt>
                <c:pt idx="3">
                  <c:v>0.16023911923254569</c:v>
                </c:pt>
                <c:pt idx="4">
                  <c:v>0.15008925214850696</c:v>
                </c:pt>
                <c:pt idx="5">
                  <c:v>0.14898979483846275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4F-4925-9355-363A85261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4187015"/>
        <c:axId val="1814189063"/>
      </c:barChart>
      <c:catAx>
        <c:axId val="1814187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189063"/>
        <c:crosses val="autoZero"/>
        <c:auto val="1"/>
        <c:lblAlgn val="ctr"/>
        <c:lblOffset val="100"/>
        <c:noMultiLvlLbl val="0"/>
      </c:catAx>
      <c:valAx>
        <c:axId val="1814189063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814187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[Financial_Operations_Dataset.xlsx]Expenses Category 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Expenses category </a:t>
            </a:r>
          </a:p>
        </c:rich>
      </c:tx>
      <c:overlay val="0"/>
      <c:spPr>
        <a:solidFill>
          <a:srgbClr val="9BBB59"/>
        </a:solidFill>
        <a:ln>
          <a:solidFill>
            <a:srgbClr val="FFFFF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'Expenses Category 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445-497F-829F-DAC2C08F03C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445-497F-829F-DAC2C08F03C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445-497F-829F-DAC2C08F03C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445-497F-829F-DAC2C08F03C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445-497F-829F-DAC2C08F03C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445-497F-829F-DAC2C08F03C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'Expenses Category '!$A$4:$A$9</c:f>
              <c:strCache>
                <c:ptCount val="6"/>
                <c:pt idx="0">
                  <c:v>Utilities</c:v>
                </c:pt>
                <c:pt idx="1">
                  <c:v>Travel</c:v>
                </c:pt>
                <c:pt idx="2">
                  <c:v>Equipment</c:v>
                </c:pt>
                <c:pt idx="3">
                  <c:v>Maintenance</c:v>
                </c:pt>
                <c:pt idx="4">
                  <c:v>Salary</c:v>
                </c:pt>
                <c:pt idx="5">
                  <c:v>Marketing</c:v>
                </c:pt>
              </c:strCache>
            </c:strRef>
          </c:cat>
          <c:val>
            <c:numRef>
              <c:f>'Expenses Category '!$B$4:$B$9</c:f>
              <c:numCache>
                <c:formatCode>0.00%</c:formatCode>
                <c:ptCount val="6"/>
                <c:pt idx="0">
                  <c:v>0.18089497383288772</c:v>
                </c:pt>
                <c:pt idx="1">
                  <c:v>0.18045408467475463</c:v>
                </c:pt>
                <c:pt idx="2">
                  <c:v>0.17639334284319716</c:v>
                </c:pt>
                <c:pt idx="3">
                  <c:v>0.17397974082314879</c:v>
                </c:pt>
                <c:pt idx="4">
                  <c:v>0.16050116835885694</c:v>
                </c:pt>
                <c:pt idx="5">
                  <c:v>0.12777668946715473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5F-4BCD-930D-450F3D000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8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595959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[Financial_Operations_Dataset.xlsx]Monthly burn cash!PivotTable5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Burn Cash</a:t>
            </a:r>
          </a:p>
        </c:rich>
      </c:tx>
      <c:overlay val="0"/>
      <c:spPr>
        <a:solidFill>
          <a:srgbClr val="4F6228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9BBB59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9BBB59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9BBB59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9BBB59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9BBB59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4F6228"/>
            </a:solidFill>
            <a:ln w="9525">
              <a:solidFill>
                <a:srgbClr val="4F6228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9BBB59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4F6228"/>
            </a:solidFill>
            <a:ln w="9525">
              <a:solidFill>
                <a:srgbClr val="4F6228"/>
              </a:solidFill>
              <a:prstDash val="solid"/>
            </a:ln>
            <a:effectLst/>
          </c:spPr>
        </c:marker>
        <c:dLbl>
          <c:idx val="0"/>
          <c:layout>
            <c:manualLayout>
              <c:x val="-8.5227272727272721E-2"/>
              <c:y val="-0.1054851676844343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rgbClr val="9BBB59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4F6228"/>
            </a:solidFill>
            <a:ln w="9525">
              <a:solidFill>
                <a:srgbClr val="4F6228"/>
              </a:solidFill>
              <a:prstDash val="solid"/>
            </a:ln>
            <a:effectLst/>
          </c:spPr>
        </c:marker>
        <c:dLbl>
          <c:idx val="0"/>
          <c:layout>
            <c:manualLayout>
              <c:x val="-7.196968252008612E-2"/>
              <c:y val="0.1012658227848100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rgbClr val="9BBB59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4F6228"/>
            </a:solidFill>
            <a:ln w="9525">
              <a:solidFill>
                <a:srgbClr val="4F6228"/>
              </a:solidFill>
              <a:prstDash val="solid"/>
            </a:ln>
            <a:effectLst/>
          </c:spPr>
        </c:marker>
        <c:dLbl>
          <c:idx val="0"/>
          <c:layout>
            <c:manualLayout>
              <c:x val="-4.1973824217918704E-2"/>
              <c:y val="-0.1012658227848101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9BBB59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4F6228"/>
            </a:solidFill>
            <a:ln w="9525">
              <a:solidFill>
                <a:srgbClr val="4F6228"/>
              </a:solidFill>
              <a:prstDash val="solid"/>
            </a:ln>
            <a:effectLst/>
          </c:spPr>
        </c:marker>
        <c:dLbl>
          <c:idx val="0"/>
          <c:layout>
            <c:manualLayout>
              <c:x val="-4.1103595011943134E-2"/>
              <c:y val="7.805913611303401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9BBB59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4F6228"/>
            </a:solidFill>
            <a:ln w="9525">
              <a:solidFill>
                <a:srgbClr val="4F6228"/>
              </a:solidFill>
              <a:prstDash val="solid"/>
            </a:ln>
            <a:effectLst/>
          </c:spPr>
        </c:marker>
        <c:dLbl>
          <c:idx val="0"/>
          <c:layout>
            <c:manualLayout>
              <c:x val="-3.7725190858583189E-2"/>
              <c:y val="-8.649782591228243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rgbClr val="9BBB59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4F6228"/>
            </a:solidFill>
            <a:ln w="9525">
              <a:solidFill>
                <a:srgbClr val="4F6228"/>
              </a:solidFill>
              <a:prstDash val="solid"/>
            </a:ln>
            <a:effectLst/>
          </c:spPr>
        </c:marker>
        <c:dLbl>
          <c:idx val="0"/>
          <c:layout>
            <c:manualLayout>
              <c:x val="-4.5608108108108107E-2"/>
              <c:y val="9.282713298556162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rgbClr val="9BBB59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4F6228"/>
            </a:solidFill>
            <a:ln w="9525">
              <a:solidFill>
                <a:srgbClr val="4F6228"/>
              </a:solidFill>
              <a:prstDash val="solid"/>
            </a:ln>
            <a:effectLst/>
          </c:spPr>
        </c:marker>
        <c:dLbl>
          <c:idx val="0"/>
          <c:layout>
            <c:manualLayout>
              <c:x val="-4.5608108108108107E-2"/>
              <c:y val="-9.071717081190672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rgbClr val="9BBB59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4F6228"/>
            </a:solidFill>
            <a:ln w="9525">
              <a:solidFill>
                <a:srgbClr val="4F6228"/>
              </a:solidFill>
              <a:prstDash val="solid"/>
            </a:ln>
            <a:effectLst/>
          </c:spPr>
        </c:marker>
        <c:dLbl>
          <c:idx val="0"/>
          <c:layout>
            <c:manualLayout>
              <c:x val="-4.5045027861724027E-2"/>
              <c:y val="0.1160338196573378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rgbClr val="9BBB59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4F6228"/>
            </a:solidFill>
            <a:ln w="9525">
              <a:solidFill>
                <a:srgbClr val="4F6228"/>
              </a:solidFill>
              <a:prstDash val="solid"/>
            </a:ln>
            <a:effectLst/>
          </c:spPr>
        </c:marker>
        <c:dLbl>
          <c:idx val="0"/>
          <c:layout>
            <c:manualLayout>
              <c:x val="-4.8423406240102489E-2"/>
              <c:y val="-0.1075949367088607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rgbClr val="9BBB59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4F6228"/>
            </a:solidFill>
            <a:ln w="9525">
              <a:solidFill>
                <a:srgbClr val="4F6228"/>
              </a:solidFill>
              <a:prstDash val="solid"/>
            </a:ln>
            <a:effectLst/>
          </c:spPr>
        </c:marker>
        <c:dLbl>
          <c:idx val="0"/>
          <c:layout>
            <c:manualLayout>
              <c:x val="-3.2657623291015625E-2"/>
              <c:y val="9.70464778851858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rgbClr val="9BBB59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4F6228"/>
            </a:solidFill>
            <a:ln w="9525">
              <a:solidFill>
                <a:srgbClr val="4F6228"/>
              </a:solidFill>
              <a:prstDash val="solid"/>
            </a:ln>
            <a:effectLst/>
          </c:spPr>
        </c:marker>
        <c:dLbl>
          <c:idx val="0"/>
          <c:layout>
            <c:manualLayout>
              <c:x val="-4.2792758426150761E-2"/>
              <c:y val="-0.1012658227848102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rgbClr val="9BBB59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4F6228"/>
            </a:solidFill>
            <a:ln w="9525">
              <a:solidFill>
                <a:srgbClr val="4F6228"/>
              </a:solidFill>
              <a:prstDash val="solid"/>
            </a:ln>
            <a:effectLst/>
          </c:spPr>
        </c:marker>
        <c:dLbl>
          <c:idx val="0"/>
          <c:layout>
            <c:manualLayout>
              <c:x val="-2.7027027027027192E-2"/>
              <c:y val="9.07173639611352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burn cash'!$B$3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9BBB59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4F6228"/>
              </a:solidFill>
              <a:ln w="9525">
                <a:solidFill>
                  <a:srgbClr val="4F6228"/>
                </a:solidFill>
                <a:prstDash val="solid"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4F6228"/>
                </a:solidFill>
                <a:ln w="9525">
                  <a:solidFill>
                    <a:srgbClr val="4F6228"/>
                  </a:solidFill>
                  <a:prstDash val="solid"/>
                </a:ln>
                <a:effectLst/>
              </c:spPr>
            </c:marker>
            <c:bubble3D val="0"/>
            <c:spPr>
              <a:ln w="28575" cap="rnd">
                <a:solidFill>
                  <a:srgbClr val="9BBB59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D62D-4972-8DA9-8037331AA5C9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4F6228"/>
                </a:solidFill>
                <a:ln w="9525">
                  <a:solidFill>
                    <a:srgbClr val="4F6228"/>
                  </a:solidFill>
                  <a:prstDash val="solid"/>
                </a:ln>
                <a:effectLst/>
              </c:spPr>
            </c:marker>
            <c:bubble3D val="0"/>
            <c:spPr>
              <a:ln w="28575" cap="rnd">
                <a:solidFill>
                  <a:srgbClr val="9BBB59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D62D-4972-8DA9-8037331AA5C9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4F6228"/>
                </a:solidFill>
                <a:ln w="9525">
                  <a:solidFill>
                    <a:srgbClr val="4F6228"/>
                  </a:solidFill>
                  <a:prstDash val="solid"/>
                </a:ln>
                <a:effectLst/>
              </c:spPr>
            </c:marker>
            <c:bubble3D val="0"/>
            <c:spPr>
              <a:ln w="28575" cap="rnd">
                <a:solidFill>
                  <a:srgbClr val="9BBB59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D62D-4972-8DA9-8037331AA5C9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4F6228"/>
                </a:solidFill>
                <a:ln w="9525">
                  <a:solidFill>
                    <a:srgbClr val="4F6228"/>
                  </a:solidFill>
                  <a:prstDash val="solid"/>
                </a:ln>
                <a:effectLst/>
              </c:spPr>
            </c:marker>
            <c:bubble3D val="0"/>
            <c:spPr>
              <a:ln w="28575" cap="rnd">
                <a:solidFill>
                  <a:srgbClr val="9BBB59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D62D-4972-8DA9-8037331AA5C9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4F6228"/>
                </a:solidFill>
                <a:ln w="9525">
                  <a:solidFill>
                    <a:srgbClr val="4F6228"/>
                  </a:solidFill>
                  <a:prstDash val="solid"/>
                </a:ln>
                <a:effectLst/>
              </c:spPr>
            </c:marker>
            <c:bubble3D val="0"/>
            <c:spPr>
              <a:ln w="28575" cap="rnd">
                <a:solidFill>
                  <a:srgbClr val="9BBB59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D62D-4972-8DA9-8037331AA5C9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4F6228"/>
                </a:solidFill>
                <a:ln w="9525">
                  <a:solidFill>
                    <a:srgbClr val="4F6228"/>
                  </a:solidFill>
                  <a:prstDash val="solid"/>
                </a:ln>
                <a:effectLst/>
              </c:spPr>
            </c:marker>
            <c:bubble3D val="0"/>
            <c:spPr>
              <a:ln w="28575" cap="rnd">
                <a:solidFill>
                  <a:srgbClr val="9BBB59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D62D-4972-8DA9-8037331AA5C9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rgbClr val="4F6228"/>
                </a:solidFill>
                <a:ln w="9525">
                  <a:solidFill>
                    <a:srgbClr val="4F6228"/>
                  </a:solidFill>
                  <a:prstDash val="solid"/>
                </a:ln>
                <a:effectLst/>
              </c:spPr>
            </c:marker>
            <c:bubble3D val="0"/>
            <c:spPr>
              <a:ln w="28575" cap="rnd">
                <a:solidFill>
                  <a:srgbClr val="9BBB59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D62D-4972-8DA9-8037331AA5C9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rgbClr val="4F6228"/>
                </a:solidFill>
                <a:ln w="9525">
                  <a:solidFill>
                    <a:srgbClr val="4F6228"/>
                  </a:solidFill>
                  <a:prstDash val="solid"/>
                </a:ln>
                <a:effectLst/>
              </c:spPr>
            </c:marker>
            <c:bubble3D val="0"/>
            <c:spPr>
              <a:ln w="28575" cap="rnd">
                <a:solidFill>
                  <a:srgbClr val="9BBB59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D62D-4972-8DA9-8037331AA5C9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rgbClr val="4F6228"/>
                </a:solidFill>
                <a:ln w="9525">
                  <a:solidFill>
                    <a:srgbClr val="4F6228"/>
                  </a:solidFill>
                  <a:prstDash val="solid"/>
                </a:ln>
                <a:effectLst/>
              </c:spPr>
            </c:marker>
            <c:bubble3D val="0"/>
            <c:spPr>
              <a:ln w="28575" cap="rnd">
                <a:solidFill>
                  <a:srgbClr val="9BBB59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D62D-4972-8DA9-8037331AA5C9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rgbClr val="4F6228"/>
                </a:solidFill>
                <a:ln w="9525">
                  <a:solidFill>
                    <a:srgbClr val="4F6228"/>
                  </a:solidFill>
                  <a:prstDash val="solid"/>
                </a:ln>
                <a:effectLst/>
              </c:spPr>
            </c:marker>
            <c:bubble3D val="0"/>
            <c:spPr>
              <a:ln w="28575" cap="rnd">
                <a:solidFill>
                  <a:srgbClr val="9BBB59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D62D-4972-8DA9-8037331AA5C9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rgbClr val="4F6228"/>
                </a:solidFill>
                <a:ln w="9525">
                  <a:solidFill>
                    <a:srgbClr val="4F6228"/>
                  </a:solidFill>
                  <a:prstDash val="solid"/>
                </a:ln>
                <a:effectLst/>
              </c:spPr>
            </c:marker>
            <c:bubble3D val="0"/>
            <c:spPr>
              <a:ln w="28575" cap="rnd">
                <a:solidFill>
                  <a:srgbClr val="9BBB59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D62D-4972-8DA9-8037331AA5C9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rgbClr val="4F6228"/>
                </a:solidFill>
                <a:ln w="9525">
                  <a:solidFill>
                    <a:srgbClr val="4F6228"/>
                  </a:solidFill>
                  <a:prstDash val="solid"/>
                </a:ln>
                <a:effectLst/>
              </c:spPr>
            </c:marker>
            <c:bubble3D val="0"/>
            <c:spPr>
              <a:ln w="28575" cap="rnd">
                <a:solidFill>
                  <a:srgbClr val="9BBB59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D62D-4972-8DA9-8037331AA5C9}"/>
              </c:ext>
            </c:extLst>
          </c:dPt>
          <c:dLbls>
            <c:dLbl>
              <c:idx val="0"/>
              <c:layout>
                <c:manualLayout>
                  <c:x val="-8.5227272727272721E-2"/>
                  <c:y val="-0.1054851676844343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62D-4972-8DA9-8037331AA5C9}"/>
                </c:ext>
              </c:extLst>
            </c:dLbl>
            <c:dLbl>
              <c:idx val="1"/>
              <c:layout>
                <c:manualLayout>
                  <c:x val="-7.196968252008612E-2"/>
                  <c:y val="0.1012658227848100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62D-4972-8DA9-8037331AA5C9}"/>
                </c:ext>
              </c:extLst>
            </c:dLbl>
            <c:dLbl>
              <c:idx val="2"/>
              <c:layout>
                <c:manualLayout>
                  <c:x val="-4.1973824217918704E-2"/>
                  <c:y val="-0.1012658227848101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62D-4972-8DA9-8037331AA5C9}"/>
                </c:ext>
              </c:extLst>
            </c:dLbl>
            <c:dLbl>
              <c:idx val="3"/>
              <c:layout>
                <c:manualLayout>
                  <c:x val="-4.1103595011943134E-2"/>
                  <c:y val="7.80591361130340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62D-4972-8DA9-8037331AA5C9}"/>
                </c:ext>
              </c:extLst>
            </c:dLbl>
            <c:dLbl>
              <c:idx val="4"/>
              <c:layout>
                <c:manualLayout>
                  <c:x val="-3.7725190858583189E-2"/>
                  <c:y val="-8.64978259122824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62D-4972-8DA9-8037331AA5C9}"/>
                </c:ext>
              </c:extLst>
            </c:dLbl>
            <c:dLbl>
              <c:idx val="5"/>
              <c:layout>
                <c:manualLayout>
                  <c:x val="-4.5608108108108107E-2"/>
                  <c:y val="9.28271329855616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62D-4972-8DA9-8037331AA5C9}"/>
                </c:ext>
              </c:extLst>
            </c:dLbl>
            <c:dLbl>
              <c:idx val="6"/>
              <c:layout>
                <c:manualLayout>
                  <c:x val="-4.5608108108108107E-2"/>
                  <c:y val="-9.07171708119067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62D-4972-8DA9-8037331AA5C9}"/>
                </c:ext>
              </c:extLst>
            </c:dLbl>
            <c:dLbl>
              <c:idx val="7"/>
              <c:layout>
                <c:manualLayout>
                  <c:x val="-4.5045027861724027E-2"/>
                  <c:y val="0.1160338196573378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62D-4972-8DA9-8037331AA5C9}"/>
                </c:ext>
              </c:extLst>
            </c:dLbl>
            <c:dLbl>
              <c:idx val="8"/>
              <c:layout>
                <c:manualLayout>
                  <c:x val="-4.8423406240102489E-2"/>
                  <c:y val="-0.1075949367088607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62D-4972-8DA9-8037331AA5C9}"/>
                </c:ext>
              </c:extLst>
            </c:dLbl>
            <c:dLbl>
              <c:idx val="9"/>
              <c:layout>
                <c:manualLayout>
                  <c:x val="-3.2657623291015625E-2"/>
                  <c:y val="9.70464778851858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62D-4972-8DA9-8037331AA5C9}"/>
                </c:ext>
              </c:extLst>
            </c:dLbl>
            <c:dLbl>
              <c:idx val="10"/>
              <c:layout>
                <c:manualLayout>
                  <c:x val="-4.2792758426150761E-2"/>
                  <c:y val="-0.1012658227848102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62D-4972-8DA9-8037331AA5C9}"/>
                </c:ext>
              </c:extLst>
            </c:dLbl>
            <c:dLbl>
              <c:idx val="11"/>
              <c:layout>
                <c:manualLayout>
                  <c:x val="-2.7027027027027192E-2"/>
                  <c:y val="9.07173639611352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62D-4972-8DA9-8037331AA5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'Monthly burn cash'!$A$4:$A$15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burn cash'!$B$4:$B$15</c:f>
              <c:numCache>
                <c:formatCode>0.00%</c:formatCode>
                <c:ptCount val="12"/>
                <c:pt idx="0">
                  <c:v>0.10824765473623077</c:v>
                </c:pt>
                <c:pt idx="1">
                  <c:v>9.7955153841745954E-2</c:v>
                </c:pt>
                <c:pt idx="2">
                  <c:v>0.10063889988902498</c:v>
                </c:pt>
                <c:pt idx="3">
                  <c:v>8.1131620635635976E-2</c:v>
                </c:pt>
                <c:pt idx="4">
                  <c:v>0.103454979968726</c:v>
                </c:pt>
                <c:pt idx="5">
                  <c:v>7.3124376520534926E-2</c:v>
                </c:pt>
                <c:pt idx="6">
                  <c:v>7.5959817422511705E-2</c:v>
                </c:pt>
                <c:pt idx="7">
                  <c:v>7.7387628895554186E-2</c:v>
                </c:pt>
                <c:pt idx="8">
                  <c:v>7.5972608470128211E-2</c:v>
                </c:pt>
                <c:pt idx="9">
                  <c:v>6.1532968376600161E-2</c:v>
                </c:pt>
                <c:pt idx="10">
                  <c:v>6.8671245926122934E-2</c:v>
                </c:pt>
                <c:pt idx="11">
                  <c:v>7.5923045317184176E-2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7D-4FCE-980B-E963C03FC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6418568"/>
        <c:axId val="1436420616"/>
      </c:lineChart>
      <c:catAx>
        <c:axId val="1436418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420616"/>
        <c:crosses val="autoZero"/>
        <c:auto val="1"/>
        <c:lblAlgn val="ctr"/>
        <c:lblOffset val="100"/>
        <c:noMultiLvlLbl val="0"/>
      </c:catAx>
      <c:valAx>
        <c:axId val="143642061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436418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[Financial_Operations_Dataset.xlsx]Dept. spending!PivotTable2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 Spending</a:t>
            </a:r>
          </a:p>
        </c:rich>
      </c:tx>
      <c:overlay val="0"/>
      <c:spPr>
        <a:solidFill>
          <a:srgbClr val="4F6228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BBB5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BBB5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BBB5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BBB5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BBB5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'Dept. spending'!$B$3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BBB5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'Dept. spending'!$A$4:$A$9</c:f>
              <c:strCache>
                <c:ptCount val="6"/>
                <c:pt idx="0">
                  <c:v>Operations</c:v>
                </c:pt>
                <c:pt idx="1">
                  <c:v>IT</c:v>
                </c:pt>
                <c:pt idx="2">
                  <c:v>Finance</c:v>
                </c:pt>
                <c:pt idx="3">
                  <c:v>HR</c:v>
                </c:pt>
                <c:pt idx="4">
                  <c:v>Marketing</c:v>
                </c:pt>
                <c:pt idx="5">
                  <c:v>Sales</c:v>
                </c:pt>
              </c:strCache>
            </c:strRef>
          </c:cat>
          <c:val>
            <c:numRef>
              <c:f>'Dept. spending'!$B$4:$B$9</c:f>
              <c:numCache>
                <c:formatCode>0.00%</c:formatCode>
                <c:ptCount val="6"/>
                <c:pt idx="0">
                  <c:v>0.18862817829282205</c:v>
                </c:pt>
                <c:pt idx="1">
                  <c:v>0.18033172952274992</c:v>
                </c:pt>
                <c:pt idx="2">
                  <c:v>0.17172192596491262</c:v>
                </c:pt>
                <c:pt idx="3">
                  <c:v>0.16023911923254569</c:v>
                </c:pt>
                <c:pt idx="4">
                  <c:v>0.15008925214850696</c:v>
                </c:pt>
                <c:pt idx="5">
                  <c:v>0.14898979483846275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C6-44EC-BA65-79A1C1288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4187015"/>
        <c:axId val="1814189063"/>
      </c:barChart>
      <c:catAx>
        <c:axId val="1814187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189063"/>
        <c:crosses val="autoZero"/>
        <c:auto val="1"/>
        <c:lblAlgn val="ctr"/>
        <c:lblOffset val="100"/>
        <c:noMultiLvlLbl val="0"/>
      </c:catAx>
      <c:valAx>
        <c:axId val="1814189063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814187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[Financial_Operations_Dataset.xlsx]Expenses Category 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Expenses Category </a:t>
            </a:r>
          </a:p>
        </c:rich>
      </c:tx>
      <c:overlay val="0"/>
      <c:spPr>
        <a:solidFill>
          <a:srgbClr val="4F6228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4F622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652173913043479"/>
              <c:y val="-7.6131561656057098E-2"/>
            </c:manualLayout>
          </c:layout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4F622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3043478260869577"/>
              <c:y val="2.05761316872428E-3"/>
            </c:manualLayout>
          </c:layout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4F622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6376811594202898"/>
              <c:y val="4.2725770389812387E-2"/>
            </c:manualLayout>
          </c:layout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4F622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9275353473165766"/>
              <c:y val="8.2304589542341822E-2"/>
            </c:manualLayout>
          </c:layout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4F622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6521739130434784"/>
              <c:y val="-7.6131561656057098E-2"/>
            </c:manualLayout>
          </c:layout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4F622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1159243376358756E-2"/>
              <c:y val="-8.2304401162229979E-2"/>
            </c:manualLayout>
          </c:layout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4F622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'Expenses Category 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C11-496C-9E32-E4303BE70C2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C11-496C-9E32-E4303BE70C2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C11-496C-9E32-E4303BE70C2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C11-496C-9E32-E4303BE70C2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C11-496C-9E32-E4303BE70C2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C11-496C-9E32-E4303BE70C2F}"/>
              </c:ext>
            </c:extLst>
          </c:dPt>
          <c:dLbls>
            <c:dLbl>
              <c:idx val="0"/>
              <c:layout>
                <c:manualLayout>
                  <c:x val="0.15652173913043479"/>
                  <c:y val="-7.613156165605709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C11-496C-9E32-E4303BE70C2F}"/>
                </c:ext>
              </c:extLst>
            </c:dLbl>
            <c:dLbl>
              <c:idx val="1"/>
              <c:layout>
                <c:manualLayout>
                  <c:x val="0.23043478260869577"/>
                  <c:y val="2.05761316872428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C11-496C-9E32-E4303BE70C2F}"/>
                </c:ext>
              </c:extLst>
            </c:dLbl>
            <c:dLbl>
              <c:idx val="2"/>
              <c:layout>
                <c:manualLayout>
                  <c:x val="0.26376811594202898"/>
                  <c:y val="4.272577038981238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C11-496C-9E32-E4303BE70C2F}"/>
                </c:ext>
              </c:extLst>
            </c:dLbl>
            <c:dLbl>
              <c:idx val="3"/>
              <c:layout>
                <c:manualLayout>
                  <c:x val="-0.19275353473165766"/>
                  <c:y val="8.230458954234182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C11-496C-9E32-E4303BE70C2F}"/>
                </c:ext>
              </c:extLst>
            </c:dLbl>
            <c:dLbl>
              <c:idx val="4"/>
              <c:layout>
                <c:manualLayout>
                  <c:x val="-0.16521739130434784"/>
                  <c:y val="-7.613156165605709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C11-496C-9E32-E4303BE70C2F}"/>
                </c:ext>
              </c:extLst>
            </c:dLbl>
            <c:dLbl>
              <c:idx val="5"/>
              <c:layout>
                <c:manualLayout>
                  <c:x val="-8.1159243376358756E-2"/>
                  <c:y val="-8.230440116222997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C11-496C-9E32-E4303BE70C2F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4F6228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'Expenses Category '!$A$4:$A$9</c:f>
              <c:strCache>
                <c:ptCount val="6"/>
                <c:pt idx="0">
                  <c:v>Utilities</c:v>
                </c:pt>
                <c:pt idx="1">
                  <c:v>Travel</c:v>
                </c:pt>
                <c:pt idx="2">
                  <c:v>Equipment</c:v>
                </c:pt>
                <c:pt idx="3">
                  <c:v>Maintenance</c:v>
                </c:pt>
                <c:pt idx="4">
                  <c:v>Salary</c:v>
                </c:pt>
                <c:pt idx="5">
                  <c:v>Marketing</c:v>
                </c:pt>
              </c:strCache>
            </c:strRef>
          </c:cat>
          <c:val>
            <c:numRef>
              <c:f>'Expenses Category '!$B$4:$B$9</c:f>
              <c:numCache>
                <c:formatCode>0.00%</c:formatCode>
                <c:ptCount val="6"/>
                <c:pt idx="0">
                  <c:v>0.18089497383288772</c:v>
                </c:pt>
                <c:pt idx="1">
                  <c:v>0.18045408467475463</c:v>
                </c:pt>
                <c:pt idx="2">
                  <c:v>0.17639334284319716</c:v>
                </c:pt>
                <c:pt idx="3">
                  <c:v>0.17397974082314879</c:v>
                </c:pt>
                <c:pt idx="4">
                  <c:v>0.16050116835885694</c:v>
                </c:pt>
                <c:pt idx="5">
                  <c:v>0.12777668946715473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C11-496C-9E32-E4303BE70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3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[Financial_Operations_Dataset.xlsx]Region Expenses!PivotTable2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Expenses</a:t>
            </a:r>
          </a:p>
        </c:rich>
      </c:tx>
      <c:overlay val="0"/>
      <c:spPr>
        <a:solidFill>
          <a:srgbClr val="4F6228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BBB5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BBB5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BBB5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BBB5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BBB5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 Expenses'!$B$3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BBB5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 Expenses'!$A$4:$A$7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'Region Expenses'!$B$4:$B$7</c:f>
              <c:numCache>
                <c:formatCode>0.00%</c:formatCode>
                <c:ptCount val="4"/>
                <c:pt idx="0">
                  <c:v>0.26670247630920796</c:v>
                </c:pt>
                <c:pt idx="1">
                  <c:v>0.26414230689514656</c:v>
                </c:pt>
                <c:pt idx="2">
                  <c:v>0.23517156053862229</c:v>
                </c:pt>
                <c:pt idx="3">
                  <c:v>0.23398365625702319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37-4FEB-8F71-BD0A030EF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0"/>
        <c:axId val="1361878024"/>
        <c:axId val="1361896968"/>
      </c:barChart>
      <c:catAx>
        <c:axId val="1361878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896968"/>
        <c:crosses val="autoZero"/>
        <c:auto val="1"/>
        <c:lblAlgn val="ctr"/>
        <c:lblOffset val="100"/>
        <c:noMultiLvlLbl val="0"/>
      </c:catAx>
      <c:valAx>
        <c:axId val="1361896968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1361878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[Financial_Operations_Dataset.xlsx]Vendor overspent 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Vendors by Spend</a:t>
            </a:r>
          </a:p>
        </c:rich>
      </c:tx>
      <c:overlay val="0"/>
      <c:spPr>
        <a:solidFill>
          <a:srgbClr val="4F6228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BBB59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BBB5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BBB5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BBB5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BBB5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'Vendor overspent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BBB5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'Vendor overspent '!$A$4:$A$8</c:f>
              <c:strCache>
                <c:ptCount val="5"/>
                <c:pt idx="0">
                  <c:v>ABC Ltd</c:v>
                </c:pt>
                <c:pt idx="1">
                  <c:v>Prime Supplies</c:v>
                </c:pt>
                <c:pt idx="2">
                  <c:v>Global Tech</c:v>
                </c:pt>
                <c:pt idx="3">
                  <c:v>Fast Logistics</c:v>
                </c:pt>
                <c:pt idx="4">
                  <c:v>Urban Services</c:v>
                </c:pt>
              </c:strCache>
            </c:strRef>
          </c:cat>
          <c:val>
            <c:numRef>
              <c:f>'Vendor overspent '!$B$4:$B$8</c:f>
              <c:numCache>
                <c:formatCode>0.00%</c:formatCode>
                <c:ptCount val="5"/>
                <c:pt idx="0">
                  <c:v>0.27545185898934255</c:v>
                </c:pt>
                <c:pt idx="1">
                  <c:v>0.21526101874356041</c:v>
                </c:pt>
                <c:pt idx="2">
                  <c:v>0.19718511993464261</c:v>
                </c:pt>
                <c:pt idx="3">
                  <c:v>0.18303881533421304</c:v>
                </c:pt>
                <c:pt idx="4">
                  <c:v>0.12906318699824137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AE-43A3-97EE-56E67AE22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9937800"/>
        <c:axId val="1395089928"/>
      </c:barChart>
      <c:catAx>
        <c:axId val="1379937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089928"/>
        <c:crosses val="autoZero"/>
        <c:auto val="1"/>
        <c:lblAlgn val="ctr"/>
        <c:lblOffset val="100"/>
        <c:noMultiLvlLbl val="0"/>
      </c:catAx>
      <c:valAx>
        <c:axId val="1395089928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379937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[Financial_Operations_Dataset.xlsx]Region Expenses!PivotTable2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Expenses</a:t>
            </a:r>
          </a:p>
        </c:rich>
      </c:tx>
      <c:overlay val="0"/>
      <c:spPr>
        <a:solidFill>
          <a:srgbClr val="9BBB59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BBB5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 Expenses'!$B$3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BBB59"/>
            </a:solidFill>
            <a:ln>
              <a:noFill/>
            </a:ln>
            <a:effectLst/>
          </c:spPr>
          <c:invertIfNegative val="0"/>
          <c:cat>
            <c:strRef>
              <c:f>'Region Expenses'!$A$4:$A$7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'Region Expenses'!$B$4:$B$7</c:f>
              <c:numCache>
                <c:formatCode>0.00%</c:formatCode>
                <c:ptCount val="4"/>
                <c:pt idx="0">
                  <c:v>0.26670247630920796</c:v>
                </c:pt>
                <c:pt idx="1">
                  <c:v>0.26414230689514656</c:v>
                </c:pt>
                <c:pt idx="2">
                  <c:v>0.23517156053862229</c:v>
                </c:pt>
                <c:pt idx="3">
                  <c:v>0.23398365625702319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CC-45B0-B200-9F791D009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0"/>
        <c:axId val="1361878024"/>
        <c:axId val="1361896968"/>
      </c:barChart>
      <c:catAx>
        <c:axId val="1361878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896968"/>
        <c:crosses val="autoZero"/>
        <c:auto val="1"/>
        <c:lblAlgn val="ctr"/>
        <c:lblOffset val="100"/>
        <c:noMultiLvlLbl val="0"/>
      </c:catAx>
      <c:valAx>
        <c:axId val="1361896968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878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[Financial_Operations_Dataset.xlsx]Vendor overspent 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Vendors Spending </a:t>
            </a:r>
          </a:p>
        </c:rich>
      </c:tx>
      <c:overlay val="0"/>
      <c:spPr>
        <a:solidFill>
          <a:srgbClr val="9BBB59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BBB5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'Vendor overspent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BBB5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'Vendor overspent '!$A$4:$A$8</c:f>
              <c:strCache>
                <c:ptCount val="5"/>
                <c:pt idx="0">
                  <c:v>ABC Ltd</c:v>
                </c:pt>
                <c:pt idx="1">
                  <c:v>Prime Supplies</c:v>
                </c:pt>
                <c:pt idx="2">
                  <c:v>Global Tech</c:v>
                </c:pt>
                <c:pt idx="3">
                  <c:v>Fast Logistics</c:v>
                </c:pt>
                <c:pt idx="4">
                  <c:v>Urban Services</c:v>
                </c:pt>
              </c:strCache>
            </c:strRef>
          </c:cat>
          <c:val>
            <c:numRef>
              <c:f>'Vendor overspent '!$B$4:$B$8</c:f>
              <c:numCache>
                <c:formatCode>0.00%</c:formatCode>
                <c:ptCount val="5"/>
                <c:pt idx="0">
                  <c:v>0.27545185898934255</c:v>
                </c:pt>
                <c:pt idx="1">
                  <c:v>0.21526101874356041</c:v>
                </c:pt>
                <c:pt idx="2">
                  <c:v>0.19718511993464261</c:v>
                </c:pt>
                <c:pt idx="3">
                  <c:v>0.18303881533421304</c:v>
                </c:pt>
                <c:pt idx="4">
                  <c:v>0.12906318699824137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6D-4DED-AD08-2D69B4F4C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9937800"/>
        <c:axId val="1395089928"/>
      </c:barChart>
      <c:catAx>
        <c:axId val="1379937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089928"/>
        <c:crosses val="autoZero"/>
        <c:auto val="1"/>
        <c:lblAlgn val="ctr"/>
        <c:lblOffset val="100"/>
        <c:noMultiLvlLbl val="0"/>
      </c:catAx>
      <c:valAx>
        <c:axId val="1395089928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379937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[Financial_Operations_Dataset.xlsx]Monthly burn cash!PivotTable5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Burn Cash</a:t>
            </a:r>
          </a:p>
        </c:rich>
      </c:tx>
      <c:overlay val="0"/>
      <c:spPr>
        <a:solidFill>
          <a:srgbClr val="9BBB59"/>
        </a:solidFill>
        <a:ln>
          <a:solidFill>
            <a:srgbClr val="FFFFF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9BBB59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burn cash'!$B$3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9BBB59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burn cash'!$A$4:$A$15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burn cash'!$B$4:$B$15</c:f>
              <c:numCache>
                <c:formatCode>0.00%</c:formatCode>
                <c:ptCount val="12"/>
                <c:pt idx="0">
                  <c:v>0.10824765473623077</c:v>
                </c:pt>
                <c:pt idx="1">
                  <c:v>9.7955153841745954E-2</c:v>
                </c:pt>
                <c:pt idx="2">
                  <c:v>0.10063889988902498</c:v>
                </c:pt>
                <c:pt idx="3">
                  <c:v>8.1131620635635976E-2</c:v>
                </c:pt>
                <c:pt idx="4">
                  <c:v>0.103454979968726</c:v>
                </c:pt>
                <c:pt idx="5">
                  <c:v>7.3124376520534926E-2</c:v>
                </c:pt>
                <c:pt idx="6">
                  <c:v>7.5959817422511705E-2</c:v>
                </c:pt>
                <c:pt idx="7">
                  <c:v>7.7387628895554186E-2</c:v>
                </c:pt>
                <c:pt idx="8">
                  <c:v>7.5972608470128211E-2</c:v>
                </c:pt>
                <c:pt idx="9">
                  <c:v>6.1532968376600161E-2</c:v>
                </c:pt>
                <c:pt idx="10">
                  <c:v>6.8671245926122934E-2</c:v>
                </c:pt>
                <c:pt idx="11">
                  <c:v>7.5923045317184176E-2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D1-4A5C-9D6F-2C599D37C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6418568"/>
        <c:axId val="1436420616"/>
      </c:lineChart>
      <c:catAx>
        <c:axId val="1436418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420616"/>
        <c:crosses val="autoZero"/>
        <c:auto val="1"/>
        <c:lblAlgn val="ctr"/>
        <c:lblOffset val="100"/>
        <c:noMultiLvlLbl val="0"/>
      </c:catAx>
      <c:valAx>
        <c:axId val="1436420616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418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0</xdr:row>
      <xdr:rowOff>38100</xdr:rowOff>
    </xdr:from>
    <xdr:to>
      <xdr:col>9</xdr:col>
      <xdr:colOff>285750</xdr:colOff>
      <xdr:row>11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7F4437-914F-66E2-48DA-AE363F67116F}"/>
            </a:ext>
            <a:ext uri="{147F2762-F138-4A5C-976F-8EAC2B608ADB}">
              <a16:predDERef xmlns:a16="http://schemas.microsoft.com/office/drawing/2014/main" pred="{D11A53AD-BDC8-BFBB-7328-901B94EA5F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0</xdr:row>
      <xdr:rowOff>171450</xdr:rowOff>
    </xdr:from>
    <xdr:to>
      <xdr:col>8</xdr:col>
      <xdr:colOff>152400</xdr:colOff>
      <xdr:row>9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D86C9C-0B43-C7F5-7A88-B57D56FEC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571500</xdr:colOff>
      <xdr:row>3</xdr:row>
      <xdr:rowOff>38100</xdr:rowOff>
    </xdr:from>
    <xdr:to>
      <xdr:col>11</xdr:col>
      <xdr:colOff>571500</xdr:colOff>
      <xdr:row>13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Region">
              <a:extLst>
                <a:ext uri="{FF2B5EF4-FFF2-40B4-BE49-F238E27FC236}">
                  <a16:creationId xmlns:a16="http://schemas.microsoft.com/office/drawing/2014/main" id="{2E9F0D44-B03F-2580-5F39-366B14B36275}"/>
                </a:ext>
                <a:ext uri="{147F2762-F138-4A5C-976F-8EAC2B608ADB}">
                  <a16:predDERef xmlns:a16="http://schemas.microsoft.com/office/drawing/2014/main" pred="{984D2A2F-9AC0-BCBE-1578-BE74051326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86575" y="609600"/>
              <a:ext cx="1828800" cy="1943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3</xdr:col>
      <xdr:colOff>476250</xdr:colOff>
      <xdr:row>12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2A6F89-15B7-4103-B0E6-5F0A054FB0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533400</xdr:colOff>
      <xdr:row>5</xdr:row>
      <xdr:rowOff>0</xdr:rowOff>
    </xdr:from>
    <xdr:to>
      <xdr:col>7</xdr:col>
      <xdr:colOff>447675</xdr:colOff>
      <xdr:row>12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675469D-1B92-43B0-8111-A62F95889213}"/>
            </a:ext>
            <a:ext uri="{147F2762-F138-4A5C-976F-8EAC2B608ADB}">
              <a16:predDERef xmlns:a16="http://schemas.microsoft.com/office/drawing/2014/main" pred="{D12A6F89-15B7-4103-B0E6-5F0A054FB0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476250</xdr:colOff>
      <xdr:row>5</xdr:row>
      <xdr:rowOff>0</xdr:rowOff>
    </xdr:from>
    <xdr:to>
      <xdr:col>8</xdr:col>
      <xdr:colOff>1533525</xdr:colOff>
      <xdr:row>12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CD2F5B6-2B3C-41A6-AF71-8EA4E232ACD7}"/>
            </a:ext>
            <a:ext uri="{147F2762-F138-4A5C-976F-8EAC2B608ADB}">
              <a16:predDERef xmlns:a16="http://schemas.microsoft.com/office/drawing/2014/main" pred="{D675469D-1B92-43B0-8111-A62F958892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533400</xdr:colOff>
      <xdr:row>13</xdr:row>
      <xdr:rowOff>180975</xdr:rowOff>
    </xdr:from>
    <xdr:to>
      <xdr:col>7</xdr:col>
      <xdr:colOff>447675</xdr:colOff>
      <xdr:row>22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40BCFB4-8888-4F34-9E9F-4AA6D2018EDF}"/>
            </a:ext>
            <a:ext uri="{147F2762-F138-4A5C-976F-8EAC2B608ADB}">
              <a16:predDERef xmlns:a16="http://schemas.microsoft.com/office/drawing/2014/main" pred="{8CD2F5B6-2B3C-41A6-AF71-8EA4E232AC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13</xdr:row>
      <xdr:rowOff>180975</xdr:rowOff>
    </xdr:from>
    <xdr:to>
      <xdr:col>3</xdr:col>
      <xdr:colOff>485775</xdr:colOff>
      <xdr:row>22</xdr:row>
      <xdr:rowOff>161925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0D02A90-6BEF-4850-971C-D94906F908BF}"/>
            </a:ext>
            <a:ext uri="{147F2762-F138-4A5C-976F-8EAC2B608ADB}">
              <a16:predDERef xmlns:a16="http://schemas.microsoft.com/office/drawing/2014/main" pred="{140BCFB4-8888-4F34-9E9F-4AA6D2018E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485775</xdr:colOff>
      <xdr:row>13</xdr:row>
      <xdr:rowOff>180975</xdr:rowOff>
    </xdr:from>
    <xdr:to>
      <xdr:col>8</xdr:col>
      <xdr:colOff>1495425</xdr:colOff>
      <xdr:row>22</xdr:row>
      <xdr:rowOff>161925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D14BD09-5A5C-6B11-0C7A-20D4F715D502}"/>
            </a:ext>
            <a:ext uri="{147F2762-F138-4A5C-976F-8EAC2B608ADB}">
              <a16:predDERef xmlns:a16="http://schemas.microsoft.com/office/drawing/2014/main" pred="{60D02A90-6BEF-4850-971C-D94906F908BF}"/>
            </a:ext>
          </a:extLst>
        </xdr:cNvPr>
        <xdr:cNvSpPr/>
      </xdr:nvSpPr>
      <xdr:spPr>
        <a:xfrm>
          <a:off x="6915150" y="3133725"/>
          <a:ext cx="2143125" cy="1695450"/>
        </a:xfrm>
        <a:prstGeom prst="rect">
          <a:avLst/>
        </a:prstGeom>
        <a:solidFill>
          <a:schemeClr val="accent3"/>
        </a:solidFill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 u="sng">
              <a:solidFill>
                <a:schemeClr val="lt1"/>
              </a:solidFill>
              <a:latin typeface="+mn-lt"/>
              <a:ea typeface="+mn-lt"/>
              <a:cs typeface="+mn-lt"/>
            </a:rPr>
            <a:t>Executive Insights</a:t>
          </a:r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- Operational department exceeded budget by 18%.</a:t>
          </a:r>
        </a:p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- January as the largest monthly cash burn.</a:t>
          </a:r>
        </a:p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- East region responsible for highest expenses.</a:t>
          </a:r>
        </a:p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- Vendor renegotiation recommended.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1</xdr:row>
      <xdr:rowOff>0</xdr:rowOff>
    </xdr:from>
    <xdr:to>
      <xdr:col>8</xdr:col>
      <xdr:colOff>457200</xdr:colOff>
      <xdr:row>10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9501BA-8819-5E61-E303-D363FABF61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714375</xdr:colOff>
      <xdr:row>1</xdr:row>
      <xdr:rowOff>0</xdr:rowOff>
    </xdr:from>
    <xdr:to>
      <xdr:col>7</xdr:col>
      <xdr:colOff>323850</xdr:colOff>
      <xdr:row>10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6E53B5-3DA8-4A42-4273-3B85FE7FF6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971550</xdr:colOff>
      <xdr:row>1</xdr:row>
      <xdr:rowOff>0</xdr:rowOff>
    </xdr:from>
    <xdr:to>
      <xdr:col>8</xdr:col>
      <xdr:colOff>514350</xdr:colOff>
      <xdr:row>9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E74B6A-E399-6D74-6E34-CF875C4F05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8.765349305555" createdVersion="8" refreshedVersion="8" minRefreshableVersion="3" recordCount="1000" xr:uid="{9903F2E7-AD96-4E1C-BFA6-25838E0D98FC}">
  <cacheSource type="worksheet">
    <worksheetSource name="Table4"/>
  </cacheSource>
  <cacheFields count="18">
    <cacheField name="TransactionID" numFmtId="0">
      <sharedItems/>
    </cacheField>
    <cacheField name="Date" numFmtId="0">
      <sharedItems/>
    </cacheField>
    <cacheField name="Department" numFmtId="0">
      <sharedItems count="6">
        <s v="IT"/>
        <s v="Finance"/>
        <s v="HR"/>
        <s v="Operations"/>
        <s v="Marketing"/>
        <s v="Sales"/>
      </sharedItems>
    </cacheField>
    <cacheField name="CostCenter" numFmtId="0">
      <sharedItems/>
    </cacheField>
    <cacheField name="ExpenseCategory" numFmtId="0">
      <sharedItems count="6">
        <s v="Utilities"/>
        <s v="Maintenance"/>
        <s v="Marketing"/>
        <s v="Equipment"/>
        <s v="Salary"/>
        <s v="Travel"/>
      </sharedItems>
    </cacheField>
    <cacheField name="Description" numFmtId="0">
      <sharedItems/>
    </cacheField>
    <cacheField name="BudgetAmount" numFmtId="165">
      <sharedItems containsSemiMixedTypes="0" containsString="0" containsNumber="1" containsInteger="1" minValue="50467" maxValue="499445"/>
    </cacheField>
    <cacheField name="ActualExpense" numFmtId="164">
      <sharedItems containsSemiMixedTypes="0" containsString="0" containsNumber="1" containsInteger="1" minValue="35746" maxValue="688346"/>
    </cacheField>
    <cacheField name="Variance" numFmtId="0">
      <sharedItems containsSemiMixedTypes="0" containsString="0" containsNumber="1" containsInteger="1" minValue="-148682" maxValue="189405"/>
    </cacheField>
    <cacheField name="PaymentMethod" numFmtId="0">
      <sharedItems/>
    </cacheField>
    <cacheField name="Vendor" numFmtId="0">
      <sharedItems count="5">
        <s v="Urban Services"/>
        <s v="Fast Logistics"/>
        <s v="Global Tech"/>
        <s v="ABC Ltd"/>
        <s v="Prime Supplies"/>
      </sharedItems>
    </cacheField>
    <cacheField name="Region" numFmtId="0">
      <sharedItems count="4">
        <s v="North"/>
        <s v="South"/>
        <s v="East"/>
        <s v="West"/>
      </sharedItems>
    </cacheField>
    <cacheField name="CashFlowType" numFmtId="0">
      <sharedItems/>
    </cacheField>
    <cacheField name="Variance %" numFmtId="166">
      <sharedItems containsSemiMixedTypes="0" containsString="0" containsNumber="1" minValue="-1745.8698630136987" maxValue="730.58333333333337"/>
    </cacheField>
    <cacheField name="Month" numFmtId="166">
      <sharedItems count="43">
        <s v="Nov"/>
        <s v="Jun"/>
        <s v="Sep"/>
        <s v="Aug"/>
        <s v="Feb"/>
        <s v="Oct"/>
        <s v="Jan"/>
        <s v="Mar"/>
        <s v="Jul"/>
        <s v="Apr"/>
        <s v="Dec"/>
        <s v="May"/>
        <s v=" " u="1"/>
        <s v="Jun-2024" u="1"/>
        <s v="Sep-2024" u="1"/>
        <s v="Aug-2023" u="1"/>
        <s v="Feb-2024" u="1"/>
        <s v="Oct-2023" u="1"/>
        <s v="Jan-2023" u="1"/>
        <s v="Nov-2024" u="1"/>
        <s v="Mar-2025" u="1"/>
        <s v="Aug-2024" u="1"/>
        <s v="Jul-2023" u="1"/>
        <s v="Jul-2024" u="1"/>
        <s v="Jan-2024" u="1"/>
        <s v="Apr-2024" u="1"/>
        <s v="Feb-2025" u="1"/>
        <s v="Mar-2023" u="1"/>
        <s v="Dec-2023" u="1"/>
        <s v="Sep-2023" u="1"/>
        <s v="Dec-2024" u="1"/>
        <s v="Jun-2025" u="1"/>
        <s v="May-2023" u="1"/>
        <s v="May-2025" u="1"/>
        <s v="Feb-2023" u="1"/>
        <s v="Nov-2023" u="1"/>
        <s v="Apr-2023" u="1"/>
        <s v="Mar-2024" u="1"/>
        <s v="Jan-2025" u="1"/>
        <s v="Oct-2024" u="1"/>
        <s v="May-2024" u="1"/>
        <s v="Apr-2025" u="1"/>
        <s v="Jun-2023" u="1"/>
      </sharedItems>
    </cacheField>
    <cacheField name="AB Variances " numFmtId="166">
      <sharedItems containsSemiMixedTypes="0" containsString="0" containsNumber="1" containsInteger="1" minValue="146" maxValue="189405"/>
    </cacheField>
    <cacheField name="Normal /Anomaly " numFmtId="166">
      <sharedItems count="2">
        <s v="Normal"/>
        <s v="Anomaly"/>
      </sharedItems>
    </cacheField>
    <cacheField name="Column1" numFmtId="166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 pivotCacheId="108218653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T00001"/>
    <s v="2023-11-20"/>
    <x v="0"/>
    <s v="CC103"/>
    <x v="0"/>
    <s v="Utilities related expense"/>
    <n v="126731"/>
    <n v="109566"/>
    <n v="-17165"/>
    <s v="Card"/>
    <x v="0"/>
    <x v="0"/>
    <s v="Operating Expense"/>
    <n v="-7.3831051558403731"/>
    <x v="0"/>
    <n v="17165"/>
    <x v="0"/>
    <n v="0"/>
  </r>
  <r>
    <s v="T00002"/>
    <s v="2024-06-14"/>
    <x v="1"/>
    <s v="CC104"/>
    <x v="1"/>
    <s v="Maintenance related expense"/>
    <n v="206590"/>
    <n v="283320"/>
    <n v="76730"/>
    <s v="Card"/>
    <x v="1"/>
    <x v="1"/>
    <s v="Operating Expense"/>
    <n v="2.6924279942656066"/>
    <x v="1"/>
    <n v="76730"/>
    <x v="1"/>
    <n v="0"/>
  </r>
  <r>
    <s v="T00003"/>
    <s v="2024-09-19"/>
    <x v="2"/>
    <s v="CC102"/>
    <x v="2"/>
    <s v="Marketing related expense"/>
    <n v="325305"/>
    <n v="250255"/>
    <n v="-75050"/>
    <s v="Cash"/>
    <x v="1"/>
    <x v="1"/>
    <s v="Operating Expense"/>
    <n v="-4.3345103264490339"/>
    <x v="2"/>
    <n v="75050"/>
    <x v="1"/>
    <n v="0"/>
  </r>
  <r>
    <s v="T00004"/>
    <s v="2023-08-08"/>
    <x v="1"/>
    <s v="CC105"/>
    <x v="0"/>
    <s v="Utilities related expense"/>
    <n v="380071"/>
    <n v="448489"/>
    <n v="68418"/>
    <s v="Card"/>
    <x v="2"/>
    <x v="1"/>
    <s v="Capital Expense"/>
    <n v="5.5551316904908061"/>
    <x v="3"/>
    <n v="68418"/>
    <x v="1"/>
    <n v="0"/>
  </r>
  <r>
    <s v="T00005"/>
    <s v="2024-02-06"/>
    <x v="3"/>
    <s v="CC104"/>
    <x v="3"/>
    <s v="Equipment related expense"/>
    <n v="115281"/>
    <n v="135813"/>
    <n v="20532"/>
    <s v="Cash"/>
    <x v="3"/>
    <x v="2"/>
    <s v="Operating Expense"/>
    <n v="5.6146990064289888"/>
    <x v="4"/>
    <n v="20532"/>
    <x v="1"/>
    <n v="0"/>
  </r>
  <r>
    <s v="T00006"/>
    <s v="2023-10-20"/>
    <x v="4"/>
    <s v="CC104"/>
    <x v="2"/>
    <s v="Marketing related expense"/>
    <n v="376321"/>
    <n v="428097"/>
    <n v="51776"/>
    <s v="Cash"/>
    <x v="1"/>
    <x v="0"/>
    <s v="Operating Expense"/>
    <n v="7.2682516996291717"/>
    <x v="5"/>
    <n v="51776"/>
    <x v="1"/>
    <n v="0"/>
  </r>
  <r>
    <s v="T00007"/>
    <s v="2023-01-10"/>
    <x v="3"/>
    <s v="CC104"/>
    <x v="0"/>
    <s v="Utilities related expense"/>
    <n v="473965"/>
    <n v="613281"/>
    <n v="139316"/>
    <s v="Bank Transfer"/>
    <x v="2"/>
    <x v="2"/>
    <s v="Capital Expense"/>
    <n v="3.4020859054236414"/>
    <x v="6"/>
    <n v="139316"/>
    <x v="1"/>
    <n v="0"/>
  </r>
  <r>
    <s v="T00008"/>
    <s v="2024-11-24"/>
    <x v="4"/>
    <s v="CC104"/>
    <x v="2"/>
    <s v="Marketing related expense"/>
    <n v="240245"/>
    <n v="228424"/>
    <n v="-11821"/>
    <s v="Bank Transfer"/>
    <x v="1"/>
    <x v="0"/>
    <s v="Capital Expense"/>
    <n v="-20.323576685559598"/>
    <x v="0"/>
    <n v="11821"/>
    <x v="0"/>
    <n v="0"/>
  </r>
  <r>
    <s v="T00009"/>
    <s v="2025-03-17"/>
    <x v="1"/>
    <s v="CC104"/>
    <x v="1"/>
    <s v="Maintenance related expense"/>
    <n v="475470"/>
    <n v="579486"/>
    <n v="104016"/>
    <s v="Cash"/>
    <x v="2"/>
    <x v="0"/>
    <s v="Operating Expense"/>
    <n v="4.5711236732810336"/>
    <x v="7"/>
    <n v="104016"/>
    <x v="1"/>
    <n v="0"/>
  </r>
  <r>
    <s v="T00010"/>
    <s v="2024-08-11"/>
    <x v="2"/>
    <s v="CC101"/>
    <x v="1"/>
    <s v="Maintenance related expense"/>
    <n v="276688"/>
    <n v="292383"/>
    <n v="15695"/>
    <s v="Card"/>
    <x v="0"/>
    <x v="0"/>
    <s v="Operating Expense"/>
    <n v="17.629053838802168"/>
    <x v="3"/>
    <n v="15695"/>
    <x v="0"/>
    <n v="0"/>
  </r>
  <r>
    <s v="T00011"/>
    <s v="2023-07-10"/>
    <x v="5"/>
    <s v="CC102"/>
    <x v="3"/>
    <s v="Equipment related expense"/>
    <n v="280920"/>
    <n v="256002"/>
    <n v="-24918"/>
    <s v="Card"/>
    <x v="1"/>
    <x v="2"/>
    <s v="Capital Expense"/>
    <n v="-11.273777991813148"/>
    <x v="8"/>
    <n v="24918"/>
    <x v="1"/>
    <n v="0"/>
  </r>
  <r>
    <s v="T00012"/>
    <s v="2024-07-20"/>
    <x v="2"/>
    <s v="CC103"/>
    <x v="1"/>
    <s v="Maintenance related expense"/>
    <n v="497550"/>
    <n v="650434"/>
    <n v="152884"/>
    <s v="Bank Transfer"/>
    <x v="4"/>
    <x v="3"/>
    <s v="Operating Expense"/>
    <n v="3.2544281939248059"/>
    <x v="8"/>
    <n v="152884"/>
    <x v="1"/>
    <n v="0"/>
  </r>
  <r>
    <s v="T00013"/>
    <s v="2024-01-23"/>
    <x v="3"/>
    <s v="CC101"/>
    <x v="4"/>
    <s v="Salary related expense"/>
    <n v="255672"/>
    <n v="348686"/>
    <n v="93014"/>
    <s v="Bank Transfer"/>
    <x v="1"/>
    <x v="3"/>
    <s v="Capital Expense"/>
    <n v="2.7487475003762873"/>
    <x v="6"/>
    <n v="93014"/>
    <x v="1"/>
    <n v="0"/>
  </r>
  <r>
    <s v="T00014"/>
    <s v="2024-04-09"/>
    <x v="3"/>
    <s v="CC104"/>
    <x v="1"/>
    <s v="Maintenance related expense"/>
    <n v="388871"/>
    <n v="533554"/>
    <n v="144683"/>
    <s v="Bank Transfer"/>
    <x v="0"/>
    <x v="0"/>
    <s v="Capital Expense"/>
    <n v="2.6877449320238038"/>
    <x v="9"/>
    <n v="144683"/>
    <x v="1"/>
    <n v="0"/>
  </r>
  <r>
    <s v="T00015"/>
    <s v="2025-02-15"/>
    <x v="0"/>
    <s v="CC104"/>
    <x v="0"/>
    <s v="Utilities related expense"/>
    <n v="411459"/>
    <n v="515202"/>
    <n v="103743"/>
    <s v="Cash"/>
    <x v="4"/>
    <x v="3"/>
    <s v="Operating Expense"/>
    <n v="3.9661374743356177"/>
    <x v="4"/>
    <n v="103743"/>
    <x v="1"/>
    <n v="0"/>
  </r>
  <r>
    <s v="T00016"/>
    <s v="2024-07-27"/>
    <x v="3"/>
    <s v="CC101"/>
    <x v="1"/>
    <s v="Maintenance related expense"/>
    <n v="57569"/>
    <n v="70119"/>
    <n v="12550"/>
    <s v="Bank Transfer"/>
    <x v="2"/>
    <x v="2"/>
    <s v="Operating Expense"/>
    <n v="4.5871713147410356"/>
    <x v="8"/>
    <n v="12550"/>
    <x v="0"/>
    <n v="0"/>
  </r>
  <r>
    <s v="T00017"/>
    <s v="2023-03-30"/>
    <x v="0"/>
    <s v="CC101"/>
    <x v="0"/>
    <s v="Utilities related expense"/>
    <n v="305062"/>
    <n v="373202"/>
    <n v="68140"/>
    <s v="Cash"/>
    <x v="3"/>
    <x v="1"/>
    <s v="Operating Expense"/>
    <n v="4.4769885529791607"/>
    <x v="7"/>
    <n v="68140"/>
    <x v="1"/>
    <n v="0"/>
  </r>
  <r>
    <s v="T00018"/>
    <s v="2023-12-19"/>
    <x v="0"/>
    <s v="CC104"/>
    <x v="3"/>
    <s v="Equipment related expense"/>
    <n v="419149"/>
    <n v="428882"/>
    <n v="9733"/>
    <s v="Cash"/>
    <x v="3"/>
    <x v="2"/>
    <s v="Capital Expense"/>
    <n v="43.064728244117951"/>
    <x v="10"/>
    <n v="9733"/>
    <x v="0"/>
    <n v="0"/>
  </r>
  <r>
    <s v="T00019"/>
    <s v="2023-09-01"/>
    <x v="1"/>
    <s v="CC104"/>
    <x v="5"/>
    <s v="Travel related expense"/>
    <n v="429978"/>
    <n v="436843"/>
    <n v="6865"/>
    <s v="Bank Transfer"/>
    <x v="2"/>
    <x v="2"/>
    <s v="Capital Expense"/>
    <n v="62.63335761107065"/>
    <x v="2"/>
    <n v="6865"/>
    <x v="0"/>
    <n v="0"/>
  </r>
  <r>
    <s v="T00020"/>
    <s v="2023-09-29"/>
    <x v="4"/>
    <s v="CC105"/>
    <x v="4"/>
    <s v="Salary related expense"/>
    <n v="414568"/>
    <n v="430721"/>
    <n v="16153"/>
    <s v="Card"/>
    <x v="1"/>
    <x v="2"/>
    <s v="Operating Expense"/>
    <n v="25.665077694545904"/>
    <x v="2"/>
    <n v="16153"/>
    <x v="0"/>
    <n v="0"/>
  </r>
  <r>
    <s v="T00021"/>
    <s v="2024-12-12"/>
    <x v="0"/>
    <s v="CC102"/>
    <x v="1"/>
    <s v="Maintenance related expense"/>
    <n v="312794"/>
    <n v="232908"/>
    <n v="-79886"/>
    <s v="Cash"/>
    <x v="4"/>
    <x v="2"/>
    <s v="Operating Expense"/>
    <n v="-3.9155045940465163"/>
    <x v="10"/>
    <n v="79886"/>
    <x v="1"/>
    <n v="0"/>
  </r>
  <r>
    <s v="T00022"/>
    <s v="2024-04-21"/>
    <x v="0"/>
    <s v="CC101"/>
    <x v="5"/>
    <s v="Travel related expense"/>
    <n v="479744"/>
    <n v="643000"/>
    <n v="163256"/>
    <s v="Card"/>
    <x v="0"/>
    <x v="2"/>
    <s v="Operating Expense"/>
    <n v="2.9385995001715099"/>
    <x v="9"/>
    <n v="163256"/>
    <x v="1"/>
    <n v="0"/>
  </r>
  <r>
    <s v="T00023"/>
    <s v="2025-06-12"/>
    <x v="5"/>
    <s v="CC104"/>
    <x v="3"/>
    <s v="Equipment related expense"/>
    <n v="314882"/>
    <n v="416714"/>
    <n v="101832"/>
    <s v="Bank Transfer"/>
    <x v="3"/>
    <x v="1"/>
    <s v="Capital Expense"/>
    <n v="3.0921714195930554"/>
    <x v="1"/>
    <n v="101832"/>
    <x v="1"/>
    <n v="0"/>
  </r>
  <r>
    <s v="T00024"/>
    <s v="2024-07-06"/>
    <x v="1"/>
    <s v="CC102"/>
    <x v="0"/>
    <s v="Utilities related expense"/>
    <n v="57397"/>
    <n v="41986"/>
    <n v="-15411"/>
    <s v="Bank Transfer"/>
    <x v="0"/>
    <x v="1"/>
    <s v="Operating Expense"/>
    <n v="-3.7244176237752256"/>
    <x v="8"/>
    <n v="15411"/>
    <x v="0"/>
    <n v="0"/>
  </r>
  <r>
    <s v="T00025"/>
    <s v="2023-05-25"/>
    <x v="5"/>
    <s v="CC102"/>
    <x v="5"/>
    <s v="Travel related expense"/>
    <n v="164797"/>
    <n v="209561"/>
    <n v="44764"/>
    <s v="Cash"/>
    <x v="1"/>
    <x v="0"/>
    <s v="Capital Expense"/>
    <n v="3.6814627825931554"/>
    <x v="11"/>
    <n v="44764"/>
    <x v="1"/>
    <n v="0"/>
  </r>
  <r>
    <s v="T00026"/>
    <s v="2024-11-18"/>
    <x v="4"/>
    <s v="CC101"/>
    <x v="5"/>
    <s v="Travel related expense"/>
    <n v="288727"/>
    <n v="269826"/>
    <n v="-18901"/>
    <s v="Cash"/>
    <x v="2"/>
    <x v="1"/>
    <s v="Operating Expense"/>
    <n v="-15.275752605682239"/>
    <x v="0"/>
    <n v="18901"/>
    <x v="1"/>
    <n v="0"/>
  </r>
  <r>
    <s v="T00027"/>
    <s v="2025-05-23"/>
    <x v="2"/>
    <s v="CC104"/>
    <x v="2"/>
    <s v="Marketing related expense"/>
    <n v="346029"/>
    <n v="433856"/>
    <n v="87827"/>
    <s v="Bank Transfer"/>
    <x v="2"/>
    <x v="0"/>
    <s v="Operating Expense"/>
    <n v="3.939893199130108"/>
    <x v="11"/>
    <n v="87827"/>
    <x v="1"/>
    <n v="0"/>
  </r>
  <r>
    <s v="T00028"/>
    <s v="2025-03-21"/>
    <x v="5"/>
    <s v="CC101"/>
    <x v="4"/>
    <s v="Salary related expense"/>
    <n v="178133"/>
    <n v="176779"/>
    <n v="-1354"/>
    <s v="Card"/>
    <x v="4"/>
    <x v="1"/>
    <s v="Operating Expense"/>
    <n v="-131.56056129985228"/>
    <x v="7"/>
    <n v="1354"/>
    <x v="0"/>
    <n v="0"/>
  </r>
  <r>
    <s v="T00029"/>
    <s v="2023-01-22"/>
    <x v="1"/>
    <s v="CC104"/>
    <x v="3"/>
    <s v="Equipment related expense"/>
    <n v="248978"/>
    <n v="222411"/>
    <n v="-26567"/>
    <s v="Bank Transfer"/>
    <x v="2"/>
    <x v="2"/>
    <s v="Capital Expense"/>
    <n v="-9.3717017352354421"/>
    <x v="6"/>
    <n v="26567"/>
    <x v="1"/>
    <n v="0"/>
  </r>
  <r>
    <s v="T00030"/>
    <s v="2025-06-09"/>
    <x v="0"/>
    <s v="CC103"/>
    <x v="1"/>
    <s v="Maintenance related expense"/>
    <n v="469478"/>
    <n v="376333"/>
    <n v="-93145"/>
    <s v="Cash"/>
    <x v="2"/>
    <x v="3"/>
    <s v="Capital Expense"/>
    <n v="-5.0402920178216757"/>
    <x v="1"/>
    <n v="93145"/>
    <x v="1"/>
    <n v="0"/>
  </r>
  <r>
    <s v="T00031"/>
    <s v="2024-01-07"/>
    <x v="2"/>
    <s v="CC103"/>
    <x v="5"/>
    <s v="Travel related expense"/>
    <n v="252767"/>
    <n v="235650"/>
    <n v="-17117"/>
    <s v="Bank Transfer"/>
    <x v="1"/>
    <x v="3"/>
    <s v="Capital Expense"/>
    <n v="-14.767015247999066"/>
    <x v="6"/>
    <n v="17117"/>
    <x v="0"/>
    <n v="0"/>
  </r>
  <r>
    <s v="T00032"/>
    <s v="2023-03-22"/>
    <x v="2"/>
    <s v="CC103"/>
    <x v="2"/>
    <s v="Marketing related expense"/>
    <n v="465075"/>
    <n v="407244"/>
    <n v="-57831"/>
    <s v="Bank Transfer"/>
    <x v="4"/>
    <x v="3"/>
    <s v="Capital Expense"/>
    <n v="-8.0419671110650004"/>
    <x v="7"/>
    <n v="57831"/>
    <x v="1"/>
    <n v="0"/>
  </r>
  <r>
    <s v="T00033"/>
    <s v="2023-03-20"/>
    <x v="4"/>
    <s v="CC105"/>
    <x v="4"/>
    <s v="Salary related expense"/>
    <n v="389251"/>
    <n v="411785"/>
    <n v="22534"/>
    <s v="Card"/>
    <x v="4"/>
    <x v="0"/>
    <s v="Operating Expense"/>
    <n v="17.273941599360967"/>
    <x v="7"/>
    <n v="22534"/>
    <x v="1"/>
    <n v="0"/>
  </r>
  <r>
    <s v="T00034"/>
    <s v="2025-02-20"/>
    <x v="3"/>
    <s v="CC102"/>
    <x v="2"/>
    <s v="Marketing related expense"/>
    <n v="287652"/>
    <n v="366656"/>
    <n v="79004"/>
    <s v="Bank Transfer"/>
    <x v="4"/>
    <x v="2"/>
    <s v="Operating Expense"/>
    <n v="3.6409802035339984"/>
    <x v="4"/>
    <n v="79004"/>
    <x v="1"/>
    <n v="0"/>
  </r>
  <r>
    <s v="T00035"/>
    <s v="2023-02-15"/>
    <x v="0"/>
    <s v="CC103"/>
    <x v="5"/>
    <s v="Travel related expense"/>
    <n v="142455"/>
    <n v="168897"/>
    <n v="26442"/>
    <s v="Card"/>
    <x v="2"/>
    <x v="0"/>
    <s v="Capital Expense"/>
    <n v="5.3874517812570906"/>
    <x v="4"/>
    <n v="26442"/>
    <x v="1"/>
    <n v="0"/>
  </r>
  <r>
    <s v="T00036"/>
    <s v="2024-06-30"/>
    <x v="1"/>
    <s v="CC103"/>
    <x v="5"/>
    <s v="Travel related expense"/>
    <n v="294173"/>
    <n v="351730"/>
    <n v="57557"/>
    <s v="Card"/>
    <x v="2"/>
    <x v="1"/>
    <s v="Operating Expense"/>
    <n v="5.1109856316347271"/>
    <x v="1"/>
    <n v="57557"/>
    <x v="1"/>
    <n v="0"/>
  </r>
  <r>
    <s v="T00037"/>
    <s v="2023-08-12"/>
    <x v="5"/>
    <s v="CC104"/>
    <x v="5"/>
    <s v="Travel related expense"/>
    <n v="324101"/>
    <n v="378020"/>
    <n v="53919"/>
    <s v="Card"/>
    <x v="3"/>
    <x v="0"/>
    <s v="Operating Expense"/>
    <n v="6.0108867004210023"/>
    <x v="3"/>
    <n v="53919"/>
    <x v="1"/>
    <n v="0"/>
  </r>
  <r>
    <s v="T00038"/>
    <s v="2024-09-30"/>
    <x v="3"/>
    <s v="CC103"/>
    <x v="5"/>
    <s v="Travel related expense"/>
    <n v="261167"/>
    <n v="283565"/>
    <n v="22398"/>
    <s v="Cash"/>
    <x v="2"/>
    <x v="1"/>
    <s v="Operating Expense"/>
    <n v="11.660282168050719"/>
    <x v="2"/>
    <n v="22398"/>
    <x v="1"/>
    <n v="0"/>
  </r>
  <r>
    <s v="T00039"/>
    <s v="2023-11-21"/>
    <x v="4"/>
    <s v="CC102"/>
    <x v="0"/>
    <s v="Utilities related expense"/>
    <n v="219027"/>
    <n v="297016"/>
    <n v="77989"/>
    <s v="Cash"/>
    <x v="4"/>
    <x v="3"/>
    <s v="Operating Expense"/>
    <n v="2.8084345228173202"/>
    <x v="0"/>
    <n v="77989"/>
    <x v="1"/>
    <n v="0"/>
  </r>
  <r>
    <s v="T00040"/>
    <s v="2023-04-23"/>
    <x v="1"/>
    <s v="CC102"/>
    <x v="4"/>
    <s v="Salary related expense"/>
    <n v="188396"/>
    <n v="201574"/>
    <n v="13178"/>
    <s v="Cash"/>
    <x v="1"/>
    <x v="1"/>
    <s v="Operating Expense"/>
    <n v="14.296251327970861"/>
    <x v="9"/>
    <n v="13178"/>
    <x v="0"/>
    <n v="0"/>
  </r>
  <r>
    <s v="T00041"/>
    <s v="2024-02-21"/>
    <x v="5"/>
    <s v="CC101"/>
    <x v="0"/>
    <s v="Utilities related expense"/>
    <n v="329087"/>
    <n v="436751"/>
    <n v="107664"/>
    <s v="Bank Transfer"/>
    <x v="2"/>
    <x v="0"/>
    <s v="Capital Expense"/>
    <n v="3.0566113092584337"/>
    <x v="4"/>
    <n v="107664"/>
    <x v="1"/>
    <n v="0"/>
  </r>
  <r>
    <s v="T00042"/>
    <s v="2024-03-24"/>
    <x v="5"/>
    <s v="CC104"/>
    <x v="1"/>
    <s v="Maintenance related expense"/>
    <n v="276122"/>
    <n v="235480"/>
    <n v="-40642"/>
    <s v="Bank Transfer"/>
    <x v="4"/>
    <x v="3"/>
    <s v="Operating Expense"/>
    <n v="-6.7940062004822597"/>
    <x v="7"/>
    <n v="40642"/>
    <x v="1"/>
    <n v="0"/>
  </r>
  <r>
    <s v="T00043"/>
    <s v="2025-01-28"/>
    <x v="4"/>
    <s v="CC101"/>
    <x v="5"/>
    <s v="Travel related expense"/>
    <n v="209503"/>
    <n v="264294"/>
    <n v="54791"/>
    <s v="Bank Transfer"/>
    <x v="1"/>
    <x v="0"/>
    <s v="Operating Expense"/>
    <n v="3.8236754211458086"/>
    <x v="6"/>
    <n v="54791"/>
    <x v="1"/>
    <n v="0"/>
  </r>
  <r>
    <s v="T00044"/>
    <s v="2024-07-10"/>
    <x v="5"/>
    <s v="CC102"/>
    <x v="5"/>
    <s v="Travel related expense"/>
    <n v="300196"/>
    <n v="342233"/>
    <n v="42037"/>
    <s v="Bank Transfer"/>
    <x v="3"/>
    <x v="3"/>
    <s v="Capital Expense"/>
    <n v="7.1412327235530606"/>
    <x v="8"/>
    <n v="42037"/>
    <x v="1"/>
    <n v="0"/>
  </r>
  <r>
    <s v="T00045"/>
    <s v="2024-12-08"/>
    <x v="0"/>
    <s v="CC103"/>
    <x v="0"/>
    <s v="Utilities related expense"/>
    <n v="465382"/>
    <n v="607591"/>
    <n v="142209"/>
    <s v="Cash"/>
    <x v="4"/>
    <x v="0"/>
    <s v="Operating Expense"/>
    <n v="3.27252142972667"/>
    <x v="10"/>
    <n v="142209"/>
    <x v="1"/>
    <n v="0"/>
  </r>
  <r>
    <s v="T00046"/>
    <s v="2023-05-18"/>
    <x v="2"/>
    <s v="CC101"/>
    <x v="1"/>
    <s v="Maintenance related expense"/>
    <n v="331877"/>
    <n v="320916"/>
    <n v="-10961"/>
    <s v="Bank Transfer"/>
    <x v="0"/>
    <x v="1"/>
    <s v="Capital Expense"/>
    <n v="-30.277985585256818"/>
    <x v="11"/>
    <n v="10961"/>
    <x v="0"/>
    <n v="0"/>
  </r>
  <r>
    <s v="T00047"/>
    <s v="2024-07-19"/>
    <x v="2"/>
    <s v="CC102"/>
    <x v="4"/>
    <s v="Salary related expense"/>
    <n v="446536"/>
    <n v="375249"/>
    <n v="-71287"/>
    <s v="Cash"/>
    <x v="2"/>
    <x v="3"/>
    <s v="Operating Expense"/>
    <n v="-6.2639190876316864"/>
    <x v="8"/>
    <n v="71287"/>
    <x v="1"/>
    <n v="0"/>
  </r>
  <r>
    <s v="T00048"/>
    <s v="2024-04-29"/>
    <x v="0"/>
    <s v="CC103"/>
    <x v="5"/>
    <s v="Travel related expense"/>
    <n v="394609"/>
    <n v="377928"/>
    <n v="-16681"/>
    <s v="Card"/>
    <x v="4"/>
    <x v="3"/>
    <s v="Operating Expense"/>
    <n v="-23.656195671722319"/>
    <x v="9"/>
    <n v="16681"/>
    <x v="0"/>
    <n v="0"/>
  </r>
  <r>
    <s v="T00049"/>
    <s v="2024-11-30"/>
    <x v="5"/>
    <s v="CC101"/>
    <x v="0"/>
    <s v="Utilities related expense"/>
    <n v="204123"/>
    <n v="197966"/>
    <n v="-6157"/>
    <s v="Cash"/>
    <x v="2"/>
    <x v="3"/>
    <s v="Capital Expense"/>
    <n v="-33.152996589248012"/>
    <x v="0"/>
    <n v="6157"/>
    <x v="0"/>
    <n v="0"/>
  </r>
  <r>
    <s v="T00050"/>
    <s v="2024-10-25"/>
    <x v="1"/>
    <s v="CC105"/>
    <x v="0"/>
    <s v="Utilities related expense"/>
    <n v="178911"/>
    <n v="147607"/>
    <n v="-31304"/>
    <s v="Card"/>
    <x v="3"/>
    <x v="0"/>
    <s v="Operating Expense"/>
    <n v="-5.7152760030667009"/>
    <x v="5"/>
    <n v="31304"/>
    <x v="1"/>
    <n v="0"/>
  </r>
  <r>
    <s v="T00051"/>
    <s v="2024-05-24"/>
    <x v="0"/>
    <s v="CC104"/>
    <x v="4"/>
    <s v="Salary related expense"/>
    <n v="482161"/>
    <n v="644311"/>
    <n v="162150"/>
    <s v="Bank Transfer"/>
    <x v="3"/>
    <x v="3"/>
    <s v="Capital Expense"/>
    <n v="2.9735491828553808"/>
    <x v="11"/>
    <n v="162150"/>
    <x v="1"/>
    <n v="0"/>
  </r>
  <r>
    <s v="T00052"/>
    <s v="2024-09-01"/>
    <x v="5"/>
    <s v="CC102"/>
    <x v="4"/>
    <s v="Salary related expense"/>
    <n v="108826"/>
    <n v="105940"/>
    <n v="-2886"/>
    <s v="Cash"/>
    <x v="4"/>
    <x v="1"/>
    <s v="Operating Expense"/>
    <n v="-37.708246708246705"/>
    <x v="2"/>
    <n v="2886"/>
    <x v="0"/>
    <n v="0"/>
  </r>
  <r>
    <s v="T00053"/>
    <s v="2025-02-17"/>
    <x v="0"/>
    <s v="CC102"/>
    <x v="1"/>
    <s v="Maintenance related expense"/>
    <n v="493612"/>
    <n v="666368"/>
    <n v="172756"/>
    <s v="Bank Transfer"/>
    <x v="3"/>
    <x v="0"/>
    <s v="Capital Expense"/>
    <n v="2.8572784736854291"/>
    <x v="4"/>
    <n v="172756"/>
    <x v="1"/>
    <n v="0"/>
  </r>
  <r>
    <s v="T00054"/>
    <s v="2023-05-17"/>
    <x v="3"/>
    <s v="CC102"/>
    <x v="5"/>
    <s v="Travel related expense"/>
    <n v="388037"/>
    <n v="451681"/>
    <n v="63644"/>
    <s v="Cash"/>
    <x v="3"/>
    <x v="3"/>
    <s v="Operating Expense"/>
    <n v="6.0969926465966937"/>
    <x v="11"/>
    <n v="63644"/>
    <x v="1"/>
    <n v="0"/>
  </r>
  <r>
    <s v="T00055"/>
    <s v="2025-03-02"/>
    <x v="0"/>
    <s v="CC105"/>
    <x v="1"/>
    <s v="Maintenance related expense"/>
    <n v="64332"/>
    <n v="80324"/>
    <n v="15992"/>
    <s v="Card"/>
    <x v="3"/>
    <x v="1"/>
    <s v="Capital Expense"/>
    <n v="4.0227613806903451"/>
    <x v="7"/>
    <n v="15992"/>
    <x v="0"/>
    <n v="0"/>
  </r>
  <r>
    <s v="T00056"/>
    <s v="2023-08-10"/>
    <x v="2"/>
    <s v="CC101"/>
    <x v="3"/>
    <s v="Equipment related expense"/>
    <n v="74606"/>
    <n v="59304"/>
    <n v="-15302"/>
    <s v="Card"/>
    <x v="1"/>
    <x v="3"/>
    <s v="Operating Expense"/>
    <n v="-4.8755718206770355"/>
    <x v="3"/>
    <n v="15302"/>
    <x v="0"/>
    <n v="0"/>
  </r>
  <r>
    <s v="T00057"/>
    <s v="2024-06-29"/>
    <x v="1"/>
    <s v="CC102"/>
    <x v="4"/>
    <s v="Salary related expense"/>
    <n v="216724"/>
    <n v="220524"/>
    <n v="3800"/>
    <s v="Card"/>
    <x v="1"/>
    <x v="0"/>
    <s v="Capital Expense"/>
    <n v="57.032631578947367"/>
    <x v="1"/>
    <n v="3800"/>
    <x v="0"/>
    <n v="0"/>
  </r>
  <r>
    <s v="T00058"/>
    <s v="2025-05-13"/>
    <x v="2"/>
    <s v="CC103"/>
    <x v="0"/>
    <s v="Utilities related expense"/>
    <n v="482261"/>
    <n v="373116"/>
    <n v="-109145"/>
    <s v="Bank Transfer"/>
    <x v="0"/>
    <x v="2"/>
    <s v="Capital Expense"/>
    <n v="-4.418534976407531"/>
    <x v="11"/>
    <n v="109145"/>
    <x v="1"/>
    <n v="0"/>
  </r>
  <r>
    <s v="T00059"/>
    <s v="2024-05-19"/>
    <x v="4"/>
    <s v="CC104"/>
    <x v="0"/>
    <s v="Utilities related expense"/>
    <n v="497732"/>
    <n v="349050"/>
    <n v="-148682"/>
    <s v="Cash"/>
    <x v="0"/>
    <x v="3"/>
    <s v="Capital Expense"/>
    <n v="-3.3476278231393173"/>
    <x v="11"/>
    <n v="148682"/>
    <x v="1"/>
    <n v="0"/>
  </r>
  <r>
    <s v="T00060"/>
    <s v="2023-10-12"/>
    <x v="3"/>
    <s v="CC104"/>
    <x v="5"/>
    <s v="Travel related expense"/>
    <n v="237897"/>
    <n v="218818"/>
    <n v="-19079"/>
    <s v="Bank Transfer"/>
    <x v="3"/>
    <x v="0"/>
    <s v="Capital Expense"/>
    <n v="-12.469049740552439"/>
    <x v="5"/>
    <n v="19079"/>
    <x v="1"/>
    <n v="0"/>
  </r>
  <r>
    <s v="T00061"/>
    <s v="2024-01-22"/>
    <x v="3"/>
    <s v="CC104"/>
    <x v="1"/>
    <s v="Maintenance related expense"/>
    <n v="402605"/>
    <n v="405427"/>
    <n v="2822"/>
    <s v="Card"/>
    <x v="3"/>
    <x v="0"/>
    <s v="Operating Expense"/>
    <n v="142.66654854712971"/>
    <x v="6"/>
    <n v="2822"/>
    <x v="0"/>
    <n v="0"/>
  </r>
  <r>
    <s v="T00062"/>
    <s v="2024-10-23"/>
    <x v="3"/>
    <s v="CC105"/>
    <x v="5"/>
    <s v="Travel related expense"/>
    <n v="133707"/>
    <n v="154006"/>
    <n v="20299"/>
    <s v="Bank Transfer"/>
    <x v="1"/>
    <x v="1"/>
    <s v="Capital Expense"/>
    <n v="6.586876200798069"/>
    <x v="5"/>
    <n v="20299"/>
    <x v="1"/>
    <n v="0"/>
  </r>
  <r>
    <s v="T00063"/>
    <s v="2024-07-11"/>
    <x v="0"/>
    <s v="CC102"/>
    <x v="4"/>
    <s v="Salary related expense"/>
    <n v="82292"/>
    <n v="79722"/>
    <n v="-2570"/>
    <s v="Card"/>
    <x v="4"/>
    <x v="0"/>
    <s v="Operating Expense"/>
    <n v="-32.020233463035019"/>
    <x v="8"/>
    <n v="2570"/>
    <x v="0"/>
    <n v="0"/>
  </r>
  <r>
    <s v="T00064"/>
    <s v="2024-12-03"/>
    <x v="5"/>
    <s v="CC104"/>
    <x v="2"/>
    <s v="Marketing related expense"/>
    <n v="126209"/>
    <n v="132897"/>
    <n v="6688"/>
    <s v="Card"/>
    <x v="3"/>
    <x v="0"/>
    <s v="Operating Expense"/>
    <n v="18.870962918660286"/>
    <x v="10"/>
    <n v="6688"/>
    <x v="0"/>
    <n v="0"/>
  </r>
  <r>
    <s v="T00065"/>
    <s v="2023-07-19"/>
    <x v="1"/>
    <s v="CC104"/>
    <x v="3"/>
    <s v="Equipment related expense"/>
    <n v="491788"/>
    <n v="466660"/>
    <n v="-25128"/>
    <s v="Cash"/>
    <x v="0"/>
    <x v="1"/>
    <s v="Operating Expense"/>
    <n v="-19.571314867876474"/>
    <x v="8"/>
    <n v="25128"/>
    <x v="1"/>
    <n v="0"/>
  </r>
  <r>
    <s v="T00066"/>
    <s v="2024-09-06"/>
    <x v="0"/>
    <s v="CC102"/>
    <x v="3"/>
    <s v="Equipment related expense"/>
    <n v="398433"/>
    <n v="288903"/>
    <n v="-109530"/>
    <s v="Bank Transfer"/>
    <x v="3"/>
    <x v="3"/>
    <s v="Operating Expense"/>
    <n v="-3.6376609148178582"/>
    <x v="2"/>
    <n v="109530"/>
    <x v="1"/>
    <n v="0"/>
  </r>
  <r>
    <s v="T00067"/>
    <s v="2025-04-13"/>
    <x v="5"/>
    <s v="CC105"/>
    <x v="2"/>
    <s v="Marketing related expense"/>
    <n v="221646"/>
    <n v="240659"/>
    <n v="19013"/>
    <s v="Cash"/>
    <x v="0"/>
    <x v="3"/>
    <s v="Capital Expense"/>
    <n v="11.657602692894335"/>
    <x v="9"/>
    <n v="19013"/>
    <x v="1"/>
    <n v="0"/>
  </r>
  <r>
    <s v="T00068"/>
    <s v="2023-03-17"/>
    <x v="1"/>
    <s v="CC101"/>
    <x v="0"/>
    <s v="Utilities related expense"/>
    <n v="332901"/>
    <n v="314891"/>
    <n v="-18010"/>
    <s v="Cash"/>
    <x v="2"/>
    <x v="1"/>
    <s v="Capital Expense"/>
    <n v="-18.484230982787341"/>
    <x v="7"/>
    <n v="18010"/>
    <x v="1"/>
    <n v="0"/>
  </r>
  <r>
    <s v="T00069"/>
    <s v="2024-09-05"/>
    <x v="0"/>
    <s v="CC104"/>
    <x v="5"/>
    <s v="Travel related expense"/>
    <n v="428736"/>
    <n v="310274"/>
    <n v="-118462"/>
    <s v="Card"/>
    <x v="1"/>
    <x v="1"/>
    <s v="Capital Expense"/>
    <n v="-3.6191858992757173"/>
    <x v="2"/>
    <n v="118462"/>
    <x v="1"/>
    <n v="0"/>
  </r>
  <r>
    <s v="T00070"/>
    <s v="2023-08-30"/>
    <x v="4"/>
    <s v="CC104"/>
    <x v="4"/>
    <s v="Salary related expense"/>
    <n v="104298"/>
    <n v="144419"/>
    <n v="40121"/>
    <s v="Cash"/>
    <x v="2"/>
    <x v="1"/>
    <s v="Operating Expense"/>
    <n v="2.5995862515889434"/>
    <x v="3"/>
    <n v="40121"/>
    <x v="1"/>
    <n v="0"/>
  </r>
  <r>
    <s v="T00071"/>
    <s v="2024-01-03"/>
    <x v="1"/>
    <s v="CC104"/>
    <x v="3"/>
    <s v="Equipment related expense"/>
    <n v="249729"/>
    <n v="177761"/>
    <n v="-71968"/>
    <s v="Card"/>
    <x v="2"/>
    <x v="2"/>
    <s v="Operating Expense"/>
    <n v="-3.4700005558025788"/>
    <x v="6"/>
    <n v="71968"/>
    <x v="1"/>
    <n v="0"/>
  </r>
  <r>
    <s v="T00072"/>
    <s v="2024-09-13"/>
    <x v="5"/>
    <s v="CC105"/>
    <x v="4"/>
    <s v="Salary related expense"/>
    <n v="472511"/>
    <n v="337273"/>
    <n v="-135238"/>
    <s v="Bank Transfer"/>
    <x v="4"/>
    <x v="1"/>
    <s v="Capital Expense"/>
    <n v="-3.4939218267055119"/>
    <x v="2"/>
    <n v="135238"/>
    <x v="1"/>
    <n v="0"/>
  </r>
  <r>
    <s v="T00073"/>
    <s v="2023-02-06"/>
    <x v="3"/>
    <s v="CC101"/>
    <x v="5"/>
    <s v="Travel related expense"/>
    <n v="418795"/>
    <n v="422636"/>
    <n v="3841"/>
    <s v="Cash"/>
    <x v="2"/>
    <x v="3"/>
    <s v="Operating Expense"/>
    <n v="109.03280395730279"/>
    <x v="4"/>
    <n v="3841"/>
    <x v="0"/>
    <n v="0"/>
  </r>
  <r>
    <s v="T00074"/>
    <s v="2023-09-18"/>
    <x v="5"/>
    <s v="CC103"/>
    <x v="2"/>
    <s v="Marketing related expense"/>
    <n v="334464"/>
    <n v="431071"/>
    <n v="96607"/>
    <s v="Cash"/>
    <x v="2"/>
    <x v="3"/>
    <s v="Operating Expense"/>
    <n v="3.462109370956556"/>
    <x v="2"/>
    <n v="96607"/>
    <x v="1"/>
    <n v="0"/>
  </r>
  <r>
    <s v="T00075"/>
    <s v="2023-01-30"/>
    <x v="0"/>
    <s v="CC104"/>
    <x v="2"/>
    <s v="Marketing related expense"/>
    <n v="379067"/>
    <n v="314171"/>
    <n v="-64896"/>
    <s v="Cash"/>
    <x v="1"/>
    <x v="2"/>
    <s v="Capital Expense"/>
    <n v="-5.841145833333333"/>
    <x v="6"/>
    <n v="64896"/>
    <x v="1"/>
    <n v="0"/>
  </r>
  <r>
    <s v="T00076"/>
    <s v="2025-02-07"/>
    <x v="2"/>
    <s v="CC101"/>
    <x v="4"/>
    <s v="Salary related expense"/>
    <n v="425617"/>
    <n v="315457"/>
    <n v="-110160"/>
    <s v="Cash"/>
    <x v="0"/>
    <x v="0"/>
    <s v="Capital Expense"/>
    <n v="-3.863625635439361"/>
    <x v="4"/>
    <n v="110160"/>
    <x v="1"/>
    <n v="0"/>
  </r>
  <r>
    <s v="T00077"/>
    <s v="2023-09-25"/>
    <x v="1"/>
    <s v="CC102"/>
    <x v="3"/>
    <s v="Equipment related expense"/>
    <n v="80010"/>
    <n v="104938"/>
    <n v="24928"/>
    <s v="Cash"/>
    <x v="2"/>
    <x v="2"/>
    <s v="Operating Expense"/>
    <n v="3.2096437740693196"/>
    <x v="2"/>
    <n v="24928"/>
    <x v="1"/>
    <n v="0"/>
  </r>
  <r>
    <s v="T00078"/>
    <s v="2023-01-10"/>
    <x v="4"/>
    <s v="CC103"/>
    <x v="3"/>
    <s v="Equipment related expense"/>
    <n v="113011"/>
    <n v="132789"/>
    <n v="19778"/>
    <s v="Bank Transfer"/>
    <x v="0"/>
    <x v="3"/>
    <s v="Capital Expense"/>
    <n v="5.7139751238750129"/>
    <x v="6"/>
    <n v="19778"/>
    <x v="1"/>
    <n v="0"/>
  </r>
  <r>
    <s v="T00079"/>
    <s v="2024-12-08"/>
    <x v="5"/>
    <s v="CC102"/>
    <x v="5"/>
    <s v="Travel related expense"/>
    <n v="185112"/>
    <n v="252179"/>
    <n v="67067"/>
    <s v="Card"/>
    <x v="0"/>
    <x v="1"/>
    <s v="Capital Expense"/>
    <n v="2.7601055660757154"/>
    <x v="10"/>
    <n v="67067"/>
    <x v="1"/>
    <n v="0"/>
  </r>
  <r>
    <s v="T00080"/>
    <s v="2025-02-11"/>
    <x v="0"/>
    <s v="CC102"/>
    <x v="3"/>
    <s v="Equipment related expense"/>
    <n v="99173"/>
    <n v="87667"/>
    <n v="-11506"/>
    <s v="Cash"/>
    <x v="3"/>
    <x v="1"/>
    <s v="Operating Expense"/>
    <n v="-8.6192421345385011"/>
    <x v="4"/>
    <n v="11506"/>
    <x v="0"/>
    <n v="0"/>
  </r>
  <r>
    <s v="T00081"/>
    <s v="2025-02-20"/>
    <x v="2"/>
    <s v="CC101"/>
    <x v="1"/>
    <s v="Maintenance related expense"/>
    <n v="298464"/>
    <n v="240525"/>
    <n v="-57939"/>
    <s v="Card"/>
    <x v="1"/>
    <x v="2"/>
    <s v="Capital Expense"/>
    <n v="-5.1513488323926886"/>
    <x v="4"/>
    <n v="57939"/>
    <x v="1"/>
    <n v="0"/>
  </r>
  <r>
    <s v="T00082"/>
    <s v="2025-05-29"/>
    <x v="5"/>
    <s v="CC104"/>
    <x v="1"/>
    <s v="Maintenance related expense"/>
    <n v="270206"/>
    <n v="293641"/>
    <n v="23435"/>
    <s v="Cash"/>
    <x v="2"/>
    <x v="0"/>
    <s v="Capital Expense"/>
    <n v="11.530019202048219"/>
    <x v="11"/>
    <n v="23435"/>
    <x v="1"/>
    <n v="0"/>
  </r>
  <r>
    <s v="T00083"/>
    <s v="2023-11-12"/>
    <x v="4"/>
    <s v="CC103"/>
    <x v="5"/>
    <s v="Travel related expense"/>
    <n v="107042"/>
    <n v="92654"/>
    <n v="-14388"/>
    <s v="Card"/>
    <x v="4"/>
    <x v="0"/>
    <s v="Capital Expense"/>
    <n v="-7.4396719488462608"/>
    <x v="0"/>
    <n v="14388"/>
    <x v="0"/>
    <n v="0"/>
  </r>
  <r>
    <s v="T00084"/>
    <s v="2024-08-25"/>
    <x v="2"/>
    <s v="CC105"/>
    <x v="5"/>
    <s v="Travel related expense"/>
    <n v="272413"/>
    <n v="248608"/>
    <n v="-23805"/>
    <s v="Bank Transfer"/>
    <x v="1"/>
    <x v="2"/>
    <s v="Capital Expense"/>
    <n v="-11.443520268851081"/>
    <x v="3"/>
    <n v="23805"/>
    <x v="1"/>
    <n v="0"/>
  </r>
  <r>
    <s v="T00085"/>
    <s v="2025-05-08"/>
    <x v="3"/>
    <s v="CC104"/>
    <x v="2"/>
    <s v="Marketing related expense"/>
    <n v="116961"/>
    <n v="153734"/>
    <n v="36773"/>
    <s v="Card"/>
    <x v="4"/>
    <x v="3"/>
    <s v="Capital Expense"/>
    <n v="3.1806216517553638"/>
    <x v="11"/>
    <n v="36773"/>
    <x v="1"/>
    <n v="0"/>
  </r>
  <r>
    <s v="T00086"/>
    <s v="2023-06-15"/>
    <x v="2"/>
    <s v="CC101"/>
    <x v="1"/>
    <s v="Maintenance related expense"/>
    <n v="464066"/>
    <n v="458987"/>
    <n v="-5079"/>
    <s v="Cash"/>
    <x v="2"/>
    <x v="2"/>
    <s v="Operating Expense"/>
    <n v="-91.369560937192361"/>
    <x v="1"/>
    <n v="5079"/>
    <x v="0"/>
    <n v="0"/>
  </r>
  <r>
    <s v="T00087"/>
    <s v="2025-02-12"/>
    <x v="4"/>
    <s v="CC103"/>
    <x v="5"/>
    <s v="Travel related expense"/>
    <n v="314120"/>
    <n v="431227"/>
    <n v="117107"/>
    <s v="Card"/>
    <x v="4"/>
    <x v="2"/>
    <s v="Operating Expense"/>
    <n v="2.6823332507877411"/>
    <x v="4"/>
    <n v="117107"/>
    <x v="1"/>
    <n v="0"/>
  </r>
  <r>
    <s v="T00088"/>
    <s v="2024-05-17"/>
    <x v="5"/>
    <s v="CC103"/>
    <x v="2"/>
    <s v="Marketing related expense"/>
    <n v="391299"/>
    <n v="384817"/>
    <n v="-6482"/>
    <s v="Cash"/>
    <x v="0"/>
    <x v="3"/>
    <s v="Operating Expense"/>
    <n v="-60.367016352977473"/>
    <x v="11"/>
    <n v="6482"/>
    <x v="0"/>
    <n v="0"/>
  </r>
  <r>
    <s v="T00089"/>
    <s v="2023-11-09"/>
    <x v="0"/>
    <s v="CC105"/>
    <x v="1"/>
    <s v="Maintenance related expense"/>
    <n v="143743"/>
    <n v="138941"/>
    <n v="-4802"/>
    <s v="Bank Transfer"/>
    <x v="0"/>
    <x v="3"/>
    <s v="Operating Expense"/>
    <n v="-29.933985839233653"/>
    <x v="0"/>
    <n v="4802"/>
    <x v="0"/>
    <n v="0"/>
  </r>
  <r>
    <s v="T00090"/>
    <s v="2023-11-01"/>
    <x v="3"/>
    <s v="CC104"/>
    <x v="5"/>
    <s v="Travel related expense"/>
    <n v="363559"/>
    <n v="466247"/>
    <n v="102688"/>
    <s v="Card"/>
    <x v="4"/>
    <x v="2"/>
    <s v="Capital Expense"/>
    <n v="3.5404234185104393"/>
    <x v="0"/>
    <n v="102688"/>
    <x v="1"/>
    <n v="0"/>
  </r>
  <r>
    <s v="T00091"/>
    <s v="2025-02-28"/>
    <x v="5"/>
    <s v="CC101"/>
    <x v="5"/>
    <s v="Travel related expense"/>
    <n v="61526"/>
    <n v="75431"/>
    <n v="13905"/>
    <s v="Bank Transfer"/>
    <x v="0"/>
    <x v="1"/>
    <s v="Capital Expense"/>
    <n v="4.424739302409205"/>
    <x v="4"/>
    <n v="13905"/>
    <x v="0"/>
    <n v="0"/>
  </r>
  <r>
    <s v="T00092"/>
    <s v="2023-02-09"/>
    <x v="3"/>
    <s v="CC101"/>
    <x v="5"/>
    <s v="Travel related expense"/>
    <n v="447991"/>
    <n v="321638"/>
    <n v="-126353"/>
    <s v="Bank Transfer"/>
    <x v="3"/>
    <x v="1"/>
    <s v="Operating Expense"/>
    <n v="-3.5455509564474132"/>
    <x v="4"/>
    <n v="126353"/>
    <x v="1"/>
    <n v="0"/>
  </r>
  <r>
    <s v="T00093"/>
    <s v="2023-04-12"/>
    <x v="4"/>
    <s v="CC102"/>
    <x v="3"/>
    <s v="Equipment related expense"/>
    <n v="153416"/>
    <n v="115268"/>
    <n v="-38148"/>
    <s v="Cash"/>
    <x v="3"/>
    <x v="3"/>
    <s v="Operating Expense"/>
    <n v="-4.0216000838838211"/>
    <x v="9"/>
    <n v="38148"/>
    <x v="1"/>
    <n v="0"/>
  </r>
  <r>
    <s v="T00094"/>
    <s v="2025-01-19"/>
    <x v="1"/>
    <s v="CC103"/>
    <x v="0"/>
    <s v="Utilities related expense"/>
    <n v="87821"/>
    <n v="114015"/>
    <n v="26194"/>
    <s v="Cash"/>
    <x v="2"/>
    <x v="3"/>
    <s v="Capital Expense"/>
    <n v="3.3527143620676489"/>
    <x v="6"/>
    <n v="26194"/>
    <x v="1"/>
    <n v="0"/>
  </r>
  <r>
    <s v="T00095"/>
    <s v="2023-07-26"/>
    <x v="5"/>
    <s v="CC104"/>
    <x v="0"/>
    <s v="Utilities related expense"/>
    <n v="291392"/>
    <n v="268677"/>
    <n v="-22715"/>
    <s v="Bank Transfer"/>
    <x v="1"/>
    <x v="1"/>
    <s v="Capital Expense"/>
    <n v="-12.828175214615893"/>
    <x v="8"/>
    <n v="22715"/>
    <x v="1"/>
    <n v="0"/>
  </r>
  <r>
    <s v="T00096"/>
    <s v="2024-12-19"/>
    <x v="2"/>
    <s v="CC105"/>
    <x v="1"/>
    <s v="Maintenance related expense"/>
    <n v="440968"/>
    <n v="354737"/>
    <n v="-86231"/>
    <s v="Bank Transfer"/>
    <x v="2"/>
    <x v="1"/>
    <s v="Capital Expense"/>
    <n v="-5.1137989818046874"/>
    <x v="10"/>
    <n v="86231"/>
    <x v="1"/>
    <n v="0"/>
  </r>
  <r>
    <s v="T00097"/>
    <s v="2025-01-10"/>
    <x v="5"/>
    <s v="CC105"/>
    <x v="3"/>
    <s v="Equipment related expense"/>
    <n v="73071"/>
    <n v="85452"/>
    <n v="12381"/>
    <s v="Card"/>
    <x v="3"/>
    <x v="1"/>
    <s v="Operating Expense"/>
    <n v="5.9018657620547614"/>
    <x v="6"/>
    <n v="12381"/>
    <x v="0"/>
    <n v="0"/>
  </r>
  <r>
    <s v="T00098"/>
    <s v="2024-02-07"/>
    <x v="4"/>
    <s v="CC102"/>
    <x v="1"/>
    <s v="Maintenance related expense"/>
    <n v="296860"/>
    <n v="356934"/>
    <n v="60074"/>
    <s v="Card"/>
    <x v="1"/>
    <x v="1"/>
    <s v="Operating Expense"/>
    <n v="4.9415720611246128"/>
    <x v="4"/>
    <n v="60074"/>
    <x v="1"/>
    <n v="0"/>
  </r>
  <r>
    <s v="T00099"/>
    <s v="2023-04-08"/>
    <x v="0"/>
    <s v="CC101"/>
    <x v="3"/>
    <s v="Equipment related expense"/>
    <n v="302652"/>
    <n v="408641"/>
    <n v="105989"/>
    <s v="Bank Transfer"/>
    <x v="2"/>
    <x v="1"/>
    <s v="Capital Expense"/>
    <n v="2.8555038730434292"/>
    <x v="9"/>
    <n v="105989"/>
    <x v="1"/>
    <n v="0"/>
  </r>
  <r>
    <s v="T00100"/>
    <s v="2024-12-07"/>
    <x v="3"/>
    <s v="CC101"/>
    <x v="1"/>
    <s v="Maintenance related expense"/>
    <n v="144589"/>
    <n v="137854"/>
    <n v="-6735"/>
    <s v="Card"/>
    <x v="4"/>
    <x v="1"/>
    <s v="Capital Expense"/>
    <n v="-21.468299925760949"/>
    <x v="10"/>
    <n v="6735"/>
    <x v="0"/>
    <n v="0"/>
  </r>
  <r>
    <s v="T00101"/>
    <s v="2025-06-17"/>
    <x v="4"/>
    <s v="CC104"/>
    <x v="1"/>
    <s v="Maintenance related expense"/>
    <n v="76743"/>
    <n v="82381"/>
    <n v="5638"/>
    <s v="Cash"/>
    <x v="2"/>
    <x v="2"/>
    <s v="Capital Expense"/>
    <n v="13.611741752394465"/>
    <x v="1"/>
    <n v="5638"/>
    <x v="0"/>
    <n v="0"/>
  </r>
  <r>
    <s v="T00102"/>
    <s v="2023-08-29"/>
    <x v="3"/>
    <s v="CC101"/>
    <x v="4"/>
    <s v="Salary related expense"/>
    <n v="242219"/>
    <n v="287757"/>
    <n v="45538"/>
    <s v="Card"/>
    <x v="2"/>
    <x v="1"/>
    <s v="Capital Expense"/>
    <n v="5.3190522201238526"/>
    <x v="3"/>
    <n v="45538"/>
    <x v="1"/>
    <n v="0"/>
  </r>
  <r>
    <s v="T00103"/>
    <s v="2024-09-16"/>
    <x v="1"/>
    <s v="CC105"/>
    <x v="1"/>
    <s v="Maintenance related expense"/>
    <n v="324379"/>
    <n v="324823"/>
    <n v="444"/>
    <s v="Card"/>
    <x v="3"/>
    <x v="0"/>
    <s v="Operating Expense"/>
    <n v="730.58333333333337"/>
    <x v="2"/>
    <n v="444"/>
    <x v="0"/>
    <n v="0"/>
  </r>
  <r>
    <s v="T00104"/>
    <s v="2023-10-14"/>
    <x v="0"/>
    <s v="CC102"/>
    <x v="3"/>
    <s v="Equipment related expense"/>
    <n v="302114"/>
    <n v="382436"/>
    <n v="80322"/>
    <s v="Cash"/>
    <x v="0"/>
    <x v="2"/>
    <s v="Capital Expense"/>
    <n v="3.7612858245561616"/>
    <x v="5"/>
    <n v="80322"/>
    <x v="1"/>
    <n v="0"/>
  </r>
  <r>
    <s v="T00105"/>
    <s v="2024-05-20"/>
    <x v="2"/>
    <s v="CC104"/>
    <x v="2"/>
    <s v="Marketing related expense"/>
    <n v="204687"/>
    <n v="281747"/>
    <n v="77060"/>
    <s v="Bank Transfer"/>
    <x v="2"/>
    <x v="3"/>
    <s v="Operating Expense"/>
    <n v="2.6562029587334544"/>
    <x v="11"/>
    <n v="77060"/>
    <x v="1"/>
    <n v="0"/>
  </r>
  <r>
    <s v="T00106"/>
    <s v="2023-08-01"/>
    <x v="1"/>
    <s v="CC105"/>
    <x v="2"/>
    <s v="Marketing related expense"/>
    <n v="445936"/>
    <n v="320849"/>
    <n v="-125087"/>
    <s v="Card"/>
    <x v="0"/>
    <x v="0"/>
    <s v="Operating Expense"/>
    <n v="-3.5650067552983122"/>
    <x v="3"/>
    <n v="125087"/>
    <x v="1"/>
    <n v="0"/>
  </r>
  <r>
    <s v="T00107"/>
    <s v="2023-04-25"/>
    <x v="3"/>
    <s v="CC104"/>
    <x v="4"/>
    <s v="Salary related expense"/>
    <n v="89954"/>
    <n v="105483"/>
    <n v="15529"/>
    <s v="Card"/>
    <x v="4"/>
    <x v="1"/>
    <s v="Capital Expense"/>
    <n v="5.7926460171292424"/>
    <x v="9"/>
    <n v="15529"/>
    <x v="0"/>
    <n v="0"/>
  </r>
  <r>
    <s v="T00108"/>
    <s v="2023-10-15"/>
    <x v="1"/>
    <s v="CC104"/>
    <x v="3"/>
    <s v="Equipment related expense"/>
    <n v="442042"/>
    <n v="491200"/>
    <n v="49158"/>
    <s v="Card"/>
    <x v="0"/>
    <x v="3"/>
    <s v="Operating Expense"/>
    <n v="8.9922698238333538"/>
    <x v="5"/>
    <n v="49158"/>
    <x v="1"/>
    <n v="0"/>
  </r>
  <r>
    <s v="T00109"/>
    <s v="2023-09-18"/>
    <x v="2"/>
    <s v="CC102"/>
    <x v="0"/>
    <s v="Utilities related expense"/>
    <n v="111146"/>
    <n v="123418"/>
    <n v="12272"/>
    <s v="Cash"/>
    <x v="4"/>
    <x v="3"/>
    <s v="Operating Expense"/>
    <n v="9.0568774445893094"/>
    <x v="2"/>
    <n v="12272"/>
    <x v="0"/>
    <n v="0"/>
  </r>
  <r>
    <s v="T00110"/>
    <s v="2023-08-30"/>
    <x v="0"/>
    <s v="CC101"/>
    <x v="0"/>
    <s v="Utilities related expense"/>
    <n v="498802"/>
    <n v="496053"/>
    <n v="-2749"/>
    <s v="Bank Transfer"/>
    <x v="4"/>
    <x v="3"/>
    <s v="Capital Expense"/>
    <n v="-181.44852673699526"/>
    <x v="3"/>
    <n v="2749"/>
    <x v="0"/>
    <n v="0"/>
  </r>
  <r>
    <s v="T00111"/>
    <s v="2025-06-06"/>
    <x v="5"/>
    <s v="CC103"/>
    <x v="5"/>
    <s v="Travel related expense"/>
    <n v="311045"/>
    <n v="237245"/>
    <n v="-73800"/>
    <s v="Bank Transfer"/>
    <x v="4"/>
    <x v="3"/>
    <s v="Capital Expense"/>
    <n v="-4.21470189701897"/>
    <x v="1"/>
    <n v="73800"/>
    <x v="1"/>
    <n v="0"/>
  </r>
  <r>
    <s v="T00112"/>
    <s v="2023-06-16"/>
    <x v="1"/>
    <s v="CC104"/>
    <x v="5"/>
    <s v="Travel related expense"/>
    <n v="190491"/>
    <n v="236538"/>
    <n v="46047"/>
    <s v="Card"/>
    <x v="4"/>
    <x v="1"/>
    <s v="Capital Expense"/>
    <n v="4.1368818815558015"/>
    <x v="1"/>
    <n v="46047"/>
    <x v="1"/>
    <n v="0"/>
  </r>
  <r>
    <s v="T00113"/>
    <s v="2023-08-29"/>
    <x v="4"/>
    <s v="CC101"/>
    <x v="0"/>
    <s v="Utilities related expense"/>
    <n v="271899"/>
    <n v="263070"/>
    <n v="-8829"/>
    <s v="Card"/>
    <x v="3"/>
    <x v="2"/>
    <s v="Capital Expense"/>
    <n v="-30.796126401630989"/>
    <x v="3"/>
    <n v="8829"/>
    <x v="0"/>
    <n v="0"/>
  </r>
  <r>
    <s v="T00114"/>
    <s v="2023-05-14"/>
    <x v="2"/>
    <s v="CC102"/>
    <x v="1"/>
    <s v="Maintenance related expense"/>
    <n v="333698"/>
    <n v="357506"/>
    <n v="23808"/>
    <s v="Bank Transfer"/>
    <x v="3"/>
    <x v="1"/>
    <s v="Operating Expense"/>
    <n v="14.016213037634408"/>
    <x v="11"/>
    <n v="23808"/>
    <x v="1"/>
    <n v="0"/>
  </r>
  <r>
    <s v="T00115"/>
    <s v="2023-09-30"/>
    <x v="4"/>
    <s v="CC104"/>
    <x v="2"/>
    <s v="Marketing related expense"/>
    <n v="418929"/>
    <n v="500725"/>
    <n v="81796"/>
    <s v="Cash"/>
    <x v="3"/>
    <x v="2"/>
    <s v="Capital Expense"/>
    <n v="5.1216318646388572"/>
    <x v="2"/>
    <n v="81796"/>
    <x v="1"/>
    <n v="0"/>
  </r>
  <r>
    <s v="T00116"/>
    <s v="2024-12-07"/>
    <x v="3"/>
    <s v="CC103"/>
    <x v="5"/>
    <s v="Travel related expense"/>
    <n v="334071"/>
    <n v="311440"/>
    <n v="-22631"/>
    <s v="Card"/>
    <x v="4"/>
    <x v="0"/>
    <s v="Capital Expense"/>
    <n v="-14.761654367902434"/>
    <x v="10"/>
    <n v="22631"/>
    <x v="1"/>
    <n v="0"/>
  </r>
  <r>
    <s v="T00117"/>
    <s v="2023-07-19"/>
    <x v="1"/>
    <s v="CC103"/>
    <x v="1"/>
    <s v="Maintenance related expense"/>
    <n v="229874"/>
    <n v="210397"/>
    <n v="-19477"/>
    <s v="Card"/>
    <x v="1"/>
    <x v="1"/>
    <s v="Operating Expense"/>
    <n v="-11.802330954459105"/>
    <x v="8"/>
    <n v="19477"/>
    <x v="1"/>
    <n v="0"/>
  </r>
  <r>
    <s v="T00118"/>
    <s v="2024-04-17"/>
    <x v="0"/>
    <s v="CC104"/>
    <x v="5"/>
    <s v="Travel related expense"/>
    <n v="121377"/>
    <n v="148361"/>
    <n v="26984"/>
    <s v="Bank Transfer"/>
    <x v="3"/>
    <x v="3"/>
    <s v="Capital Expense"/>
    <n v="4.4981099911058404"/>
    <x v="9"/>
    <n v="26984"/>
    <x v="1"/>
    <n v="0"/>
  </r>
  <r>
    <s v="T00119"/>
    <s v="2025-02-11"/>
    <x v="2"/>
    <s v="CC104"/>
    <x v="2"/>
    <s v="Marketing related expense"/>
    <n v="281906"/>
    <n v="381849"/>
    <n v="99943"/>
    <s v="Bank Transfer"/>
    <x v="3"/>
    <x v="3"/>
    <s v="Capital Expense"/>
    <n v="2.8206677806349618"/>
    <x v="4"/>
    <n v="99943"/>
    <x v="1"/>
    <n v="0"/>
  </r>
  <r>
    <s v="T00120"/>
    <s v="2025-02-06"/>
    <x v="1"/>
    <s v="CC103"/>
    <x v="0"/>
    <s v="Utilities related expense"/>
    <n v="152094"/>
    <n v="177239"/>
    <n v="25145"/>
    <s v="Bank Transfer"/>
    <x v="0"/>
    <x v="0"/>
    <s v="Operating Expense"/>
    <n v="6.0486776695168025"/>
    <x v="4"/>
    <n v="25145"/>
    <x v="1"/>
    <n v="0"/>
  </r>
  <r>
    <s v="T00121"/>
    <s v="2023-08-23"/>
    <x v="1"/>
    <s v="CC101"/>
    <x v="2"/>
    <s v="Marketing related expense"/>
    <n v="355097"/>
    <n v="489143"/>
    <n v="134046"/>
    <s v="Card"/>
    <x v="3"/>
    <x v="2"/>
    <s v="Operating Expense"/>
    <n v="2.6490682303089983"/>
    <x v="3"/>
    <n v="134046"/>
    <x v="1"/>
    <n v="0"/>
  </r>
  <r>
    <s v="T00122"/>
    <s v="2023-05-24"/>
    <x v="2"/>
    <s v="CC104"/>
    <x v="2"/>
    <s v="Marketing related expense"/>
    <n v="313213"/>
    <n v="370963"/>
    <n v="57750"/>
    <s v="Cash"/>
    <x v="3"/>
    <x v="1"/>
    <s v="Operating Expense"/>
    <n v="5.4236017316017318"/>
    <x v="11"/>
    <n v="57750"/>
    <x v="1"/>
    <n v="0"/>
  </r>
  <r>
    <s v="T00123"/>
    <s v="2023-03-07"/>
    <x v="2"/>
    <s v="CC104"/>
    <x v="1"/>
    <s v="Maintenance related expense"/>
    <n v="281345"/>
    <n v="242138"/>
    <n v="-39207"/>
    <s v="Card"/>
    <x v="0"/>
    <x v="3"/>
    <s v="Operating Expense"/>
    <n v="-7.17588695896141"/>
    <x v="7"/>
    <n v="39207"/>
    <x v="1"/>
    <n v="0"/>
  </r>
  <r>
    <s v="T00124"/>
    <s v="2024-10-15"/>
    <x v="3"/>
    <s v="CC102"/>
    <x v="1"/>
    <s v="Maintenance related expense"/>
    <n v="261835"/>
    <n v="205006"/>
    <n v="-56829"/>
    <s v="Card"/>
    <x v="0"/>
    <x v="1"/>
    <s v="Capital Expense"/>
    <n v="-4.607418747470482"/>
    <x v="5"/>
    <n v="56829"/>
    <x v="1"/>
    <n v="0"/>
  </r>
  <r>
    <s v="T00125"/>
    <s v="2025-05-18"/>
    <x v="0"/>
    <s v="CC102"/>
    <x v="4"/>
    <s v="Salary related expense"/>
    <n v="373468"/>
    <n v="482586"/>
    <n v="109118"/>
    <s v="Cash"/>
    <x v="0"/>
    <x v="1"/>
    <s v="Operating Expense"/>
    <n v="3.4226067193313661"/>
    <x v="11"/>
    <n v="109118"/>
    <x v="1"/>
    <n v="0"/>
  </r>
  <r>
    <s v="T00126"/>
    <s v="2023-12-23"/>
    <x v="3"/>
    <s v="CC104"/>
    <x v="4"/>
    <s v="Salary related expense"/>
    <n v="92298"/>
    <n v="121952"/>
    <n v="29654"/>
    <s v="Bank Transfer"/>
    <x v="4"/>
    <x v="3"/>
    <s v="Operating Expense"/>
    <n v="3.1124974708302422"/>
    <x v="10"/>
    <n v="29654"/>
    <x v="1"/>
    <n v="0"/>
  </r>
  <r>
    <s v="T00127"/>
    <s v="2024-09-11"/>
    <x v="1"/>
    <s v="CC101"/>
    <x v="3"/>
    <s v="Equipment related expense"/>
    <n v="378063"/>
    <n v="412256"/>
    <n v="34193"/>
    <s v="Card"/>
    <x v="3"/>
    <x v="0"/>
    <s v="Operating Expense"/>
    <n v="11.056736758985757"/>
    <x v="2"/>
    <n v="34193"/>
    <x v="1"/>
    <n v="0"/>
  </r>
  <r>
    <s v="T00128"/>
    <s v="2025-02-03"/>
    <x v="5"/>
    <s v="CC103"/>
    <x v="2"/>
    <s v="Marketing related expense"/>
    <n v="174935"/>
    <n v="123375"/>
    <n v="-51560"/>
    <s v="Bank Transfer"/>
    <x v="1"/>
    <x v="3"/>
    <s v="Operating Expense"/>
    <n v="-3.3928432893716058"/>
    <x v="4"/>
    <n v="51560"/>
    <x v="1"/>
    <n v="0"/>
  </r>
  <r>
    <s v="T00129"/>
    <s v="2024-11-29"/>
    <x v="4"/>
    <s v="CC102"/>
    <x v="5"/>
    <s v="Travel related expense"/>
    <n v="134932"/>
    <n v="128693"/>
    <n v="-6239"/>
    <s v="Bank Transfer"/>
    <x v="2"/>
    <x v="3"/>
    <s v="Operating Expense"/>
    <n v="-21.627183843564673"/>
    <x v="0"/>
    <n v="6239"/>
    <x v="0"/>
    <n v="0"/>
  </r>
  <r>
    <s v="T00130"/>
    <s v="2024-12-03"/>
    <x v="0"/>
    <s v="CC101"/>
    <x v="4"/>
    <s v="Salary related expense"/>
    <n v="497005"/>
    <n v="528987"/>
    <n v="31982"/>
    <s v="Bank Transfer"/>
    <x v="4"/>
    <x v="3"/>
    <s v="Capital Expense"/>
    <n v="15.540147583015447"/>
    <x v="10"/>
    <n v="31982"/>
    <x v="1"/>
    <n v="0"/>
  </r>
  <r>
    <s v="T00131"/>
    <s v="2024-02-10"/>
    <x v="2"/>
    <s v="CC101"/>
    <x v="0"/>
    <s v="Utilities related expense"/>
    <n v="459656"/>
    <n v="551325"/>
    <n v="91669"/>
    <s v="Cash"/>
    <x v="4"/>
    <x v="2"/>
    <s v="Operating Expense"/>
    <n v="5.0143014541448032"/>
    <x v="4"/>
    <n v="91669"/>
    <x v="1"/>
    <n v="0"/>
  </r>
  <r>
    <s v="T00132"/>
    <s v="2024-07-15"/>
    <x v="2"/>
    <s v="CC105"/>
    <x v="4"/>
    <s v="Salary related expense"/>
    <n v="90743"/>
    <n v="75552"/>
    <n v="-15191"/>
    <s v="Card"/>
    <x v="3"/>
    <x v="2"/>
    <s v="Operating Expense"/>
    <n v="-5.9734711342242113"/>
    <x v="8"/>
    <n v="15191"/>
    <x v="0"/>
    <n v="0"/>
  </r>
  <r>
    <s v="T00133"/>
    <s v="2023-12-25"/>
    <x v="5"/>
    <s v="CC101"/>
    <x v="3"/>
    <s v="Equipment related expense"/>
    <n v="233842"/>
    <n v="304703"/>
    <n v="70861"/>
    <s v="Cash"/>
    <x v="3"/>
    <x v="1"/>
    <s v="Capital Expense"/>
    <n v="3.3000098784945173"/>
    <x v="10"/>
    <n v="70861"/>
    <x v="1"/>
    <n v="0"/>
  </r>
  <r>
    <s v="T00134"/>
    <s v="2025-04-24"/>
    <x v="1"/>
    <s v="CC105"/>
    <x v="1"/>
    <s v="Maintenance related expense"/>
    <n v="188083"/>
    <n v="183720"/>
    <n v="-4363"/>
    <s v="Cash"/>
    <x v="0"/>
    <x v="1"/>
    <s v="Capital Expense"/>
    <n v="-43.108640843456335"/>
    <x v="9"/>
    <n v="4363"/>
    <x v="0"/>
    <n v="0"/>
  </r>
  <r>
    <s v="T00135"/>
    <s v="2024-06-09"/>
    <x v="5"/>
    <s v="CC105"/>
    <x v="3"/>
    <s v="Equipment related expense"/>
    <n v="383326"/>
    <n v="421287"/>
    <n v="37961"/>
    <s v="Bank Transfer"/>
    <x v="1"/>
    <x v="1"/>
    <s v="Capital Expense"/>
    <n v="10.09788993967493"/>
    <x v="1"/>
    <n v="37961"/>
    <x v="1"/>
    <n v="0"/>
  </r>
  <r>
    <s v="T00136"/>
    <s v="2024-03-29"/>
    <x v="4"/>
    <s v="CC105"/>
    <x v="1"/>
    <s v="Maintenance related expense"/>
    <n v="159494"/>
    <n v="141715"/>
    <n v="-17779"/>
    <s v="Card"/>
    <x v="1"/>
    <x v="0"/>
    <s v="Operating Expense"/>
    <n v="-8.970920749198493"/>
    <x v="7"/>
    <n v="17779"/>
    <x v="1"/>
    <n v="0"/>
  </r>
  <r>
    <s v="T00137"/>
    <s v="2024-04-24"/>
    <x v="4"/>
    <s v="CC104"/>
    <x v="2"/>
    <s v="Marketing related expense"/>
    <n v="245282"/>
    <n v="195979"/>
    <n v="-49303"/>
    <s v="Card"/>
    <x v="0"/>
    <x v="2"/>
    <s v="Operating Expense"/>
    <n v="-4.9749913798348988"/>
    <x v="9"/>
    <n v="49303"/>
    <x v="1"/>
    <n v="0"/>
  </r>
  <r>
    <s v="T00138"/>
    <s v="2025-03-01"/>
    <x v="0"/>
    <s v="CC104"/>
    <x v="3"/>
    <s v="Equipment related expense"/>
    <n v="469231"/>
    <n v="383298"/>
    <n v="-85933"/>
    <s v="Cash"/>
    <x v="2"/>
    <x v="1"/>
    <s v="Operating Expense"/>
    <n v="-5.4604284733455133"/>
    <x v="7"/>
    <n v="85933"/>
    <x v="1"/>
    <n v="0"/>
  </r>
  <r>
    <s v="T00139"/>
    <s v="2024-02-28"/>
    <x v="3"/>
    <s v="CC102"/>
    <x v="0"/>
    <s v="Utilities related expense"/>
    <n v="490328"/>
    <n v="531616"/>
    <n v="41288"/>
    <s v="Bank Transfer"/>
    <x v="1"/>
    <x v="0"/>
    <s v="Operating Expense"/>
    <n v="11.875799263708583"/>
    <x v="4"/>
    <n v="41288"/>
    <x v="1"/>
    <n v="0"/>
  </r>
  <r>
    <s v="T00140"/>
    <s v="2023-03-04"/>
    <x v="1"/>
    <s v="CC104"/>
    <x v="1"/>
    <s v="Maintenance related expense"/>
    <n v="342235"/>
    <n v="298693"/>
    <n v="-43542"/>
    <s v="Cash"/>
    <x v="4"/>
    <x v="3"/>
    <s v="Capital Expense"/>
    <n v="-7.8598824123834454"/>
    <x v="7"/>
    <n v="43542"/>
    <x v="1"/>
    <n v="0"/>
  </r>
  <r>
    <s v="T00141"/>
    <s v="2023-09-28"/>
    <x v="5"/>
    <s v="CC104"/>
    <x v="3"/>
    <s v="Equipment related expense"/>
    <n v="135813"/>
    <n v="155544"/>
    <n v="19731"/>
    <s v="Cash"/>
    <x v="3"/>
    <x v="3"/>
    <s v="Capital Expense"/>
    <n v="6.8832294359130302"/>
    <x v="2"/>
    <n v="19731"/>
    <x v="1"/>
    <n v="0"/>
  </r>
  <r>
    <s v="T00142"/>
    <s v="2025-03-11"/>
    <x v="3"/>
    <s v="CC103"/>
    <x v="0"/>
    <s v="Utilities related expense"/>
    <n v="234877"/>
    <n v="221543"/>
    <n v="-13334"/>
    <s v="Bank Transfer"/>
    <x v="2"/>
    <x v="2"/>
    <s v="Operating Expense"/>
    <n v="-17.614894255287236"/>
    <x v="7"/>
    <n v="13334"/>
    <x v="0"/>
    <n v="0"/>
  </r>
  <r>
    <s v="T00143"/>
    <s v="2023-09-15"/>
    <x v="5"/>
    <s v="CC105"/>
    <x v="1"/>
    <s v="Maintenance related expense"/>
    <n v="127368"/>
    <n v="174511"/>
    <n v="47143"/>
    <s v="Bank Transfer"/>
    <x v="4"/>
    <x v="2"/>
    <s v="Capital Expense"/>
    <n v="2.7017372674628257"/>
    <x v="2"/>
    <n v="47143"/>
    <x v="1"/>
    <n v="0"/>
  </r>
  <r>
    <s v="T00144"/>
    <s v="2024-12-25"/>
    <x v="3"/>
    <s v="CC101"/>
    <x v="5"/>
    <s v="Travel related expense"/>
    <n v="162206"/>
    <n v="198350"/>
    <n v="36144"/>
    <s v="Cash"/>
    <x v="4"/>
    <x v="1"/>
    <s v="Capital Expense"/>
    <n v="4.4877711376715359"/>
    <x v="10"/>
    <n v="36144"/>
    <x v="1"/>
    <n v="0"/>
  </r>
  <r>
    <s v="T00145"/>
    <s v="2023-05-02"/>
    <x v="5"/>
    <s v="CC104"/>
    <x v="3"/>
    <s v="Equipment related expense"/>
    <n v="251426"/>
    <n v="346026"/>
    <n v="94600"/>
    <s v="Bank Transfer"/>
    <x v="4"/>
    <x v="1"/>
    <s v="Operating Expense"/>
    <n v="2.6577801268498944"/>
    <x v="11"/>
    <n v="94600"/>
    <x v="1"/>
    <n v="0"/>
  </r>
  <r>
    <s v="T00146"/>
    <s v="2023-10-15"/>
    <x v="2"/>
    <s v="CC103"/>
    <x v="0"/>
    <s v="Utilities related expense"/>
    <n v="378992"/>
    <n v="279815"/>
    <n v="-99177"/>
    <s v="Bank Transfer"/>
    <x v="4"/>
    <x v="0"/>
    <s v="Operating Expense"/>
    <n v="-3.8213698740635431"/>
    <x v="5"/>
    <n v="99177"/>
    <x v="1"/>
    <n v="0"/>
  </r>
  <r>
    <s v="T00147"/>
    <s v="2024-08-16"/>
    <x v="2"/>
    <s v="CC102"/>
    <x v="5"/>
    <s v="Travel related expense"/>
    <n v="356459"/>
    <n v="377199"/>
    <n v="20740"/>
    <s v="Card"/>
    <x v="3"/>
    <x v="1"/>
    <s v="Capital Expense"/>
    <n v="17.187029893924784"/>
    <x v="3"/>
    <n v="20740"/>
    <x v="1"/>
    <n v="0"/>
  </r>
  <r>
    <s v="T00148"/>
    <s v="2024-10-04"/>
    <x v="5"/>
    <s v="CC101"/>
    <x v="0"/>
    <s v="Utilities related expense"/>
    <n v="462564"/>
    <n v="481224"/>
    <n v="18660"/>
    <s v="Card"/>
    <x v="3"/>
    <x v="0"/>
    <s v="Capital Expense"/>
    <n v="24.789067524115755"/>
    <x v="5"/>
    <n v="18660"/>
    <x v="1"/>
    <n v="0"/>
  </r>
  <r>
    <s v="T00149"/>
    <s v="2023-07-11"/>
    <x v="0"/>
    <s v="CC102"/>
    <x v="3"/>
    <s v="Equipment related expense"/>
    <n v="354945"/>
    <n v="482210"/>
    <n v="127265"/>
    <s v="Cash"/>
    <x v="2"/>
    <x v="3"/>
    <s v="Operating Expense"/>
    <n v="2.7890229049620872"/>
    <x v="8"/>
    <n v="127265"/>
    <x v="1"/>
    <n v="0"/>
  </r>
  <r>
    <s v="T00150"/>
    <s v="2024-11-08"/>
    <x v="2"/>
    <s v="CC103"/>
    <x v="2"/>
    <s v="Marketing related expense"/>
    <n v="127583"/>
    <n v="177236"/>
    <n v="49653"/>
    <s v="Card"/>
    <x v="2"/>
    <x v="3"/>
    <s v="Operating Expense"/>
    <n v="2.5694922763982033"/>
    <x v="0"/>
    <n v="49653"/>
    <x v="1"/>
    <n v="0"/>
  </r>
  <r>
    <s v="T00151"/>
    <s v="2025-02-25"/>
    <x v="4"/>
    <s v="CC105"/>
    <x v="3"/>
    <s v="Equipment related expense"/>
    <n v="321001"/>
    <n v="327304"/>
    <n v="6303"/>
    <s v="Cash"/>
    <x v="0"/>
    <x v="2"/>
    <s v="Operating Expense"/>
    <n v="50.928288116769792"/>
    <x v="4"/>
    <n v="6303"/>
    <x v="0"/>
    <n v="0"/>
  </r>
  <r>
    <s v="T00152"/>
    <s v="2023-03-14"/>
    <x v="4"/>
    <s v="CC105"/>
    <x v="4"/>
    <s v="Salary related expense"/>
    <n v="219095"/>
    <n v="244408"/>
    <n v="25313"/>
    <s v="Bank Transfer"/>
    <x v="0"/>
    <x v="3"/>
    <s v="Capital Expense"/>
    <n v="8.6554339667364601"/>
    <x v="7"/>
    <n v="25313"/>
    <x v="1"/>
    <n v="0"/>
  </r>
  <r>
    <s v="T00153"/>
    <s v="2023-10-26"/>
    <x v="5"/>
    <s v="CC103"/>
    <x v="0"/>
    <s v="Utilities related expense"/>
    <n v="225540"/>
    <n v="251785"/>
    <n v="26245"/>
    <s v="Cash"/>
    <x v="3"/>
    <x v="1"/>
    <s v="Capital Expense"/>
    <n v="8.5936368832158507"/>
    <x v="5"/>
    <n v="26245"/>
    <x v="1"/>
    <n v="0"/>
  </r>
  <r>
    <s v="T00154"/>
    <s v="2024-03-04"/>
    <x v="0"/>
    <s v="CC105"/>
    <x v="1"/>
    <s v="Maintenance related expense"/>
    <n v="314327"/>
    <n v="350810"/>
    <n v="36483"/>
    <s v="Bank Transfer"/>
    <x v="1"/>
    <x v="3"/>
    <s v="Capital Expense"/>
    <n v="8.6157114272400843"/>
    <x v="7"/>
    <n v="36483"/>
    <x v="1"/>
    <n v="0"/>
  </r>
  <r>
    <s v="T00155"/>
    <s v="2023-09-18"/>
    <x v="5"/>
    <s v="CC101"/>
    <x v="5"/>
    <s v="Travel related expense"/>
    <n v="173260"/>
    <n v="200957"/>
    <n v="27697"/>
    <s v="Card"/>
    <x v="4"/>
    <x v="3"/>
    <s v="Operating Expense"/>
    <n v="6.2555511427230384"/>
    <x v="2"/>
    <n v="27697"/>
    <x v="1"/>
    <n v="0"/>
  </r>
  <r>
    <s v="T00156"/>
    <s v="2024-04-18"/>
    <x v="3"/>
    <s v="CC104"/>
    <x v="2"/>
    <s v="Marketing related expense"/>
    <n v="207953"/>
    <n v="222548"/>
    <n v="14595"/>
    <s v="Card"/>
    <x v="3"/>
    <x v="3"/>
    <s v="Capital Expense"/>
    <n v="14.248235697156561"/>
    <x v="9"/>
    <n v="14595"/>
    <x v="0"/>
    <n v="0"/>
  </r>
  <r>
    <s v="T00157"/>
    <s v="2024-01-01"/>
    <x v="0"/>
    <s v="CC104"/>
    <x v="5"/>
    <s v="Travel related expense"/>
    <n v="90063"/>
    <n v="84424"/>
    <n v="-5639"/>
    <s v="Bank Transfer"/>
    <x v="2"/>
    <x v="2"/>
    <s v="Capital Expense"/>
    <n v="-15.971448838446532"/>
    <x v="6"/>
    <n v="5639"/>
    <x v="0"/>
    <n v="0"/>
  </r>
  <r>
    <s v="T00158"/>
    <s v="2024-12-10"/>
    <x v="3"/>
    <s v="CC105"/>
    <x v="1"/>
    <s v="Maintenance related expense"/>
    <n v="213586"/>
    <n v="278964"/>
    <n v="65378"/>
    <s v="Bank Transfer"/>
    <x v="3"/>
    <x v="1"/>
    <s v="Capital Expense"/>
    <n v="3.2669399492183917"/>
    <x v="10"/>
    <n v="65378"/>
    <x v="1"/>
    <n v="0"/>
  </r>
  <r>
    <s v="T00159"/>
    <s v="2024-07-17"/>
    <x v="3"/>
    <s v="CC103"/>
    <x v="1"/>
    <s v="Maintenance related expense"/>
    <n v="276480"/>
    <n v="241609"/>
    <n v="-34871"/>
    <s v="Bank Transfer"/>
    <x v="2"/>
    <x v="2"/>
    <s v="Operating Expense"/>
    <n v="-7.9286513148461468"/>
    <x v="8"/>
    <n v="34871"/>
    <x v="1"/>
    <n v="0"/>
  </r>
  <r>
    <s v="T00160"/>
    <s v="2024-02-06"/>
    <x v="4"/>
    <s v="CC105"/>
    <x v="5"/>
    <s v="Travel related expense"/>
    <n v="216757"/>
    <n v="226442"/>
    <n v="9685"/>
    <s v="Card"/>
    <x v="3"/>
    <x v="3"/>
    <s v="Capital Expense"/>
    <n v="22.380691791430046"/>
    <x v="4"/>
    <n v="9685"/>
    <x v="0"/>
    <n v="0"/>
  </r>
  <r>
    <s v="T00161"/>
    <s v="2024-05-04"/>
    <x v="5"/>
    <s v="CC104"/>
    <x v="3"/>
    <s v="Equipment related expense"/>
    <n v="74569"/>
    <n v="71651"/>
    <n v="-2918"/>
    <s v="Cash"/>
    <x v="2"/>
    <x v="0"/>
    <s v="Operating Expense"/>
    <n v="-25.554832076764907"/>
    <x v="11"/>
    <n v="2918"/>
    <x v="0"/>
    <n v="0"/>
  </r>
  <r>
    <s v="T00162"/>
    <s v="2023-02-23"/>
    <x v="2"/>
    <s v="CC103"/>
    <x v="0"/>
    <s v="Utilities related expense"/>
    <n v="190772"/>
    <n v="217842"/>
    <n v="27070"/>
    <s v="Card"/>
    <x v="3"/>
    <x v="0"/>
    <s v="Capital Expense"/>
    <n v="7.0473586996675284"/>
    <x v="4"/>
    <n v="27070"/>
    <x v="1"/>
    <n v="0"/>
  </r>
  <r>
    <s v="T00163"/>
    <s v="2024-09-07"/>
    <x v="0"/>
    <s v="CC104"/>
    <x v="2"/>
    <s v="Marketing related expense"/>
    <n v="294495"/>
    <n v="273952"/>
    <n v="-20543"/>
    <s v="Bank Transfer"/>
    <x v="3"/>
    <x v="2"/>
    <s v="Operating Expense"/>
    <n v="-14.335540086647519"/>
    <x v="2"/>
    <n v="20543"/>
    <x v="1"/>
    <n v="0"/>
  </r>
  <r>
    <s v="T00164"/>
    <s v="2023-11-15"/>
    <x v="3"/>
    <s v="CC103"/>
    <x v="4"/>
    <s v="Salary related expense"/>
    <n v="213925"/>
    <n v="254407"/>
    <n v="40482"/>
    <s v="Cash"/>
    <x v="4"/>
    <x v="3"/>
    <s v="Capital Expense"/>
    <n v="5.2844474087248656"/>
    <x v="0"/>
    <n v="40482"/>
    <x v="1"/>
    <n v="0"/>
  </r>
  <r>
    <s v="T00165"/>
    <s v="2023-04-10"/>
    <x v="2"/>
    <s v="CC101"/>
    <x v="2"/>
    <s v="Marketing related expense"/>
    <n v="253221"/>
    <n v="251999"/>
    <n v="-1222"/>
    <s v="Bank Transfer"/>
    <x v="1"/>
    <x v="0"/>
    <s v="Capital Expense"/>
    <n v="-207.21849427168576"/>
    <x v="9"/>
    <n v="1222"/>
    <x v="0"/>
    <n v="0"/>
  </r>
  <r>
    <s v="T00166"/>
    <s v="2025-02-04"/>
    <x v="2"/>
    <s v="CC102"/>
    <x v="5"/>
    <s v="Travel related expense"/>
    <n v="182065"/>
    <n v="138338"/>
    <n v="-43727"/>
    <s v="Card"/>
    <x v="4"/>
    <x v="0"/>
    <s v="Operating Expense"/>
    <n v="-4.1636746175132071"/>
    <x v="4"/>
    <n v="43727"/>
    <x v="1"/>
    <n v="0"/>
  </r>
  <r>
    <s v="T00167"/>
    <s v="2023-12-07"/>
    <x v="0"/>
    <s v="CC104"/>
    <x v="3"/>
    <s v="Equipment related expense"/>
    <n v="348030"/>
    <n v="313776"/>
    <n v="-34254"/>
    <s v="Cash"/>
    <x v="4"/>
    <x v="3"/>
    <s v="Capital Expense"/>
    <n v="-10.160273252758802"/>
    <x v="10"/>
    <n v="34254"/>
    <x v="1"/>
    <n v="0"/>
  </r>
  <r>
    <s v="T00168"/>
    <s v="2025-02-13"/>
    <x v="1"/>
    <s v="CC104"/>
    <x v="5"/>
    <s v="Travel related expense"/>
    <n v="343139"/>
    <n v="459045"/>
    <n v="115906"/>
    <s v="Bank Transfer"/>
    <x v="4"/>
    <x v="3"/>
    <s v="Capital Expense"/>
    <n v="2.9604938484634098"/>
    <x v="4"/>
    <n v="115906"/>
    <x v="1"/>
    <n v="0"/>
  </r>
  <r>
    <s v="T00169"/>
    <s v="2024-11-02"/>
    <x v="0"/>
    <s v="CC102"/>
    <x v="0"/>
    <s v="Utilities related expense"/>
    <n v="200555"/>
    <n v="196778"/>
    <n v="-3777"/>
    <s v="Bank Transfer"/>
    <x v="4"/>
    <x v="3"/>
    <s v="Capital Expense"/>
    <n v="-53.099020386550173"/>
    <x v="0"/>
    <n v="3777"/>
    <x v="0"/>
    <n v="0"/>
  </r>
  <r>
    <s v="T00170"/>
    <s v="2023-03-15"/>
    <x v="0"/>
    <s v="CC103"/>
    <x v="2"/>
    <s v="Marketing related expense"/>
    <n v="133703"/>
    <n v="102047"/>
    <n v="-31656"/>
    <s v="Card"/>
    <x v="2"/>
    <x v="2"/>
    <s v="Capital Expense"/>
    <n v="-4.2236226939600705"/>
    <x v="7"/>
    <n v="31656"/>
    <x v="1"/>
    <n v="0"/>
  </r>
  <r>
    <s v="T00171"/>
    <s v="2023-03-13"/>
    <x v="1"/>
    <s v="CC102"/>
    <x v="2"/>
    <s v="Marketing related expense"/>
    <n v="52631"/>
    <n v="41743"/>
    <n v="-10888"/>
    <s v="Card"/>
    <x v="0"/>
    <x v="2"/>
    <s v="Operating Expense"/>
    <n v="-4.8338537839823656"/>
    <x v="7"/>
    <n v="10888"/>
    <x v="0"/>
    <n v="0"/>
  </r>
  <r>
    <s v="T00172"/>
    <s v="2025-03-30"/>
    <x v="2"/>
    <s v="CC101"/>
    <x v="3"/>
    <s v="Equipment related expense"/>
    <n v="338482"/>
    <n v="272864"/>
    <n v="-65618"/>
    <s v="Card"/>
    <x v="3"/>
    <x v="3"/>
    <s v="Operating Expense"/>
    <n v="-5.1583711786400075"/>
    <x v="7"/>
    <n v="65618"/>
    <x v="1"/>
    <n v="0"/>
  </r>
  <r>
    <s v="T00173"/>
    <s v="2024-07-09"/>
    <x v="5"/>
    <s v="CC105"/>
    <x v="4"/>
    <s v="Salary related expense"/>
    <n v="354925"/>
    <n v="471612"/>
    <n v="116687"/>
    <s v="Cash"/>
    <x v="3"/>
    <x v="3"/>
    <s v="Capital Expense"/>
    <n v="3.0416841636171981"/>
    <x v="8"/>
    <n v="116687"/>
    <x v="1"/>
    <n v="0"/>
  </r>
  <r>
    <s v="T00174"/>
    <s v="2023-09-05"/>
    <x v="4"/>
    <s v="CC104"/>
    <x v="5"/>
    <s v="Travel related expense"/>
    <n v="286481"/>
    <n v="387733"/>
    <n v="101252"/>
    <s v="Card"/>
    <x v="0"/>
    <x v="0"/>
    <s v="Capital Expense"/>
    <n v="2.8293860862007665"/>
    <x v="2"/>
    <n v="101252"/>
    <x v="1"/>
    <n v="0"/>
  </r>
  <r>
    <s v="T00175"/>
    <s v="2024-08-20"/>
    <x v="2"/>
    <s v="CC104"/>
    <x v="5"/>
    <s v="Travel related expense"/>
    <n v="229410"/>
    <n v="302668"/>
    <n v="73258"/>
    <s v="Bank Transfer"/>
    <x v="2"/>
    <x v="2"/>
    <s v="Operating Expense"/>
    <n v="3.1315351224439651"/>
    <x v="3"/>
    <n v="73258"/>
    <x v="1"/>
    <n v="0"/>
  </r>
  <r>
    <s v="T00176"/>
    <s v="2024-07-14"/>
    <x v="4"/>
    <s v="CC103"/>
    <x v="3"/>
    <s v="Equipment related expense"/>
    <n v="452399"/>
    <n v="432078"/>
    <n v="-20321"/>
    <s v="Cash"/>
    <x v="0"/>
    <x v="2"/>
    <s v="Operating Expense"/>
    <n v="-22.26263471285862"/>
    <x v="8"/>
    <n v="20321"/>
    <x v="1"/>
    <n v="0"/>
  </r>
  <r>
    <s v="T00177"/>
    <s v="2023-09-20"/>
    <x v="3"/>
    <s v="CC105"/>
    <x v="3"/>
    <s v="Equipment related expense"/>
    <n v="244095"/>
    <n v="256756"/>
    <n v="12661"/>
    <s v="Card"/>
    <x v="0"/>
    <x v="2"/>
    <s v="Operating Expense"/>
    <n v="19.279282837058684"/>
    <x v="2"/>
    <n v="12661"/>
    <x v="0"/>
    <n v="0"/>
  </r>
  <r>
    <s v="T00178"/>
    <s v="2024-08-31"/>
    <x v="3"/>
    <s v="CC102"/>
    <x v="1"/>
    <s v="Maintenance related expense"/>
    <n v="125828"/>
    <n v="111861"/>
    <n v="-13967"/>
    <s v="Cash"/>
    <x v="0"/>
    <x v="1"/>
    <s v="Operating Expense"/>
    <n v="-9.0089496670723843"/>
    <x v="3"/>
    <n v="13967"/>
    <x v="0"/>
    <n v="0"/>
  </r>
  <r>
    <s v="T00179"/>
    <s v="2023-11-12"/>
    <x v="2"/>
    <s v="CC102"/>
    <x v="5"/>
    <s v="Travel related expense"/>
    <n v="410492"/>
    <n v="392262"/>
    <n v="-18230"/>
    <s v="Card"/>
    <x v="1"/>
    <x v="3"/>
    <s v="Operating Expense"/>
    <n v="-22.517388919363686"/>
    <x v="0"/>
    <n v="18230"/>
    <x v="1"/>
    <n v="0"/>
  </r>
  <r>
    <s v="T00180"/>
    <s v="2024-03-18"/>
    <x v="2"/>
    <s v="CC102"/>
    <x v="1"/>
    <s v="Maintenance related expense"/>
    <n v="295614"/>
    <n v="325020"/>
    <n v="29406"/>
    <s v="Bank Transfer"/>
    <x v="1"/>
    <x v="2"/>
    <s v="Operating Expense"/>
    <n v="10.052846357886146"/>
    <x v="7"/>
    <n v="29406"/>
    <x v="1"/>
    <n v="0"/>
  </r>
  <r>
    <s v="T00181"/>
    <s v="2024-07-22"/>
    <x v="0"/>
    <s v="CC105"/>
    <x v="4"/>
    <s v="Salary related expense"/>
    <n v="218881"/>
    <n v="255715"/>
    <n v="36834"/>
    <s v="Card"/>
    <x v="4"/>
    <x v="2"/>
    <s v="Operating Expense"/>
    <n v="5.9423630341532281"/>
    <x v="8"/>
    <n v="36834"/>
    <x v="1"/>
    <n v="0"/>
  </r>
  <r>
    <s v="T00182"/>
    <s v="2023-07-03"/>
    <x v="2"/>
    <s v="CC101"/>
    <x v="1"/>
    <s v="Maintenance related expense"/>
    <n v="413867"/>
    <n v="534931"/>
    <n v="121064"/>
    <s v="Bank Transfer"/>
    <x v="2"/>
    <x v="2"/>
    <s v="Capital Expense"/>
    <n v="3.4185802550716975"/>
    <x v="8"/>
    <n v="121064"/>
    <x v="1"/>
    <n v="0"/>
  </r>
  <r>
    <s v="T00183"/>
    <s v="2023-07-15"/>
    <x v="3"/>
    <s v="CC104"/>
    <x v="0"/>
    <s v="Utilities related expense"/>
    <n v="227815"/>
    <n v="198515"/>
    <n v="-29300"/>
    <s v="Bank Transfer"/>
    <x v="3"/>
    <x v="2"/>
    <s v="Capital Expense"/>
    <n v="-7.7752559726962458"/>
    <x v="8"/>
    <n v="29300"/>
    <x v="1"/>
    <n v="0"/>
  </r>
  <r>
    <s v="T00184"/>
    <s v="2025-03-01"/>
    <x v="4"/>
    <s v="CC103"/>
    <x v="4"/>
    <s v="Salary related expense"/>
    <n v="392119"/>
    <n v="305981"/>
    <n v="-86138"/>
    <s v="Cash"/>
    <x v="3"/>
    <x v="3"/>
    <s v="Operating Expense"/>
    <n v="-4.5522185330516152"/>
    <x v="7"/>
    <n v="86138"/>
    <x v="1"/>
    <n v="0"/>
  </r>
  <r>
    <s v="T00185"/>
    <s v="2025-01-28"/>
    <x v="5"/>
    <s v="CC104"/>
    <x v="1"/>
    <s v="Maintenance related expense"/>
    <n v="352525"/>
    <n v="337424"/>
    <n v="-15101"/>
    <s v="Card"/>
    <x v="0"/>
    <x v="3"/>
    <s v="Operating Expense"/>
    <n v="-23.344480497980268"/>
    <x v="6"/>
    <n v="15101"/>
    <x v="0"/>
    <n v="0"/>
  </r>
  <r>
    <s v="T00186"/>
    <s v="2023-02-21"/>
    <x v="3"/>
    <s v="CC103"/>
    <x v="2"/>
    <s v="Marketing related expense"/>
    <n v="432779"/>
    <n v="335756"/>
    <n v="-97023"/>
    <s v="Bank Transfer"/>
    <x v="2"/>
    <x v="2"/>
    <s v="Capital Expense"/>
    <n v="-4.460581511600342"/>
    <x v="4"/>
    <n v="97023"/>
    <x v="1"/>
    <n v="0"/>
  </r>
  <r>
    <s v="T00187"/>
    <s v="2023-05-19"/>
    <x v="0"/>
    <s v="CC101"/>
    <x v="0"/>
    <s v="Utilities related expense"/>
    <n v="209276"/>
    <n v="263993"/>
    <n v="54717"/>
    <s v="Cash"/>
    <x v="1"/>
    <x v="1"/>
    <s v="Operating Expense"/>
    <n v="3.8246979914834514"/>
    <x v="11"/>
    <n v="54717"/>
    <x v="1"/>
    <n v="0"/>
  </r>
  <r>
    <s v="T00188"/>
    <s v="2024-01-24"/>
    <x v="3"/>
    <s v="CC105"/>
    <x v="1"/>
    <s v="Maintenance related expense"/>
    <n v="79870"/>
    <n v="97232"/>
    <n v="17362"/>
    <s v="Card"/>
    <x v="4"/>
    <x v="2"/>
    <s v="Operating Expense"/>
    <n v="4.6002764658449484"/>
    <x v="6"/>
    <n v="17362"/>
    <x v="1"/>
    <n v="0"/>
  </r>
  <r>
    <s v="T00189"/>
    <s v="2023-12-30"/>
    <x v="5"/>
    <s v="CC101"/>
    <x v="0"/>
    <s v="Utilities related expense"/>
    <n v="381919"/>
    <n v="294008"/>
    <n v="-87911"/>
    <s v="Card"/>
    <x v="1"/>
    <x v="3"/>
    <s v="Operating Expense"/>
    <n v="-4.3443823867320361"/>
    <x v="10"/>
    <n v="87911"/>
    <x v="1"/>
    <n v="0"/>
  </r>
  <r>
    <s v="T00190"/>
    <s v="2023-11-04"/>
    <x v="2"/>
    <s v="CC101"/>
    <x v="5"/>
    <s v="Travel related expense"/>
    <n v="88938"/>
    <n v="70343"/>
    <n v="-18595"/>
    <s v="Card"/>
    <x v="3"/>
    <x v="3"/>
    <s v="Capital Expense"/>
    <n v="-4.7828986286636193"/>
    <x v="0"/>
    <n v="18595"/>
    <x v="1"/>
    <n v="0"/>
  </r>
  <r>
    <s v="T00191"/>
    <s v="2025-06-07"/>
    <x v="0"/>
    <s v="CC103"/>
    <x v="0"/>
    <s v="Utilities related expense"/>
    <n v="167384"/>
    <n v="217341"/>
    <n v="49957"/>
    <s v="Bank Transfer"/>
    <x v="1"/>
    <x v="0"/>
    <s v="Operating Expense"/>
    <n v="3.3505614828752726"/>
    <x v="1"/>
    <n v="49957"/>
    <x v="1"/>
    <n v="0"/>
  </r>
  <r>
    <s v="T00192"/>
    <s v="2023-07-19"/>
    <x v="2"/>
    <s v="CC103"/>
    <x v="3"/>
    <s v="Equipment related expense"/>
    <n v="50610"/>
    <n v="67704"/>
    <n v="17094"/>
    <s v="Bank Transfer"/>
    <x v="2"/>
    <x v="1"/>
    <s v="Operating Expense"/>
    <n v="2.9606879606879608"/>
    <x v="8"/>
    <n v="17094"/>
    <x v="0"/>
    <n v="0"/>
  </r>
  <r>
    <s v="T00193"/>
    <s v="2024-09-05"/>
    <x v="1"/>
    <s v="CC103"/>
    <x v="4"/>
    <s v="Salary related expense"/>
    <n v="478806"/>
    <n v="416756"/>
    <n v="-62050"/>
    <s v="Cash"/>
    <x v="0"/>
    <x v="2"/>
    <s v="Operating Expense"/>
    <n v="-7.7164544721998389"/>
    <x v="2"/>
    <n v="62050"/>
    <x v="1"/>
    <n v="0"/>
  </r>
  <r>
    <s v="T00194"/>
    <s v="2024-06-02"/>
    <x v="3"/>
    <s v="CC103"/>
    <x v="3"/>
    <s v="Equipment related expense"/>
    <n v="405176"/>
    <n v="323764"/>
    <n v="-81412"/>
    <s v="Card"/>
    <x v="2"/>
    <x v="2"/>
    <s v="Capital Expense"/>
    <n v="-4.976858448385987"/>
    <x v="1"/>
    <n v="81412"/>
    <x v="1"/>
    <n v="0"/>
  </r>
  <r>
    <s v="T00195"/>
    <s v="2024-08-11"/>
    <x v="3"/>
    <s v="CC105"/>
    <x v="1"/>
    <s v="Maintenance related expense"/>
    <n v="320032"/>
    <n v="382498"/>
    <n v="62466"/>
    <s v="Card"/>
    <x v="0"/>
    <x v="3"/>
    <s v="Operating Expense"/>
    <n v="5.1232990746966349"/>
    <x v="3"/>
    <n v="62466"/>
    <x v="1"/>
    <n v="0"/>
  </r>
  <r>
    <s v="T00196"/>
    <s v="2024-02-03"/>
    <x v="0"/>
    <s v="CC103"/>
    <x v="0"/>
    <s v="Utilities related expense"/>
    <n v="174381"/>
    <n v="239680"/>
    <n v="65299"/>
    <s v="Cash"/>
    <x v="4"/>
    <x v="2"/>
    <s v="Operating Expense"/>
    <n v="2.6705003139404893"/>
    <x v="4"/>
    <n v="65299"/>
    <x v="1"/>
    <n v="0"/>
  </r>
  <r>
    <s v="T00197"/>
    <s v="2024-01-16"/>
    <x v="5"/>
    <s v="CC105"/>
    <x v="5"/>
    <s v="Travel related expense"/>
    <n v="455071"/>
    <n v="558915"/>
    <n v="103844"/>
    <s v="Cash"/>
    <x v="4"/>
    <x v="0"/>
    <s v="Capital Expense"/>
    <n v="4.3822560764223262"/>
    <x v="6"/>
    <n v="103844"/>
    <x v="1"/>
    <n v="0"/>
  </r>
  <r>
    <s v="T00198"/>
    <s v="2023-01-04"/>
    <x v="0"/>
    <s v="CC102"/>
    <x v="2"/>
    <s v="Marketing related expense"/>
    <n v="147689"/>
    <n v="116298"/>
    <n v="-31391"/>
    <s v="Cash"/>
    <x v="2"/>
    <x v="3"/>
    <s v="Operating Expense"/>
    <n v="-4.7048198528240581"/>
    <x v="6"/>
    <n v="31391"/>
    <x v="1"/>
    <n v="0"/>
  </r>
  <r>
    <s v="T00199"/>
    <s v="2024-03-03"/>
    <x v="5"/>
    <s v="CC104"/>
    <x v="2"/>
    <s v="Marketing related expense"/>
    <n v="410644"/>
    <n v="545638"/>
    <n v="134994"/>
    <s v="Card"/>
    <x v="3"/>
    <x v="2"/>
    <s v="Operating Expense"/>
    <n v="3.0419426048565121"/>
    <x v="7"/>
    <n v="134994"/>
    <x v="1"/>
    <n v="0"/>
  </r>
  <r>
    <s v="T00200"/>
    <s v="2023-07-26"/>
    <x v="5"/>
    <s v="CC104"/>
    <x v="2"/>
    <s v="Marketing related expense"/>
    <n v="192273"/>
    <n v="250922"/>
    <n v="58649"/>
    <s v="Card"/>
    <x v="3"/>
    <x v="3"/>
    <s v="Operating Expense"/>
    <n v="3.2783679176115537"/>
    <x v="8"/>
    <n v="58649"/>
    <x v="1"/>
    <n v="0"/>
  </r>
  <r>
    <s v="T00201"/>
    <s v="2024-10-16"/>
    <x v="0"/>
    <s v="CC105"/>
    <x v="4"/>
    <s v="Salary related expense"/>
    <n v="327054"/>
    <n v="401022"/>
    <n v="73968"/>
    <s v="Bank Transfer"/>
    <x v="2"/>
    <x v="2"/>
    <s v="Operating Expense"/>
    <n v="4.4215606748864378"/>
    <x v="5"/>
    <n v="73968"/>
    <x v="1"/>
    <n v="0"/>
  </r>
  <r>
    <s v="T00202"/>
    <s v="2025-03-31"/>
    <x v="2"/>
    <s v="CC102"/>
    <x v="1"/>
    <s v="Maintenance related expense"/>
    <n v="101330"/>
    <n v="92015"/>
    <n v="-9315"/>
    <s v="Card"/>
    <x v="1"/>
    <x v="3"/>
    <s v="Capital Expense"/>
    <n v="-10.878153515834676"/>
    <x v="7"/>
    <n v="9315"/>
    <x v="0"/>
    <n v="0"/>
  </r>
  <r>
    <s v="T00203"/>
    <s v="2025-04-16"/>
    <x v="0"/>
    <s v="CC102"/>
    <x v="5"/>
    <s v="Travel related expense"/>
    <n v="383406"/>
    <n v="302936"/>
    <n v="-80470"/>
    <s v="Bank Transfer"/>
    <x v="3"/>
    <x v="2"/>
    <s v="Capital Expense"/>
    <n v="-4.7645830744376783"/>
    <x v="9"/>
    <n v="80470"/>
    <x v="1"/>
    <n v="0"/>
  </r>
  <r>
    <s v="T00204"/>
    <s v="2023-04-08"/>
    <x v="0"/>
    <s v="CC101"/>
    <x v="5"/>
    <s v="Travel related expense"/>
    <n v="58069"/>
    <n v="79177"/>
    <n v="21108"/>
    <s v="Card"/>
    <x v="0"/>
    <x v="2"/>
    <s v="Capital Expense"/>
    <n v="2.7510422588592003"/>
    <x v="9"/>
    <n v="21108"/>
    <x v="1"/>
    <n v="0"/>
  </r>
  <r>
    <s v="T00205"/>
    <s v="2023-01-25"/>
    <x v="1"/>
    <s v="CC104"/>
    <x v="3"/>
    <s v="Equipment related expense"/>
    <n v="79831"/>
    <n v="87989"/>
    <n v="8158"/>
    <s v="Card"/>
    <x v="4"/>
    <x v="3"/>
    <s v="Operating Expense"/>
    <n v="9.7856092179455754"/>
    <x v="6"/>
    <n v="8158"/>
    <x v="0"/>
    <n v="0"/>
  </r>
  <r>
    <s v="T00206"/>
    <s v="2023-06-12"/>
    <x v="4"/>
    <s v="CC104"/>
    <x v="4"/>
    <s v="Salary related expense"/>
    <n v="317384"/>
    <n v="402547"/>
    <n v="85163"/>
    <s v="Bank Transfer"/>
    <x v="2"/>
    <x v="3"/>
    <s v="Capital Expense"/>
    <n v="3.7267827577703931"/>
    <x v="1"/>
    <n v="85163"/>
    <x v="1"/>
    <n v="0"/>
  </r>
  <r>
    <s v="T00207"/>
    <s v="2023-08-27"/>
    <x v="0"/>
    <s v="CC102"/>
    <x v="0"/>
    <s v="Utilities related expense"/>
    <n v="399683"/>
    <n v="443801"/>
    <n v="44118"/>
    <s v="Bank Transfer"/>
    <x v="0"/>
    <x v="1"/>
    <s v="Operating Expense"/>
    <n v="9.0594088580624685"/>
    <x v="3"/>
    <n v="44118"/>
    <x v="1"/>
    <n v="0"/>
  </r>
  <r>
    <s v="T00208"/>
    <s v="2023-06-20"/>
    <x v="1"/>
    <s v="CC104"/>
    <x v="0"/>
    <s v="Utilities related expense"/>
    <n v="231480"/>
    <n v="271357"/>
    <n v="39877"/>
    <s v="Cash"/>
    <x v="0"/>
    <x v="1"/>
    <s v="Capital Expense"/>
    <n v="5.8048499134839631"/>
    <x v="1"/>
    <n v="39877"/>
    <x v="1"/>
    <n v="0"/>
  </r>
  <r>
    <s v="T00209"/>
    <s v="2023-05-23"/>
    <x v="0"/>
    <s v="CC102"/>
    <x v="5"/>
    <s v="Travel related expense"/>
    <n v="86527"/>
    <n v="63928"/>
    <n v="-22599"/>
    <s v="Card"/>
    <x v="1"/>
    <x v="3"/>
    <s v="Operating Expense"/>
    <n v="-3.8287977344130271"/>
    <x v="11"/>
    <n v="22599"/>
    <x v="1"/>
    <n v="0"/>
  </r>
  <r>
    <s v="T00210"/>
    <s v="2024-09-18"/>
    <x v="3"/>
    <s v="CC103"/>
    <x v="4"/>
    <s v="Salary related expense"/>
    <n v="255059"/>
    <n v="244912"/>
    <n v="-10147"/>
    <s v="Bank Transfer"/>
    <x v="4"/>
    <x v="3"/>
    <s v="Operating Expense"/>
    <n v="-25.136394993594166"/>
    <x v="2"/>
    <n v="10147"/>
    <x v="0"/>
    <n v="0"/>
  </r>
  <r>
    <s v="T00211"/>
    <s v="2023-12-01"/>
    <x v="5"/>
    <s v="CC101"/>
    <x v="2"/>
    <s v="Marketing related expense"/>
    <n v="188263"/>
    <n v="196576"/>
    <n v="8313"/>
    <s v="Card"/>
    <x v="4"/>
    <x v="3"/>
    <s v="Operating Expense"/>
    <n v="22.646818236497054"/>
    <x v="10"/>
    <n v="8313"/>
    <x v="0"/>
    <n v="0"/>
  </r>
  <r>
    <s v="T00212"/>
    <s v="2024-02-19"/>
    <x v="3"/>
    <s v="CC102"/>
    <x v="1"/>
    <s v="Maintenance related expense"/>
    <n v="370123"/>
    <n v="300372"/>
    <n v="-69751"/>
    <s v="Card"/>
    <x v="2"/>
    <x v="1"/>
    <s v="Capital Expense"/>
    <n v="-5.3063468624105745"/>
    <x v="4"/>
    <n v="69751"/>
    <x v="1"/>
    <n v="0"/>
  </r>
  <r>
    <s v="T00213"/>
    <s v="2024-06-08"/>
    <x v="0"/>
    <s v="CC101"/>
    <x v="1"/>
    <s v="Maintenance related expense"/>
    <n v="474743"/>
    <n v="487699"/>
    <n v="12956"/>
    <s v="Cash"/>
    <x v="0"/>
    <x v="0"/>
    <s v="Operating Expense"/>
    <n v="36.642713800555725"/>
    <x v="1"/>
    <n v="12956"/>
    <x v="0"/>
    <n v="0"/>
  </r>
  <r>
    <s v="T00214"/>
    <s v="2023-04-23"/>
    <x v="1"/>
    <s v="CC103"/>
    <x v="0"/>
    <s v="Utilities related expense"/>
    <n v="182804"/>
    <n v="181127"/>
    <n v="-1677"/>
    <s v="Bank Transfer"/>
    <x v="2"/>
    <x v="0"/>
    <s v="Capital Expense"/>
    <n v="-109.00655933214072"/>
    <x v="9"/>
    <n v="1677"/>
    <x v="0"/>
    <n v="0"/>
  </r>
  <r>
    <s v="T00215"/>
    <s v="2023-05-08"/>
    <x v="1"/>
    <s v="CC103"/>
    <x v="5"/>
    <s v="Travel related expense"/>
    <n v="72376"/>
    <n v="77244"/>
    <n v="4868"/>
    <s v="Cash"/>
    <x v="1"/>
    <x v="0"/>
    <s v="Operating Expense"/>
    <n v="14.867707477403451"/>
    <x v="11"/>
    <n v="4868"/>
    <x v="0"/>
    <n v="0"/>
  </r>
  <r>
    <s v="T00216"/>
    <s v="2024-05-11"/>
    <x v="5"/>
    <s v="CC104"/>
    <x v="4"/>
    <s v="Salary related expense"/>
    <n v="196642"/>
    <n v="201346"/>
    <n v="4704"/>
    <s v="Cash"/>
    <x v="1"/>
    <x v="2"/>
    <s v="Operating Expense"/>
    <n v="41.803146258503403"/>
    <x v="11"/>
    <n v="4704"/>
    <x v="0"/>
    <n v="0"/>
  </r>
  <r>
    <s v="T00217"/>
    <s v="2024-01-13"/>
    <x v="3"/>
    <s v="CC105"/>
    <x v="5"/>
    <s v="Travel related expense"/>
    <n v="236821"/>
    <n v="322630"/>
    <n v="85809"/>
    <s v="Cash"/>
    <x v="4"/>
    <x v="3"/>
    <s v="Capital Expense"/>
    <n v="2.7598620191355221"/>
    <x v="6"/>
    <n v="85809"/>
    <x v="1"/>
    <n v="0"/>
  </r>
  <r>
    <s v="T00218"/>
    <s v="2024-02-20"/>
    <x v="2"/>
    <s v="CC101"/>
    <x v="1"/>
    <s v="Maintenance related expense"/>
    <n v="254509"/>
    <n v="342484"/>
    <n v="87975"/>
    <s v="Bank Transfer"/>
    <x v="2"/>
    <x v="2"/>
    <s v="Operating Expense"/>
    <n v="2.8929695936345552"/>
    <x v="4"/>
    <n v="87975"/>
    <x v="1"/>
    <n v="0"/>
  </r>
  <r>
    <s v="T00219"/>
    <s v="2023-03-17"/>
    <x v="4"/>
    <s v="CC104"/>
    <x v="5"/>
    <s v="Travel related expense"/>
    <n v="285684"/>
    <n v="287663"/>
    <n v="1979"/>
    <s v="Card"/>
    <x v="4"/>
    <x v="3"/>
    <s v="Operating Expense"/>
    <n v="144.3577564426478"/>
    <x v="7"/>
    <n v="1979"/>
    <x v="0"/>
    <n v="0"/>
  </r>
  <r>
    <s v="T00220"/>
    <s v="2023-06-06"/>
    <x v="0"/>
    <s v="CC102"/>
    <x v="0"/>
    <s v="Utilities related expense"/>
    <n v="273980"/>
    <n v="276328"/>
    <n v="2348"/>
    <s v="Cash"/>
    <x v="1"/>
    <x v="1"/>
    <s v="Operating Expense"/>
    <n v="116.68654173764907"/>
    <x v="1"/>
    <n v="2348"/>
    <x v="0"/>
    <n v="0"/>
  </r>
  <r>
    <s v="T00221"/>
    <s v="2024-08-08"/>
    <x v="5"/>
    <s v="CC105"/>
    <x v="4"/>
    <s v="Salary related expense"/>
    <n v="354203"/>
    <n v="415525"/>
    <n v="61322"/>
    <s v="Cash"/>
    <x v="2"/>
    <x v="3"/>
    <s v="Operating Expense"/>
    <n v="5.7761162388702258"/>
    <x v="3"/>
    <n v="61322"/>
    <x v="1"/>
    <n v="0"/>
  </r>
  <r>
    <s v="T00222"/>
    <s v="2023-11-22"/>
    <x v="0"/>
    <s v="CC105"/>
    <x v="4"/>
    <s v="Salary related expense"/>
    <n v="180319"/>
    <n v="174891"/>
    <n v="-5428"/>
    <s v="Cash"/>
    <x v="2"/>
    <x v="0"/>
    <s v="Capital Expense"/>
    <n v="-33.220154753131908"/>
    <x v="0"/>
    <n v="5428"/>
    <x v="0"/>
    <n v="0"/>
  </r>
  <r>
    <s v="T00223"/>
    <s v="2023-05-15"/>
    <x v="3"/>
    <s v="CC101"/>
    <x v="1"/>
    <s v="Maintenance related expense"/>
    <n v="476900"/>
    <n v="420391"/>
    <n v="-56509"/>
    <s v="Cash"/>
    <x v="4"/>
    <x v="3"/>
    <s v="Capital Expense"/>
    <n v="-8.4393636411898996"/>
    <x v="11"/>
    <n v="56509"/>
    <x v="1"/>
    <n v="0"/>
  </r>
  <r>
    <s v="T00224"/>
    <s v="2024-08-04"/>
    <x v="0"/>
    <s v="CC105"/>
    <x v="1"/>
    <s v="Maintenance related expense"/>
    <n v="313006"/>
    <n v="327112"/>
    <n v="14106"/>
    <s v="Bank Transfer"/>
    <x v="1"/>
    <x v="3"/>
    <s v="Capital Expense"/>
    <n v="22.189564724230824"/>
    <x v="3"/>
    <n v="14106"/>
    <x v="0"/>
    <n v="0"/>
  </r>
  <r>
    <s v="T00225"/>
    <s v="2023-06-08"/>
    <x v="2"/>
    <s v="CC101"/>
    <x v="1"/>
    <s v="Maintenance related expense"/>
    <n v="117709"/>
    <n v="87266"/>
    <n v="-30443"/>
    <s v="Cash"/>
    <x v="1"/>
    <x v="2"/>
    <s v="Capital Expense"/>
    <n v="-3.8665374634562952"/>
    <x v="1"/>
    <n v="30443"/>
    <x v="1"/>
    <n v="0"/>
  </r>
  <r>
    <s v="T00226"/>
    <s v="2024-04-18"/>
    <x v="5"/>
    <s v="CC101"/>
    <x v="4"/>
    <s v="Salary related expense"/>
    <n v="57986"/>
    <n v="54578"/>
    <n v="-3408"/>
    <s v="Card"/>
    <x v="3"/>
    <x v="3"/>
    <s v="Capital Expense"/>
    <n v="-17.014671361502348"/>
    <x v="9"/>
    <n v="3408"/>
    <x v="0"/>
    <n v="0"/>
  </r>
  <r>
    <s v="T00227"/>
    <s v="2024-11-08"/>
    <x v="2"/>
    <s v="CC102"/>
    <x v="3"/>
    <s v="Equipment related expense"/>
    <n v="205144"/>
    <n v="223225"/>
    <n v="18081"/>
    <s v="Bank Transfer"/>
    <x v="4"/>
    <x v="0"/>
    <s v="Operating Expense"/>
    <n v="11.345832641999889"/>
    <x v="0"/>
    <n v="18081"/>
    <x v="1"/>
    <n v="0"/>
  </r>
  <r>
    <s v="T00228"/>
    <s v="2024-09-29"/>
    <x v="3"/>
    <s v="CC105"/>
    <x v="2"/>
    <s v="Marketing related expense"/>
    <n v="241177"/>
    <n v="333768"/>
    <n v="92591"/>
    <s v="Bank Transfer"/>
    <x v="0"/>
    <x v="2"/>
    <s v="Operating Expense"/>
    <n v="2.604756401810111"/>
    <x v="2"/>
    <n v="92591"/>
    <x v="1"/>
    <n v="0"/>
  </r>
  <r>
    <s v="T00229"/>
    <s v="2025-01-25"/>
    <x v="4"/>
    <s v="CC104"/>
    <x v="3"/>
    <s v="Equipment related expense"/>
    <n v="300138"/>
    <n v="339723"/>
    <n v="39585"/>
    <s v="Bank Transfer"/>
    <x v="3"/>
    <x v="3"/>
    <s v="Capital Expense"/>
    <n v="7.582114437286851"/>
    <x v="6"/>
    <n v="39585"/>
    <x v="1"/>
    <n v="0"/>
  </r>
  <r>
    <s v="T00230"/>
    <s v="2024-06-07"/>
    <x v="2"/>
    <s v="CC104"/>
    <x v="0"/>
    <s v="Utilities related expense"/>
    <n v="320928"/>
    <n v="288586"/>
    <n v="-32342"/>
    <s v="Card"/>
    <x v="1"/>
    <x v="3"/>
    <s v="Operating Expense"/>
    <n v="-9.9229484880341357"/>
    <x v="1"/>
    <n v="32342"/>
    <x v="1"/>
    <n v="0"/>
  </r>
  <r>
    <s v="T00231"/>
    <s v="2024-10-02"/>
    <x v="4"/>
    <s v="CC104"/>
    <x v="2"/>
    <s v="Marketing related expense"/>
    <n v="53219"/>
    <n v="74246"/>
    <n v="21027"/>
    <s v="Bank Transfer"/>
    <x v="1"/>
    <x v="2"/>
    <s v="Operating Expense"/>
    <n v="2.5309839729871118"/>
    <x v="5"/>
    <n v="21027"/>
    <x v="1"/>
    <n v="0"/>
  </r>
  <r>
    <s v="T00232"/>
    <s v="2023-07-14"/>
    <x v="3"/>
    <s v="CC105"/>
    <x v="0"/>
    <s v="Utilities related expense"/>
    <n v="457954"/>
    <n v="619301"/>
    <n v="161347"/>
    <s v="Cash"/>
    <x v="4"/>
    <x v="2"/>
    <s v="Capital Expense"/>
    <n v="2.8383174152602777"/>
    <x v="8"/>
    <n v="161347"/>
    <x v="1"/>
    <n v="0"/>
  </r>
  <r>
    <s v="T00233"/>
    <s v="2024-11-21"/>
    <x v="2"/>
    <s v="CC104"/>
    <x v="3"/>
    <s v="Equipment related expense"/>
    <n v="419339"/>
    <n v="362680"/>
    <n v="-56659"/>
    <s v="Cash"/>
    <x v="3"/>
    <x v="0"/>
    <s v="Operating Expense"/>
    <n v="-7.4011013254734461"/>
    <x v="0"/>
    <n v="56659"/>
    <x v="1"/>
    <n v="0"/>
  </r>
  <r>
    <s v="T00234"/>
    <s v="2023-11-10"/>
    <x v="2"/>
    <s v="CC103"/>
    <x v="4"/>
    <s v="Salary related expense"/>
    <n v="456154"/>
    <n v="363576"/>
    <n v="-92578"/>
    <s v="Bank Transfer"/>
    <x v="0"/>
    <x v="0"/>
    <s v="Capital Expense"/>
    <n v="-4.927239732981918"/>
    <x v="0"/>
    <n v="92578"/>
    <x v="1"/>
    <n v="0"/>
  </r>
  <r>
    <s v="T00235"/>
    <s v="2023-12-29"/>
    <x v="5"/>
    <s v="CC102"/>
    <x v="2"/>
    <s v="Marketing related expense"/>
    <n v="127544"/>
    <n v="147704"/>
    <n v="20160"/>
    <s v="Cash"/>
    <x v="0"/>
    <x v="0"/>
    <s v="Capital Expense"/>
    <n v="6.3265873015873018"/>
    <x v="10"/>
    <n v="20160"/>
    <x v="1"/>
    <n v="0"/>
  </r>
  <r>
    <s v="T00236"/>
    <s v="2023-02-22"/>
    <x v="2"/>
    <s v="CC103"/>
    <x v="3"/>
    <s v="Equipment related expense"/>
    <n v="391439"/>
    <n v="471204"/>
    <n v="79765"/>
    <s v="Cash"/>
    <x v="1"/>
    <x v="3"/>
    <s v="Operating Expense"/>
    <n v="4.9074029963016361"/>
    <x v="4"/>
    <n v="79765"/>
    <x v="1"/>
    <n v="0"/>
  </r>
  <r>
    <s v="T00237"/>
    <s v="2025-04-12"/>
    <x v="2"/>
    <s v="CC102"/>
    <x v="2"/>
    <s v="Marketing related expense"/>
    <n v="246208"/>
    <n v="313577"/>
    <n v="67369"/>
    <s v="Cash"/>
    <x v="4"/>
    <x v="2"/>
    <s v="Operating Expense"/>
    <n v="3.6546185931214654"/>
    <x v="9"/>
    <n v="67369"/>
    <x v="1"/>
    <n v="0"/>
  </r>
  <r>
    <s v="T00238"/>
    <s v="2024-08-09"/>
    <x v="3"/>
    <s v="CC103"/>
    <x v="5"/>
    <s v="Travel related expense"/>
    <n v="437240"/>
    <n v="396241"/>
    <n v="-40999"/>
    <s v="Card"/>
    <x v="1"/>
    <x v="2"/>
    <s v="Capital Expense"/>
    <n v="-10.664650357325788"/>
    <x v="3"/>
    <n v="40999"/>
    <x v="1"/>
    <n v="0"/>
  </r>
  <r>
    <s v="T00239"/>
    <s v="2024-06-11"/>
    <x v="1"/>
    <s v="CC103"/>
    <x v="0"/>
    <s v="Utilities related expense"/>
    <n v="383631"/>
    <n v="358284"/>
    <n v="-25347"/>
    <s v="Cash"/>
    <x v="4"/>
    <x v="1"/>
    <s v="Operating Expense"/>
    <n v="-15.13516392472482"/>
    <x v="1"/>
    <n v="25347"/>
    <x v="1"/>
    <n v="0"/>
  </r>
  <r>
    <s v="T00240"/>
    <s v="2025-04-20"/>
    <x v="0"/>
    <s v="CC104"/>
    <x v="0"/>
    <s v="Utilities related expense"/>
    <n v="253118"/>
    <n v="230197"/>
    <n v="-22921"/>
    <s v="Cash"/>
    <x v="3"/>
    <x v="3"/>
    <s v="Capital Expense"/>
    <n v="-11.043060948475198"/>
    <x v="9"/>
    <n v="22921"/>
    <x v="1"/>
    <n v="0"/>
  </r>
  <r>
    <s v="T00241"/>
    <s v="2023-08-23"/>
    <x v="4"/>
    <s v="CC101"/>
    <x v="5"/>
    <s v="Travel related expense"/>
    <n v="289029"/>
    <n v="260223"/>
    <n v="-28806"/>
    <s v="Cash"/>
    <x v="3"/>
    <x v="0"/>
    <s v="Operating Expense"/>
    <n v="-10.03363882524474"/>
    <x v="3"/>
    <n v="28806"/>
    <x v="1"/>
    <n v="0"/>
  </r>
  <r>
    <s v="T00242"/>
    <s v="2024-11-10"/>
    <x v="2"/>
    <s v="CC104"/>
    <x v="0"/>
    <s v="Utilities related expense"/>
    <n v="462689"/>
    <n v="516610"/>
    <n v="53921"/>
    <s v="Cash"/>
    <x v="0"/>
    <x v="3"/>
    <s v="Capital Expense"/>
    <n v="8.5808683073385144"/>
    <x v="0"/>
    <n v="53921"/>
    <x v="1"/>
    <n v="0"/>
  </r>
  <r>
    <s v="T00243"/>
    <s v="2024-01-12"/>
    <x v="1"/>
    <s v="CC103"/>
    <x v="1"/>
    <s v="Maintenance related expense"/>
    <n v="497987"/>
    <n v="396679"/>
    <n v="-101308"/>
    <s v="Cash"/>
    <x v="0"/>
    <x v="3"/>
    <s v="Operating Expense"/>
    <n v="-4.9155742883089193"/>
    <x v="6"/>
    <n v="101308"/>
    <x v="1"/>
    <n v="0"/>
  </r>
  <r>
    <s v="T00244"/>
    <s v="2023-06-14"/>
    <x v="3"/>
    <s v="CC104"/>
    <x v="5"/>
    <s v="Travel related expense"/>
    <n v="286833"/>
    <n v="300260"/>
    <n v="13427"/>
    <s v="Card"/>
    <x v="4"/>
    <x v="1"/>
    <s v="Capital Expense"/>
    <n v="21.362404111119385"/>
    <x v="1"/>
    <n v="13427"/>
    <x v="0"/>
    <n v="0"/>
  </r>
  <r>
    <s v="T00245"/>
    <s v="2024-03-14"/>
    <x v="3"/>
    <s v="CC102"/>
    <x v="3"/>
    <s v="Equipment related expense"/>
    <n v="372710"/>
    <n v="376337"/>
    <n v="3627"/>
    <s v="Bank Transfer"/>
    <x v="1"/>
    <x v="3"/>
    <s v="Operating Expense"/>
    <n v="102.75985663082437"/>
    <x v="7"/>
    <n v="3627"/>
    <x v="0"/>
    <n v="0"/>
  </r>
  <r>
    <s v="T00246"/>
    <s v="2024-06-11"/>
    <x v="5"/>
    <s v="CC101"/>
    <x v="1"/>
    <s v="Maintenance related expense"/>
    <n v="433919"/>
    <n v="352252"/>
    <n v="-81667"/>
    <s v="Card"/>
    <x v="1"/>
    <x v="0"/>
    <s v="Operating Expense"/>
    <n v="-5.3132721907257521"/>
    <x v="1"/>
    <n v="81667"/>
    <x v="1"/>
    <n v="0"/>
  </r>
  <r>
    <s v="T00247"/>
    <s v="2025-05-03"/>
    <x v="0"/>
    <s v="CC104"/>
    <x v="3"/>
    <s v="Equipment related expense"/>
    <n v="97113"/>
    <n v="80802"/>
    <n v="-16311"/>
    <s v="Cash"/>
    <x v="3"/>
    <x v="2"/>
    <s v="Operating Expense"/>
    <n v="-5.9538348353871617"/>
    <x v="11"/>
    <n v="16311"/>
    <x v="0"/>
    <n v="0"/>
  </r>
  <r>
    <s v="T00248"/>
    <s v="2024-01-06"/>
    <x v="3"/>
    <s v="CC104"/>
    <x v="3"/>
    <s v="Equipment related expense"/>
    <n v="435538"/>
    <n v="598007"/>
    <n v="162469"/>
    <s v="Bank Transfer"/>
    <x v="4"/>
    <x v="0"/>
    <s v="Capital Expense"/>
    <n v="2.6807452498630506"/>
    <x v="6"/>
    <n v="162469"/>
    <x v="1"/>
    <n v="0"/>
  </r>
  <r>
    <s v="T00249"/>
    <s v="2024-09-25"/>
    <x v="3"/>
    <s v="CC103"/>
    <x v="2"/>
    <s v="Marketing related expense"/>
    <n v="225494"/>
    <n v="297837"/>
    <n v="72343"/>
    <s v="Cash"/>
    <x v="3"/>
    <x v="2"/>
    <s v="Operating Expense"/>
    <n v="3.1170120122195653"/>
    <x v="2"/>
    <n v="72343"/>
    <x v="1"/>
    <n v="0"/>
  </r>
  <r>
    <s v="T00250"/>
    <s v="2025-04-17"/>
    <x v="0"/>
    <s v="CC101"/>
    <x v="4"/>
    <s v="Salary related expense"/>
    <n v="356410"/>
    <n v="263648"/>
    <n v="-92762"/>
    <s v="Bank Transfer"/>
    <x v="0"/>
    <x v="2"/>
    <s v="Operating Expense"/>
    <n v="-3.84219831396477"/>
    <x v="9"/>
    <n v="92762"/>
    <x v="1"/>
    <n v="0"/>
  </r>
  <r>
    <s v="T00251"/>
    <s v="2024-04-20"/>
    <x v="3"/>
    <s v="CC102"/>
    <x v="0"/>
    <s v="Utilities related expense"/>
    <n v="499089"/>
    <n v="498451"/>
    <n v="-638"/>
    <s v="Card"/>
    <x v="4"/>
    <x v="1"/>
    <s v="Capital Expense"/>
    <n v="-782.2711598746082"/>
    <x v="9"/>
    <n v="638"/>
    <x v="0"/>
    <n v="0"/>
  </r>
  <r>
    <s v="T00252"/>
    <s v="2023-05-25"/>
    <x v="4"/>
    <s v="CC103"/>
    <x v="0"/>
    <s v="Utilities related expense"/>
    <n v="130501"/>
    <n v="160266"/>
    <n v="29765"/>
    <s v="Cash"/>
    <x v="0"/>
    <x v="2"/>
    <s v="Capital Expense"/>
    <n v="4.3843776247270281"/>
    <x v="11"/>
    <n v="29765"/>
    <x v="1"/>
    <n v="0"/>
  </r>
  <r>
    <s v="T00253"/>
    <s v="2023-07-28"/>
    <x v="1"/>
    <s v="CC105"/>
    <x v="0"/>
    <s v="Utilities related expense"/>
    <n v="183627"/>
    <n v="194767"/>
    <n v="11140"/>
    <s v="Card"/>
    <x v="0"/>
    <x v="3"/>
    <s v="Operating Expense"/>
    <n v="16.483572710951528"/>
    <x v="8"/>
    <n v="11140"/>
    <x v="0"/>
    <n v="0"/>
  </r>
  <r>
    <s v="T00254"/>
    <s v="2024-02-02"/>
    <x v="2"/>
    <s v="CC101"/>
    <x v="1"/>
    <s v="Maintenance related expense"/>
    <n v="98720"/>
    <n v="109960"/>
    <n v="11240"/>
    <s v="Card"/>
    <x v="4"/>
    <x v="0"/>
    <s v="Operating Expense"/>
    <n v="8.7829181494661928"/>
    <x v="4"/>
    <n v="11240"/>
    <x v="0"/>
    <n v="0"/>
  </r>
  <r>
    <s v="T00255"/>
    <s v="2024-06-09"/>
    <x v="5"/>
    <s v="CC104"/>
    <x v="4"/>
    <s v="Salary related expense"/>
    <n v="269791"/>
    <n v="225567"/>
    <n v="-44224"/>
    <s v="Bank Transfer"/>
    <x v="4"/>
    <x v="2"/>
    <s v="Capital Expense"/>
    <n v="-6.1005562590448621"/>
    <x v="1"/>
    <n v="44224"/>
    <x v="1"/>
    <n v="0"/>
  </r>
  <r>
    <s v="T00256"/>
    <s v="2023-09-16"/>
    <x v="0"/>
    <s v="CC101"/>
    <x v="5"/>
    <s v="Travel related expense"/>
    <n v="428169"/>
    <n v="342077"/>
    <n v="-86092"/>
    <s v="Card"/>
    <x v="1"/>
    <x v="0"/>
    <s v="Capital Expense"/>
    <n v="-4.9733889327695957"/>
    <x v="2"/>
    <n v="86092"/>
    <x v="1"/>
    <n v="0"/>
  </r>
  <r>
    <s v="T00257"/>
    <s v="2024-04-23"/>
    <x v="5"/>
    <s v="CC102"/>
    <x v="1"/>
    <s v="Maintenance related expense"/>
    <n v="189915"/>
    <n v="198982"/>
    <n v="9067"/>
    <s v="Card"/>
    <x v="4"/>
    <x v="0"/>
    <s v="Capital Expense"/>
    <n v="20.945737289070255"/>
    <x v="9"/>
    <n v="9067"/>
    <x v="0"/>
    <n v="0"/>
  </r>
  <r>
    <s v="T00258"/>
    <s v="2024-08-31"/>
    <x v="4"/>
    <s v="CC101"/>
    <x v="3"/>
    <s v="Equipment related expense"/>
    <n v="168260"/>
    <n v="176620"/>
    <n v="8360"/>
    <s v="Cash"/>
    <x v="1"/>
    <x v="2"/>
    <s v="Operating Expense"/>
    <n v="20.126794258373206"/>
    <x v="3"/>
    <n v="8360"/>
    <x v="0"/>
    <n v="0"/>
  </r>
  <r>
    <s v="T00259"/>
    <s v="2023-05-22"/>
    <x v="2"/>
    <s v="CC104"/>
    <x v="3"/>
    <s v="Equipment related expense"/>
    <n v="101953"/>
    <n v="116659"/>
    <n v="14706"/>
    <s v="Bank Transfer"/>
    <x v="2"/>
    <x v="2"/>
    <s v="Operating Expense"/>
    <n v="6.9327485380116958"/>
    <x v="11"/>
    <n v="14706"/>
    <x v="0"/>
    <n v="0"/>
  </r>
  <r>
    <s v="T00260"/>
    <s v="2023-10-13"/>
    <x v="2"/>
    <s v="CC105"/>
    <x v="0"/>
    <s v="Utilities related expense"/>
    <n v="238394"/>
    <n v="193466"/>
    <n v="-44928"/>
    <s v="Card"/>
    <x v="2"/>
    <x v="1"/>
    <s v="Operating Expense"/>
    <n v="-5.3061342592592595"/>
    <x v="5"/>
    <n v="44928"/>
    <x v="1"/>
    <n v="0"/>
  </r>
  <r>
    <s v="T00261"/>
    <s v="2024-02-26"/>
    <x v="2"/>
    <s v="CC105"/>
    <x v="1"/>
    <s v="Maintenance related expense"/>
    <n v="238516"/>
    <n v="230833"/>
    <n v="-7683"/>
    <s v="Cash"/>
    <x v="2"/>
    <x v="0"/>
    <s v="Capital Expense"/>
    <n v="-31.044644019263309"/>
    <x v="4"/>
    <n v="7683"/>
    <x v="0"/>
    <n v="0"/>
  </r>
  <r>
    <s v="T00262"/>
    <s v="2024-03-31"/>
    <x v="5"/>
    <s v="CC103"/>
    <x v="5"/>
    <s v="Travel related expense"/>
    <n v="230904"/>
    <n v="175100"/>
    <n v="-55804"/>
    <s v="Cash"/>
    <x v="2"/>
    <x v="3"/>
    <s v="Capital Expense"/>
    <n v="-4.1377679019425129"/>
    <x v="7"/>
    <n v="55804"/>
    <x v="1"/>
    <n v="0"/>
  </r>
  <r>
    <s v="T00263"/>
    <s v="2023-09-09"/>
    <x v="4"/>
    <s v="CC104"/>
    <x v="4"/>
    <s v="Salary related expense"/>
    <n v="68288"/>
    <n v="51042"/>
    <n v="-17246"/>
    <s v="Card"/>
    <x v="4"/>
    <x v="3"/>
    <s v="Operating Expense"/>
    <n v="-3.9596428157253856"/>
    <x v="2"/>
    <n v="17246"/>
    <x v="1"/>
    <n v="0"/>
  </r>
  <r>
    <s v="T00264"/>
    <s v="2023-03-21"/>
    <x v="1"/>
    <s v="CC104"/>
    <x v="5"/>
    <s v="Travel related expense"/>
    <n v="53897"/>
    <n v="66142"/>
    <n v="12245"/>
    <s v="Card"/>
    <x v="0"/>
    <x v="3"/>
    <s v="Capital Expense"/>
    <n v="4.4015516537362185"/>
    <x v="7"/>
    <n v="12245"/>
    <x v="0"/>
    <n v="0"/>
  </r>
  <r>
    <s v="T00265"/>
    <s v="2023-03-09"/>
    <x v="1"/>
    <s v="CC102"/>
    <x v="3"/>
    <s v="Equipment related expense"/>
    <n v="123460"/>
    <n v="109423"/>
    <n v="-14037"/>
    <s v="Cash"/>
    <x v="3"/>
    <x v="3"/>
    <s v="Operating Expense"/>
    <n v="-8.7953266367457434"/>
    <x v="7"/>
    <n v="14037"/>
    <x v="0"/>
    <n v="0"/>
  </r>
  <r>
    <s v="T00266"/>
    <s v="2025-02-24"/>
    <x v="3"/>
    <s v="CC103"/>
    <x v="5"/>
    <s v="Travel related expense"/>
    <n v="70812"/>
    <n v="94327"/>
    <n v="23515"/>
    <s v="Cash"/>
    <x v="1"/>
    <x v="3"/>
    <s v="Operating Expense"/>
    <n v="3.0113544546034445"/>
    <x v="4"/>
    <n v="23515"/>
    <x v="1"/>
    <n v="0"/>
  </r>
  <r>
    <s v="T00267"/>
    <s v="2023-01-21"/>
    <x v="4"/>
    <s v="CC104"/>
    <x v="1"/>
    <s v="Maintenance related expense"/>
    <n v="328844"/>
    <n v="295162"/>
    <n v="-33682"/>
    <s v="Bank Transfer"/>
    <x v="1"/>
    <x v="2"/>
    <s v="Capital Expense"/>
    <n v="-9.7631969598004869"/>
    <x v="6"/>
    <n v="33682"/>
    <x v="1"/>
    <n v="0"/>
  </r>
  <r>
    <s v="T00268"/>
    <s v="2023-04-04"/>
    <x v="0"/>
    <s v="CC103"/>
    <x v="1"/>
    <s v="Maintenance related expense"/>
    <n v="429345"/>
    <n v="473758"/>
    <n v="44413"/>
    <s v="Cash"/>
    <x v="0"/>
    <x v="0"/>
    <s v="Capital Expense"/>
    <n v="9.6671019746470623"/>
    <x v="9"/>
    <n v="44413"/>
    <x v="1"/>
    <n v="0"/>
  </r>
  <r>
    <s v="T00269"/>
    <s v="2024-04-05"/>
    <x v="5"/>
    <s v="CC105"/>
    <x v="4"/>
    <s v="Salary related expense"/>
    <n v="477480"/>
    <n v="353267"/>
    <n v="-124213"/>
    <s v="Bank Transfer"/>
    <x v="0"/>
    <x v="0"/>
    <s v="Capital Expense"/>
    <n v="-3.8440420889922957"/>
    <x v="9"/>
    <n v="124213"/>
    <x v="1"/>
    <n v="0"/>
  </r>
  <r>
    <s v="T00270"/>
    <s v="2023-09-25"/>
    <x v="0"/>
    <s v="CC102"/>
    <x v="0"/>
    <s v="Utilities related expense"/>
    <n v="214750"/>
    <n v="242031"/>
    <n v="27281"/>
    <s v="Cash"/>
    <x v="1"/>
    <x v="0"/>
    <s v="Operating Expense"/>
    <n v="7.8717788937355673"/>
    <x v="2"/>
    <n v="27281"/>
    <x v="1"/>
    <n v="0"/>
  </r>
  <r>
    <s v="T00271"/>
    <s v="2024-06-21"/>
    <x v="0"/>
    <s v="CC102"/>
    <x v="3"/>
    <s v="Equipment related expense"/>
    <n v="470286"/>
    <n v="451211"/>
    <n v="-19075"/>
    <s v="Bank Transfer"/>
    <x v="3"/>
    <x v="1"/>
    <s v="Capital Expense"/>
    <n v="-24.654574049803408"/>
    <x v="1"/>
    <n v="19075"/>
    <x v="1"/>
    <n v="0"/>
  </r>
  <r>
    <s v="T00272"/>
    <s v="2023-02-26"/>
    <x v="1"/>
    <s v="CC102"/>
    <x v="1"/>
    <s v="Maintenance related expense"/>
    <n v="226019"/>
    <n v="193969"/>
    <n v="-32050"/>
    <s v="Card"/>
    <x v="4"/>
    <x v="2"/>
    <s v="Operating Expense"/>
    <n v="-7.0520748829953197"/>
    <x v="4"/>
    <n v="32050"/>
    <x v="1"/>
    <n v="0"/>
  </r>
  <r>
    <s v="T00273"/>
    <s v="2024-08-04"/>
    <x v="5"/>
    <s v="CC104"/>
    <x v="1"/>
    <s v="Maintenance related expense"/>
    <n v="391070"/>
    <n v="364508"/>
    <n v="-26562"/>
    <s v="Card"/>
    <x v="1"/>
    <x v="3"/>
    <s v="Operating Expense"/>
    <n v="-14.722912431292825"/>
    <x v="3"/>
    <n v="26562"/>
    <x v="1"/>
    <n v="0"/>
  </r>
  <r>
    <s v="T00274"/>
    <s v="2024-06-25"/>
    <x v="5"/>
    <s v="CC103"/>
    <x v="0"/>
    <s v="Utilities related expense"/>
    <n v="60719"/>
    <n v="77160"/>
    <n v="16441"/>
    <s v="Bank Transfer"/>
    <x v="2"/>
    <x v="0"/>
    <s v="Operating Expense"/>
    <n v="3.6931451858159479"/>
    <x v="1"/>
    <n v="16441"/>
    <x v="0"/>
    <n v="0"/>
  </r>
  <r>
    <s v="T00275"/>
    <s v="2023-12-06"/>
    <x v="2"/>
    <s v="CC104"/>
    <x v="1"/>
    <s v="Maintenance related expense"/>
    <n v="186234"/>
    <n v="138393"/>
    <n v="-47841"/>
    <s v="Bank Transfer"/>
    <x v="3"/>
    <x v="2"/>
    <s v="Capital Expense"/>
    <n v="-3.8927697999623754"/>
    <x v="10"/>
    <n v="47841"/>
    <x v="1"/>
    <n v="0"/>
  </r>
  <r>
    <s v="T00276"/>
    <s v="2024-11-04"/>
    <x v="1"/>
    <s v="CC101"/>
    <x v="5"/>
    <s v="Travel related expense"/>
    <n v="478091"/>
    <n v="505039"/>
    <n v="26948"/>
    <s v="Card"/>
    <x v="3"/>
    <x v="1"/>
    <s v="Capital Expense"/>
    <n v="17.741242392756419"/>
    <x v="0"/>
    <n v="26948"/>
    <x v="1"/>
    <n v="0"/>
  </r>
  <r>
    <s v="T00277"/>
    <s v="2024-05-16"/>
    <x v="5"/>
    <s v="CC101"/>
    <x v="5"/>
    <s v="Travel related expense"/>
    <n v="367318"/>
    <n v="310288"/>
    <n v="-57030"/>
    <s v="Card"/>
    <x v="1"/>
    <x v="1"/>
    <s v="Capital Expense"/>
    <n v="-6.4407855514641419"/>
    <x v="11"/>
    <n v="57030"/>
    <x v="1"/>
    <n v="0"/>
  </r>
  <r>
    <s v="T00278"/>
    <s v="2024-06-06"/>
    <x v="2"/>
    <s v="CC105"/>
    <x v="3"/>
    <s v="Equipment related expense"/>
    <n v="104174"/>
    <n v="89689"/>
    <n v="-14485"/>
    <s v="Bank Transfer"/>
    <x v="2"/>
    <x v="2"/>
    <s v="Operating Expense"/>
    <n v="-7.1918536416983088"/>
    <x v="1"/>
    <n v="14485"/>
    <x v="0"/>
    <n v="0"/>
  </r>
  <r>
    <s v="T00279"/>
    <s v="2025-04-26"/>
    <x v="3"/>
    <s v="CC104"/>
    <x v="4"/>
    <s v="Salary related expense"/>
    <n v="269466"/>
    <n v="291434"/>
    <n v="21968"/>
    <s v="Cash"/>
    <x v="3"/>
    <x v="1"/>
    <s v="Capital Expense"/>
    <n v="12.266296431172615"/>
    <x v="9"/>
    <n v="21968"/>
    <x v="1"/>
    <n v="0"/>
  </r>
  <r>
    <s v="T00280"/>
    <s v="2023-09-28"/>
    <x v="3"/>
    <s v="CC101"/>
    <x v="5"/>
    <s v="Travel related expense"/>
    <n v="339684"/>
    <n v="278733"/>
    <n v="-60951"/>
    <s v="Cash"/>
    <x v="3"/>
    <x v="1"/>
    <s v="Operating Expense"/>
    <n v="-5.5730668897967224"/>
    <x v="2"/>
    <n v="60951"/>
    <x v="1"/>
    <n v="0"/>
  </r>
  <r>
    <s v="T00281"/>
    <s v="2023-09-30"/>
    <x v="0"/>
    <s v="CC102"/>
    <x v="5"/>
    <s v="Travel related expense"/>
    <n v="155732"/>
    <n v="181421"/>
    <n v="25689"/>
    <s v="Bank Transfer"/>
    <x v="4"/>
    <x v="2"/>
    <s v="Operating Expense"/>
    <n v="6.0622056132975199"/>
    <x v="2"/>
    <n v="25689"/>
    <x v="1"/>
    <n v="0"/>
  </r>
  <r>
    <s v="T00282"/>
    <s v="2025-06-13"/>
    <x v="2"/>
    <s v="CC104"/>
    <x v="2"/>
    <s v="Marketing related expense"/>
    <n v="79700"/>
    <n v="98225"/>
    <n v="18525"/>
    <s v="Card"/>
    <x v="1"/>
    <x v="2"/>
    <s v="Operating Expense"/>
    <n v="4.3022941970310393"/>
    <x v="1"/>
    <n v="18525"/>
    <x v="1"/>
    <n v="0"/>
  </r>
  <r>
    <s v="T00283"/>
    <s v="2023-07-12"/>
    <x v="4"/>
    <s v="CC103"/>
    <x v="0"/>
    <s v="Utilities related expense"/>
    <n v="116426"/>
    <n v="125336"/>
    <n v="8910"/>
    <s v="Card"/>
    <x v="0"/>
    <x v="2"/>
    <s v="Operating Expense"/>
    <n v="13.0668911335578"/>
    <x v="8"/>
    <n v="8910"/>
    <x v="0"/>
    <n v="0"/>
  </r>
  <r>
    <s v="T00284"/>
    <s v="2024-11-13"/>
    <x v="5"/>
    <s v="CC105"/>
    <x v="1"/>
    <s v="Maintenance related expense"/>
    <n v="493828"/>
    <n v="485458"/>
    <n v="-8370"/>
    <s v="Card"/>
    <x v="1"/>
    <x v="0"/>
    <s v="Capital Expense"/>
    <n v="-58.999761051373952"/>
    <x v="0"/>
    <n v="8370"/>
    <x v="0"/>
    <n v="0"/>
  </r>
  <r>
    <s v="T00285"/>
    <s v="2023-10-02"/>
    <x v="2"/>
    <s v="CC105"/>
    <x v="0"/>
    <s v="Utilities related expense"/>
    <n v="284024"/>
    <n v="280683"/>
    <n v="-3341"/>
    <s v="Bank Transfer"/>
    <x v="1"/>
    <x v="2"/>
    <s v="Capital Expense"/>
    <n v="-85.011673151750969"/>
    <x v="5"/>
    <n v="3341"/>
    <x v="0"/>
    <n v="0"/>
  </r>
  <r>
    <s v="T00286"/>
    <s v="2024-03-17"/>
    <x v="0"/>
    <s v="CC102"/>
    <x v="5"/>
    <s v="Travel related expense"/>
    <n v="444896"/>
    <n v="509996"/>
    <n v="65100"/>
    <s v="Bank Transfer"/>
    <x v="2"/>
    <x v="3"/>
    <s v="Operating Expense"/>
    <n v="6.8340399385560673"/>
    <x v="7"/>
    <n v="65100"/>
    <x v="1"/>
    <n v="0"/>
  </r>
  <r>
    <s v="T00287"/>
    <s v="2024-11-14"/>
    <x v="2"/>
    <s v="CC103"/>
    <x v="3"/>
    <s v="Equipment related expense"/>
    <n v="337591"/>
    <n v="355609"/>
    <n v="18018"/>
    <s v="Bank Transfer"/>
    <x v="1"/>
    <x v="1"/>
    <s v="Operating Expense"/>
    <n v="18.736319236319236"/>
    <x v="0"/>
    <n v="18018"/>
    <x v="1"/>
    <n v="0"/>
  </r>
  <r>
    <s v="T00288"/>
    <s v="2023-10-28"/>
    <x v="5"/>
    <s v="CC103"/>
    <x v="5"/>
    <s v="Travel related expense"/>
    <n v="193180"/>
    <n v="166524"/>
    <n v="-26656"/>
    <s v="Card"/>
    <x v="3"/>
    <x v="1"/>
    <s v="Operating Expense"/>
    <n v="-7.2471488595438176"/>
    <x v="5"/>
    <n v="26656"/>
    <x v="1"/>
    <n v="0"/>
  </r>
  <r>
    <s v="T00289"/>
    <s v="2024-11-04"/>
    <x v="0"/>
    <s v="CC102"/>
    <x v="3"/>
    <s v="Equipment related expense"/>
    <n v="163071"/>
    <n v="177133"/>
    <n v="14062"/>
    <s v="Card"/>
    <x v="1"/>
    <x v="1"/>
    <s v="Capital Expense"/>
    <n v="11.59657232257147"/>
    <x v="0"/>
    <n v="14062"/>
    <x v="0"/>
    <n v="0"/>
  </r>
  <r>
    <s v="T00290"/>
    <s v="2023-05-11"/>
    <x v="4"/>
    <s v="CC105"/>
    <x v="4"/>
    <s v="Salary related expense"/>
    <n v="217764"/>
    <n v="176308"/>
    <n v="-41456"/>
    <s v="Card"/>
    <x v="4"/>
    <x v="0"/>
    <s v="Capital Expense"/>
    <n v="-5.2528946352759549"/>
    <x v="11"/>
    <n v="41456"/>
    <x v="1"/>
    <n v="0"/>
  </r>
  <r>
    <s v="T00291"/>
    <s v="2023-12-31"/>
    <x v="3"/>
    <s v="CC104"/>
    <x v="5"/>
    <s v="Travel related expense"/>
    <n v="287991"/>
    <n v="338417"/>
    <n v="50426"/>
    <s v="Cash"/>
    <x v="3"/>
    <x v="1"/>
    <s v="Capital Expense"/>
    <n v="5.7111609090548523"/>
    <x v="10"/>
    <n v="50426"/>
    <x v="1"/>
    <n v="0"/>
  </r>
  <r>
    <s v="T00292"/>
    <s v="2023-01-26"/>
    <x v="2"/>
    <s v="CC104"/>
    <x v="5"/>
    <s v="Travel related expense"/>
    <n v="245052"/>
    <n v="182490"/>
    <n v="-62562"/>
    <s v="Cash"/>
    <x v="3"/>
    <x v="3"/>
    <s v="Capital Expense"/>
    <n v="-3.9169463891819314"/>
    <x v="6"/>
    <n v="62562"/>
    <x v="1"/>
    <n v="0"/>
  </r>
  <r>
    <s v="T00293"/>
    <s v="2023-06-28"/>
    <x v="4"/>
    <s v="CC101"/>
    <x v="4"/>
    <s v="Salary related expense"/>
    <n v="390508"/>
    <n v="544224"/>
    <n v="153716"/>
    <s v="Bank Transfer"/>
    <x v="3"/>
    <x v="0"/>
    <s v="Capital Expense"/>
    <n v="2.5404512217335866"/>
    <x v="1"/>
    <n v="153716"/>
    <x v="1"/>
    <n v="0"/>
  </r>
  <r>
    <s v="T00294"/>
    <s v="2024-09-15"/>
    <x v="0"/>
    <s v="CC103"/>
    <x v="4"/>
    <s v="Salary related expense"/>
    <n v="281047"/>
    <n v="377489"/>
    <n v="96442"/>
    <s v="Card"/>
    <x v="0"/>
    <x v="2"/>
    <s v="Operating Expense"/>
    <n v="2.9141556583231374"/>
    <x v="2"/>
    <n v="96442"/>
    <x v="1"/>
    <n v="0"/>
  </r>
  <r>
    <s v="T00295"/>
    <s v="2024-09-26"/>
    <x v="4"/>
    <s v="CC105"/>
    <x v="5"/>
    <s v="Travel related expense"/>
    <n v="201558"/>
    <n v="201073"/>
    <n v="-485"/>
    <s v="Bank Transfer"/>
    <x v="3"/>
    <x v="2"/>
    <s v="Operating Expense"/>
    <n v="-415.58350515463917"/>
    <x v="2"/>
    <n v="485"/>
    <x v="0"/>
    <n v="0"/>
  </r>
  <r>
    <s v="T00296"/>
    <s v="2025-01-04"/>
    <x v="5"/>
    <s v="CC103"/>
    <x v="5"/>
    <s v="Travel related expense"/>
    <n v="422192"/>
    <n v="394991"/>
    <n v="-27201"/>
    <s v="Bank Transfer"/>
    <x v="1"/>
    <x v="1"/>
    <s v="Capital Expense"/>
    <n v="-15.521194073747289"/>
    <x v="6"/>
    <n v="27201"/>
    <x v="1"/>
    <n v="0"/>
  </r>
  <r>
    <s v="T00297"/>
    <s v="2023-02-20"/>
    <x v="2"/>
    <s v="CC104"/>
    <x v="4"/>
    <s v="Salary related expense"/>
    <n v="149354"/>
    <n v="163058"/>
    <n v="13704"/>
    <s v="Bank Transfer"/>
    <x v="2"/>
    <x v="0"/>
    <s v="Capital Expense"/>
    <n v="10.898569760653825"/>
    <x v="4"/>
    <n v="13704"/>
    <x v="0"/>
    <n v="0"/>
  </r>
  <r>
    <s v="T00298"/>
    <s v="2025-06-05"/>
    <x v="2"/>
    <s v="CC101"/>
    <x v="3"/>
    <s v="Equipment related expense"/>
    <n v="134500"/>
    <n v="96167"/>
    <n v="-38333"/>
    <s v="Cash"/>
    <x v="1"/>
    <x v="2"/>
    <s v="Operating Expense"/>
    <n v="-3.5087261628361985"/>
    <x v="1"/>
    <n v="38333"/>
    <x v="1"/>
    <n v="0"/>
  </r>
  <r>
    <s v="T00299"/>
    <s v="2023-05-19"/>
    <x v="1"/>
    <s v="CC104"/>
    <x v="2"/>
    <s v="Marketing related expense"/>
    <n v="364770"/>
    <n v="336906"/>
    <n v="-27864"/>
    <s v="Cash"/>
    <x v="2"/>
    <x v="0"/>
    <s v="Operating Expense"/>
    <n v="-13.09108527131783"/>
    <x v="11"/>
    <n v="27864"/>
    <x v="1"/>
    <n v="0"/>
  </r>
  <r>
    <s v="T00300"/>
    <s v="2025-05-18"/>
    <x v="2"/>
    <s v="CC105"/>
    <x v="2"/>
    <s v="Marketing related expense"/>
    <n v="350159"/>
    <n v="277827"/>
    <n v="-72332"/>
    <s v="Bank Transfer"/>
    <x v="3"/>
    <x v="3"/>
    <s v="Capital Expense"/>
    <n v="-4.8409970690703972"/>
    <x v="11"/>
    <n v="72332"/>
    <x v="1"/>
    <n v="0"/>
  </r>
  <r>
    <s v="T00301"/>
    <s v="2023-02-18"/>
    <x v="1"/>
    <s v="CC103"/>
    <x v="0"/>
    <s v="Utilities related expense"/>
    <n v="319402"/>
    <n v="310264"/>
    <n v="-9138"/>
    <s v="Bank Transfer"/>
    <x v="2"/>
    <x v="2"/>
    <s v="Operating Expense"/>
    <n v="-34.953162617640622"/>
    <x v="4"/>
    <n v="9138"/>
    <x v="0"/>
    <n v="0"/>
  </r>
  <r>
    <s v="T00302"/>
    <s v="2024-07-05"/>
    <x v="2"/>
    <s v="CC103"/>
    <x v="4"/>
    <s v="Salary related expense"/>
    <n v="162692"/>
    <n v="139371"/>
    <n v="-23321"/>
    <s v="Cash"/>
    <x v="4"/>
    <x v="0"/>
    <s v="Capital Expense"/>
    <n v="-6.9762017066163544"/>
    <x v="8"/>
    <n v="23321"/>
    <x v="1"/>
    <n v="0"/>
  </r>
  <r>
    <s v="T00303"/>
    <s v="2024-11-14"/>
    <x v="1"/>
    <s v="CC104"/>
    <x v="5"/>
    <s v="Travel related expense"/>
    <n v="462453"/>
    <n v="454510"/>
    <n v="-7943"/>
    <s v="Card"/>
    <x v="0"/>
    <x v="0"/>
    <s v="Capital Expense"/>
    <n v="-58.22145285156742"/>
    <x v="0"/>
    <n v="7943"/>
    <x v="0"/>
    <n v="0"/>
  </r>
  <r>
    <s v="T00304"/>
    <s v="2023-06-26"/>
    <x v="1"/>
    <s v="CC103"/>
    <x v="2"/>
    <s v="Marketing related expense"/>
    <n v="471905"/>
    <n v="537409"/>
    <n v="65504"/>
    <s v="Cash"/>
    <x v="1"/>
    <x v="1"/>
    <s v="Operating Expense"/>
    <n v="7.2042165363947239"/>
    <x v="1"/>
    <n v="65504"/>
    <x v="1"/>
    <n v="0"/>
  </r>
  <r>
    <s v="T00305"/>
    <s v="2025-03-07"/>
    <x v="0"/>
    <s v="CC102"/>
    <x v="1"/>
    <s v="Maintenance related expense"/>
    <n v="259761"/>
    <n v="243779"/>
    <n v="-15982"/>
    <s v="Cash"/>
    <x v="3"/>
    <x v="2"/>
    <s v="Operating Expense"/>
    <n v="-16.253347515955451"/>
    <x v="7"/>
    <n v="15982"/>
    <x v="0"/>
    <n v="0"/>
  </r>
  <r>
    <s v="T00306"/>
    <s v="2024-09-28"/>
    <x v="5"/>
    <s v="CC104"/>
    <x v="4"/>
    <s v="Salary related expense"/>
    <n v="281862"/>
    <n v="369224"/>
    <n v="87362"/>
    <s v="Card"/>
    <x v="1"/>
    <x v="0"/>
    <s v="Operating Expense"/>
    <n v="3.2263684439458804"/>
    <x v="2"/>
    <n v="87362"/>
    <x v="1"/>
    <n v="0"/>
  </r>
  <r>
    <s v="T00307"/>
    <s v="2023-12-20"/>
    <x v="3"/>
    <s v="CC104"/>
    <x v="4"/>
    <s v="Salary related expense"/>
    <n v="113251"/>
    <n v="111150"/>
    <n v="-2101"/>
    <s v="Card"/>
    <x v="3"/>
    <x v="3"/>
    <s v="Capital Expense"/>
    <n v="-53.903379343169917"/>
    <x v="10"/>
    <n v="2101"/>
    <x v="0"/>
    <n v="0"/>
  </r>
  <r>
    <s v="T00308"/>
    <s v="2024-05-09"/>
    <x v="2"/>
    <s v="CC105"/>
    <x v="5"/>
    <s v="Travel related expense"/>
    <n v="429180"/>
    <n v="408516"/>
    <n v="-20664"/>
    <s v="Bank Transfer"/>
    <x v="3"/>
    <x v="3"/>
    <s v="Capital Expense"/>
    <n v="-20.769454123112659"/>
    <x v="11"/>
    <n v="20664"/>
    <x v="1"/>
    <n v="0"/>
  </r>
  <r>
    <s v="T00309"/>
    <s v="2023-01-26"/>
    <x v="2"/>
    <s v="CC104"/>
    <x v="1"/>
    <s v="Maintenance related expense"/>
    <n v="180333"/>
    <n v="136810"/>
    <n v="-43523"/>
    <s v="Bank Transfer"/>
    <x v="2"/>
    <x v="1"/>
    <s v="Operating Expense"/>
    <n v="-4.1433954460859779"/>
    <x v="6"/>
    <n v="43523"/>
    <x v="1"/>
    <n v="0"/>
  </r>
  <r>
    <s v="T00310"/>
    <s v="2024-06-19"/>
    <x v="3"/>
    <s v="CC103"/>
    <x v="3"/>
    <s v="Equipment related expense"/>
    <n v="436966"/>
    <n v="314990"/>
    <n v="-121976"/>
    <s v="Bank Transfer"/>
    <x v="2"/>
    <x v="0"/>
    <s v="Operating Expense"/>
    <n v="-3.5823932576900375"/>
    <x v="1"/>
    <n v="121976"/>
    <x v="1"/>
    <n v="0"/>
  </r>
  <r>
    <s v="T00311"/>
    <s v="2023-12-27"/>
    <x v="5"/>
    <s v="CC104"/>
    <x v="0"/>
    <s v="Utilities related expense"/>
    <n v="483414"/>
    <n v="544500"/>
    <n v="61086"/>
    <s v="Cash"/>
    <x v="3"/>
    <x v="1"/>
    <s v="Capital Expense"/>
    <n v="7.9136627050387975"/>
    <x v="10"/>
    <n v="61086"/>
    <x v="1"/>
    <n v="0"/>
  </r>
  <r>
    <s v="T00312"/>
    <s v="2024-12-24"/>
    <x v="4"/>
    <s v="CC101"/>
    <x v="0"/>
    <s v="Utilities related expense"/>
    <n v="354576"/>
    <n v="345696"/>
    <n v="-8880"/>
    <s v="Bank Transfer"/>
    <x v="2"/>
    <x v="3"/>
    <s v="Operating Expense"/>
    <n v="-39.929729729729729"/>
    <x v="10"/>
    <n v="8880"/>
    <x v="0"/>
    <n v="0"/>
  </r>
  <r>
    <s v="T00313"/>
    <s v="2024-01-22"/>
    <x v="4"/>
    <s v="CC103"/>
    <x v="1"/>
    <s v="Maintenance related expense"/>
    <n v="394239"/>
    <n v="401347"/>
    <n v="7108"/>
    <s v="Card"/>
    <x v="0"/>
    <x v="3"/>
    <s v="Operating Expense"/>
    <n v="55.464124929656727"/>
    <x v="6"/>
    <n v="7108"/>
    <x v="0"/>
    <n v="0"/>
  </r>
  <r>
    <s v="T00314"/>
    <s v="2024-03-15"/>
    <x v="1"/>
    <s v="CC103"/>
    <x v="3"/>
    <s v="Equipment related expense"/>
    <n v="287123"/>
    <n v="329720"/>
    <n v="42597"/>
    <s v="Cash"/>
    <x v="3"/>
    <x v="1"/>
    <s v="Operating Expense"/>
    <n v="6.7404512054839545"/>
    <x v="7"/>
    <n v="42597"/>
    <x v="1"/>
    <n v="0"/>
  </r>
  <r>
    <s v="T00315"/>
    <s v="2024-09-08"/>
    <x v="4"/>
    <s v="CC101"/>
    <x v="1"/>
    <s v="Maintenance related expense"/>
    <n v="96376"/>
    <n v="85989"/>
    <n v="-10387"/>
    <s v="Bank Transfer"/>
    <x v="0"/>
    <x v="3"/>
    <s v="Operating Expense"/>
    <n v="-9.2785212284586507"/>
    <x v="2"/>
    <n v="10387"/>
    <x v="0"/>
    <n v="0"/>
  </r>
  <r>
    <s v="T00316"/>
    <s v="2023-12-15"/>
    <x v="3"/>
    <s v="CC104"/>
    <x v="3"/>
    <s v="Equipment related expense"/>
    <n v="323909"/>
    <n v="315658"/>
    <n v="-8251"/>
    <s v="Card"/>
    <x v="2"/>
    <x v="2"/>
    <s v="Operating Expense"/>
    <n v="-39.256938552902682"/>
    <x v="10"/>
    <n v="8251"/>
    <x v="0"/>
    <n v="0"/>
  </r>
  <r>
    <s v="T00317"/>
    <s v="2024-11-30"/>
    <x v="1"/>
    <s v="CC105"/>
    <x v="0"/>
    <s v="Utilities related expense"/>
    <n v="485954"/>
    <n v="609932"/>
    <n v="123978"/>
    <s v="Cash"/>
    <x v="3"/>
    <x v="0"/>
    <s v="Capital Expense"/>
    <n v="3.9196792979399571"/>
    <x v="0"/>
    <n v="123978"/>
    <x v="1"/>
    <n v="0"/>
  </r>
  <r>
    <s v="T00318"/>
    <s v="2023-01-02"/>
    <x v="5"/>
    <s v="CC101"/>
    <x v="2"/>
    <s v="Marketing related expense"/>
    <n v="127954"/>
    <n v="139538"/>
    <n v="11584"/>
    <s v="Bank Transfer"/>
    <x v="0"/>
    <x v="2"/>
    <s v="Operating Expense"/>
    <n v="11.04575276243094"/>
    <x v="6"/>
    <n v="11584"/>
    <x v="0"/>
    <n v="0"/>
  </r>
  <r>
    <s v="T00319"/>
    <s v="2024-09-16"/>
    <x v="4"/>
    <s v="CC102"/>
    <x v="3"/>
    <s v="Equipment related expense"/>
    <n v="63780"/>
    <n v="45901"/>
    <n v="-17879"/>
    <s v="Bank Transfer"/>
    <x v="3"/>
    <x v="1"/>
    <s v="Capital Expense"/>
    <n v="-3.5673136081436323"/>
    <x v="2"/>
    <n v="17879"/>
    <x v="1"/>
    <n v="0"/>
  </r>
  <r>
    <s v="T00320"/>
    <s v="2023-11-05"/>
    <x v="3"/>
    <s v="CC105"/>
    <x v="1"/>
    <s v="Maintenance related expense"/>
    <n v="277845"/>
    <n v="241398"/>
    <n v="-36447"/>
    <s v="Cash"/>
    <x v="2"/>
    <x v="3"/>
    <s v="Capital Expense"/>
    <n v="-7.6232611737591576"/>
    <x v="0"/>
    <n v="36447"/>
    <x v="1"/>
    <n v="0"/>
  </r>
  <r>
    <s v="T00321"/>
    <s v="2025-03-16"/>
    <x v="1"/>
    <s v="CC102"/>
    <x v="3"/>
    <s v="Equipment related expense"/>
    <n v="162875"/>
    <n v="196018"/>
    <n v="33143"/>
    <s v="Bank Transfer"/>
    <x v="2"/>
    <x v="3"/>
    <s v="Capital Expense"/>
    <n v="4.9143107141779563"/>
    <x v="7"/>
    <n v="33143"/>
    <x v="1"/>
    <n v="0"/>
  </r>
  <r>
    <s v="T00322"/>
    <s v="2024-12-29"/>
    <x v="4"/>
    <s v="CC105"/>
    <x v="4"/>
    <s v="Salary related expense"/>
    <n v="317318"/>
    <n v="262303"/>
    <n v="-55015"/>
    <s v="Cash"/>
    <x v="4"/>
    <x v="0"/>
    <s v="Capital Expense"/>
    <n v="-5.7678451331455056"/>
    <x v="10"/>
    <n v="55015"/>
    <x v="1"/>
    <n v="0"/>
  </r>
  <r>
    <s v="T00323"/>
    <s v="2024-03-12"/>
    <x v="4"/>
    <s v="CC101"/>
    <x v="3"/>
    <s v="Equipment related expense"/>
    <n v="161420"/>
    <n v="181698"/>
    <n v="20278"/>
    <s v="Cash"/>
    <x v="4"/>
    <x v="2"/>
    <s v="Capital Expense"/>
    <n v="7.9603511194397871"/>
    <x v="7"/>
    <n v="20278"/>
    <x v="1"/>
    <n v="0"/>
  </r>
  <r>
    <s v="T00324"/>
    <s v="2024-07-30"/>
    <x v="1"/>
    <s v="CC105"/>
    <x v="4"/>
    <s v="Salary related expense"/>
    <n v="255513"/>
    <n v="263163"/>
    <n v="7650"/>
    <s v="Card"/>
    <x v="0"/>
    <x v="3"/>
    <s v="Operating Expense"/>
    <n v="33.400392156862743"/>
    <x v="8"/>
    <n v="7650"/>
    <x v="0"/>
    <n v="0"/>
  </r>
  <r>
    <s v="T00325"/>
    <s v="2024-11-23"/>
    <x v="2"/>
    <s v="CC105"/>
    <x v="4"/>
    <s v="Salary related expense"/>
    <n v="458804"/>
    <n v="452955"/>
    <n v="-5849"/>
    <s v="Card"/>
    <x v="3"/>
    <x v="0"/>
    <s v="Capital Expense"/>
    <n v="-78.441442981706274"/>
    <x v="0"/>
    <n v="5849"/>
    <x v="0"/>
    <n v="0"/>
  </r>
  <r>
    <s v="T00326"/>
    <s v="2023-03-08"/>
    <x v="5"/>
    <s v="CC102"/>
    <x v="5"/>
    <s v="Travel related expense"/>
    <n v="114512"/>
    <n v="104406"/>
    <n v="-10106"/>
    <s v="Cash"/>
    <x v="4"/>
    <x v="2"/>
    <s v="Capital Expense"/>
    <n v="-11.331090441321987"/>
    <x v="7"/>
    <n v="10106"/>
    <x v="0"/>
    <n v="0"/>
  </r>
  <r>
    <s v="T00327"/>
    <s v="2023-10-27"/>
    <x v="5"/>
    <s v="CC101"/>
    <x v="3"/>
    <s v="Equipment related expense"/>
    <n v="68464"/>
    <n v="72613"/>
    <n v="4149"/>
    <s v="Card"/>
    <x v="3"/>
    <x v="2"/>
    <s v="Capital Expense"/>
    <n v="16.501325620631476"/>
    <x v="5"/>
    <n v="4149"/>
    <x v="0"/>
    <n v="0"/>
  </r>
  <r>
    <s v="T00328"/>
    <s v="2023-09-25"/>
    <x v="0"/>
    <s v="CC101"/>
    <x v="0"/>
    <s v="Utilities related expense"/>
    <n v="335625"/>
    <n v="272114"/>
    <n v="-63511"/>
    <s v="Card"/>
    <x v="4"/>
    <x v="1"/>
    <s v="Capital Expense"/>
    <n v="-5.2845176426130909"/>
    <x v="2"/>
    <n v="63511"/>
    <x v="1"/>
    <n v="0"/>
  </r>
  <r>
    <s v="T00329"/>
    <s v="2023-07-16"/>
    <x v="0"/>
    <s v="CC103"/>
    <x v="1"/>
    <s v="Maintenance related expense"/>
    <n v="164470"/>
    <n v="186218"/>
    <n v="21748"/>
    <s v="Bank Transfer"/>
    <x v="3"/>
    <x v="1"/>
    <s v="Capital Expense"/>
    <n v="7.5625344859297403"/>
    <x v="8"/>
    <n v="21748"/>
    <x v="1"/>
    <n v="0"/>
  </r>
  <r>
    <s v="T00330"/>
    <s v="2024-07-29"/>
    <x v="2"/>
    <s v="CC103"/>
    <x v="4"/>
    <s v="Salary related expense"/>
    <n v="368222"/>
    <n v="465305"/>
    <n v="97083"/>
    <s v="Card"/>
    <x v="4"/>
    <x v="2"/>
    <s v="Operating Expense"/>
    <n v="3.7928576578803703"/>
    <x v="8"/>
    <n v="97083"/>
    <x v="1"/>
    <n v="0"/>
  </r>
  <r>
    <s v="T00331"/>
    <s v="2024-02-20"/>
    <x v="1"/>
    <s v="CC104"/>
    <x v="3"/>
    <s v="Equipment related expense"/>
    <n v="485338"/>
    <n v="421054"/>
    <n v="-64284"/>
    <s v="Card"/>
    <x v="0"/>
    <x v="0"/>
    <s v="Capital Expense"/>
    <n v="-7.5499035529836354"/>
    <x v="4"/>
    <n v="64284"/>
    <x v="1"/>
    <n v="0"/>
  </r>
  <r>
    <s v="T00332"/>
    <s v="2024-03-20"/>
    <x v="4"/>
    <s v="CC102"/>
    <x v="0"/>
    <s v="Utilities related expense"/>
    <n v="290957"/>
    <n v="351194"/>
    <n v="60237"/>
    <s v="Card"/>
    <x v="0"/>
    <x v="1"/>
    <s v="Capital Expense"/>
    <n v="4.8302040274250047"/>
    <x v="7"/>
    <n v="60237"/>
    <x v="1"/>
    <n v="0"/>
  </r>
  <r>
    <s v="T00333"/>
    <s v="2024-08-07"/>
    <x v="4"/>
    <s v="CC105"/>
    <x v="1"/>
    <s v="Maintenance related expense"/>
    <n v="63479"/>
    <n v="44469"/>
    <n v="-19010"/>
    <s v="Card"/>
    <x v="4"/>
    <x v="0"/>
    <s v="Operating Expense"/>
    <n v="-3.3392425039452918"/>
    <x v="3"/>
    <n v="19010"/>
    <x v="1"/>
    <n v="0"/>
  </r>
  <r>
    <s v="T00334"/>
    <s v="2024-12-06"/>
    <x v="2"/>
    <s v="CC105"/>
    <x v="1"/>
    <s v="Maintenance related expense"/>
    <n v="102207"/>
    <n v="133022"/>
    <n v="30815"/>
    <s v="Bank Transfer"/>
    <x v="2"/>
    <x v="2"/>
    <s v="Capital Expense"/>
    <n v="3.3167937692682137"/>
    <x v="10"/>
    <n v="30815"/>
    <x v="1"/>
    <n v="0"/>
  </r>
  <r>
    <s v="T00335"/>
    <s v="2023-05-08"/>
    <x v="1"/>
    <s v="CC104"/>
    <x v="4"/>
    <s v="Salary related expense"/>
    <n v="296026"/>
    <n v="223743"/>
    <n v="-72283"/>
    <s v="Cash"/>
    <x v="1"/>
    <x v="1"/>
    <s v="Capital Expense"/>
    <n v="-4.0953751227812898"/>
    <x v="11"/>
    <n v="72283"/>
    <x v="1"/>
    <n v="0"/>
  </r>
  <r>
    <s v="T00336"/>
    <s v="2024-04-24"/>
    <x v="4"/>
    <s v="CC103"/>
    <x v="0"/>
    <s v="Utilities related expense"/>
    <n v="133568"/>
    <n v="126629"/>
    <n v="-6939"/>
    <s v="Card"/>
    <x v="4"/>
    <x v="0"/>
    <s v="Operating Expense"/>
    <n v="-19.248883124369506"/>
    <x v="9"/>
    <n v="6939"/>
    <x v="0"/>
    <n v="0"/>
  </r>
  <r>
    <s v="T00337"/>
    <s v="2024-07-25"/>
    <x v="0"/>
    <s v="CC103"/>
    <x v="5"/>
    <s v="Travel related expense"/>
    <n v="420261"/>
    <n v="351448"/>
    <n v="-68813"/>
    <s v="Cash"/>
    <x v="2"/>
    <x v="2"/>
    <s v="Operating Expense"/>
    <n v="-6.1072907735456967"/>
    <x v="8"/>
    <n v="68813"/>
    <x v="1"/>
    <n v="0"/>
  </r>
  <r>
    <s v="T00338"/>
    <s v="2024-02-10"/>
    <x v="0"/>
    <s v="CC103"/>
    <x v="0"/>
    <s v="Utilities related expense"/>
    <n v="465634"/>
    <n v="377305"/>
    <n v="-88329"/>
    <s v="Bank Transfer"/>
    <x v="3"/>
    <x v="1"/>
    <s v="Operating Expense"/>
    <n v="-5.2715869080369977"/>
    <x v="4"/>
    <n v="88329"/>
    <x v="1"/>
    <n v="0"/>
  </r>
  <r>
    <s v="T00339"/>
    <s v="2024-04-07"/>
    <x v="3"/>
    <s v="CC104"/>
    <x v="1"/>
    <s v="Maintenance related expense"/>
    <n v="69558"/>
    <n v="79236"/>
    <n v="9678"/>
    <s v="Card"/>
    <x v="3"/>
    <x v="1"/>
    <s v="Operating Expense"/>
    <n v="7.187228766274024"/>
    <x v="9"/>
    <n v="9678"/>
    <x v="0"/>
    <n v="0"/>
  </r>
  <r>
    <s v="T00340"/>
    <s v="2024-09-29"/>
    <x v="2"/>
    <s v="CC101"/>
    <x v="1"/>
    <s v="Maintenance related expense"/>
    <n v="474731"/>
    <n v="378768"/>
    <n v="-95963"/>
    <s v="Cash"/>
    <x v="1"/>
    <x v="2"/>
    <s v="Operating Expense"/>
    <n v="-4.9470212477725788"/>
    <x v="2"/>
    <n v="95963"/>
    <x v="1"/>
    <n v="0"/>
  </r>
  <r>
    <s v="T00341"/>
    <s v="2023-07-25"/>
    <x v="1"/>
    <s v="CC101"/>
    <x v="3"/>
    <s v="Equipment related expense"/>
    <n v="469153"/>
    <n v="521232"/>
    <n v="52079"/>
    <s v="Cash"/>
    <x v="1"/>
    <x v="1"/>
    <s v="Operating Expense"/>
    <n v="9.0084871061272302"/>
    <x v="8"/>
    <n v="52079"/>
    <x v="1"/>
    <n v="0"/>
  </r>
  <r>
    <s v="T00342"/>
    <s v="2024-06-22"/>
    <x v="3"/>
    <s v="CC102"/>
    <x v="3"/>
    <s v="Equipment related expense"/>
    <n v="373555"/>
    <n v="262078"/>
    <n v="-111477"/>
    <s v="Card"/>
    <x v="2"/>
    <x v="3"/>
    <s v="Operating Expense"/>
    <n v="-3.3509602877723657"/>
    <x v="1"/>
    <n v="111477"/>
    <x v="1"/>
    <n v="0"/>
  </r>
  <r>
    <s v="T00343"/>
    <s v="2024-02-26"/>
    <x v="5"/>
    <s v="CC102"/>
    <x v="1"/>
    <s v="Maintenance related expense"/>
    <n v="392204"/>
    <n v="517946"/>
    <n v="125742"/>
    <s v="Card"/>
    <x v="0"/>
    <x v="2"/>
    <s v="Capital Expense"/>
    <n v="3.1191169219512971"/>
    <x v="4"/>
    <n v="125742"/>
    <x v="1"/>
    <n v="0"/>
  </r>
  <r>
    <s v="T00344"/>
    <s v="2023-01-25"/>
    <x v="0"/>
    <s v="CC103"/>
    <x v="2"/>
    <s v="Marketing related expense"/>
    <n v="464911"/>
    <n v="341782"/>
    <n v="-123129"/>
    <s v="Bank Transfer"/>
    <x v="0"/>
    <x v="2"/>
    <s v="Capital Expense"/>
    <n v="-3.7758042378318675"/>
    <x v="6"/>
    <n v="123129"/>
    <x v="1"/>
    <n v="0"/>
  </r>
  <r>
    <s v="T00345"/>
    <s v="2025-01-12"/>
    <x v="2"/>
    <s v="CC105"/>
    <x v="1"/>
    <s v="Maintenance related expense"/>
    <n v="457602"/>
    <n v="545209"/>
    <n v="87607"/>
    <s v="Cash"/>
    <x v="0"/>
    <x v="3"/>
    <s v="Operating Expense"/>
    <n v="5.2233497323273257"/>
    <x v="6"/>
    <n v="87607"/>
    <x v="1"/>
    <n v="0"/>
  </r>
  <r>
    <s v="T00346"/>
    <s v="2025-02-24"/>
    <x v="0"/>
    <s v="CC101"/>
    <x v="3"/>
    <s v="Equipment related expense"/>
    <n v="300249"/>
    <n v="393280"/>
    <n v="93031"/>
    <s v="Bank Transfer"/>
    <x v="3"/>
    <x v="1"/>
    <s v="Operating Expense"/>
    <n v="3.2274080682783159"/>
    <x v="4"/>
    <n v="93031"/>
    <x v="1"/>
    <n v="0"/>
  </r>
  <r>
    <s v="T00347"/>
    <s v="2025-06-13"/>
    <x v="0"/>
    <s v="CC104"/>
    <x v="3"/>
    <s v="Equipment related expense"/>
    <n v="320762"/>
    <n v="437897"/>
    <n v="117135"/>
    <s v="Bank Transfer"/>
    <x v="4"/>
    <x v="3"/>
    <s v="Capital Expense"/>
    <n v="2.7383958680155378"/>
    <x v="1"/>
    <n v="117135"/>
    <x v="1"/>
    <n v="0"/>
  </r>
  <r>
    <s v="T00348"/>
    <s v="2025-02-03"/>
    <x v="5"/>
    <s v="CC105"/>
    <x v="3"/>
    <s v="Equipment related expense"/>
    <n v="198602"/>
    <n v="275275"/>
    <n v="76673"/>
    <s v="Cash"/>
    <x v="0"/>
    <x v="1"/>
    <s v="Capital Expense"/>
    <n v="2.5902468926479987"/>
    <x v="4"/>
    <n v="76673"/>
    <x v="1"/>
    <n v="0"/>
  </r>
  <r>
    <s v="T00349"/>
    <s v="2023-11-28"/>
    <x v="0"/>
    <s v="CC104"/>
    <x v="1"/>
    <s v="Maintenance related expense"/>
    <n v="187141"/>
    <n v="150562"/>
    <n v="-36579"/>
    <s v="Cash"/>
    <x v="4"/>
    <x v="3"/>
    <s v="Operating Expense"/>
    <n v="-5.1160775308236968"/>
    <x v="0"/>
    <n v="36579"/>
    <x v="1"/>
    <n v="0"/>
  </r>
  <r>
    <s v="T00350"/>
    <s v="2023-09-09"/>
    <x v="4"/>
    <s v="CC105"/>
    <x v="5"/>
    <s v="Travel related expense"/>
    <n v="298107"/>
    <n v="362910"/>
    <n v="64803"/>
    <s v="Cash"/>
    <x v="1"/>
    <x v="3"/>
    <s v="Operating Expense"/>
    <n v="4.6002036942734135"/>
    <x v="2"/>
    <n v="64803"/>
    <x v="1"/>
    <n v="0"/>
  </r>
  <r>
    <s v="T00351"/>
    <s v="2025-04-02"/>
    <x v="1"/>
    <s v="CC103"/>
    <x v="3"/>
    <s v="Equipment related expense"/>
    <n v="373324"/>
    <n v="368564"/>
    <n v="-4760"/>
    <s v="Cash"/>
    <x v="4"/>
    <x v="3"/>
    <s v="Capital Expense"/>
    <n v="-78.429411764705875"/>
    <x v="9"/>
    <n v="4760"/>
    <x v="0"/>
    <n v="0"/>
  </r>
  <r>
    <s v="T00352"/>
    <s v="2023-10-15"/>
    <x v="4"/>
    <s v="CC103"/>
    <x v="1"/>
    <s v="Maintenance related expense"/>
    <n v="118897"/>
    <n v="150196"/>
    <n v="31299"/>
    <s v="Cash"/>
    <x v="0"/>
    <x v="1"/>
    <s v="Capital Expense"/>
    <n v="3.7987475638199304"/>
    <x v="5"/>
    <n v="31299"/>
    <x v="1"/>
    <n v="0"/>
  </r>
  <r>
    <s v="T00353"/>
    <s v="2023-08-19"/>
    <x v="1"/>
    <s v="CC105"/>
    <x v="4"/>
    <s v="Salary related expense"/>
    <n v="87501"/>
    <n v="105013"/>
    <n v="17512"/>
    <s v="Bank Transfer"/>
    <x v="1"/>
    <x v="1"/>
    <s v="Operating Expense"/>
    <n v="4.9966308816811331"/>
    <x v="3"/>
    <n v="17512"/>
    <x v="1"/>
    <n v="0"/>
  </r>
  <r>
    <s v="T00354"/>
    <s v="2025-02-16"/>
    <x v="1"/>
    <s v="CC105"/>
    <x v="0"/>
    <s v="Utilities related expense"/>
    <n v="496350"/>
    <n v="473685"/>
    <n v="-22665"/>
    <s v="Cash"/>
    <x v="2"/>
    <x v="2"/>
    <s v="Capital Expense"/>
    <n v="-21.899404367968234"/>
    <x v="4"/>
    <n v="22665"/>
    <x v="1"/>
    <n v="0"/>
  </r>
  <r>
    <s v="T00355"/>
    <s v="2023-09-14"/>
    <x v="1"/>
    <s v="CC102"/>
    <x v="3"/>
    <s v="Equipment related expense"/>
    <n v="448298"/>
    <n v="360386"/>
    <n v="-87912"/>
    <s v="Card"/>
    <x v="1"/>
    <x v="1"/>
    <s v="Capital Expense"/>
    <n v="-5.0993948493948498"/>
    <x v="2"/>
    <n v="87912"/>
    <x v="1"/>
    <n v="0"/>
  </r>
  <r>
    <s v="T00356"/>
    <s v="2023-11-27"/>
    <x v="4"/>
    <s v="CC101"/>
    <x v="0"/>
    <s v="Utilities related expense"/>
    <n v="292944"/>
    <n v="247405"/>
    <n v="-45539"/>
    <s v="Cash"/>
    <x v="4"/>
    <x v="1"/>
    <s v="Capital Expense"/>
    <n v="-6.4328158281912211"/>
    <x v="0"/>
    <n v="45539"/>
    <x v="1"/>
    <n v="0"/>
  </r>
  <r>
    <s v="T00357"/>
    <s v="2025-05-09"/>
    <x v="3"/>
    <s v="CC102"/>
    <x v="3"/>
    <s v="Equipment related expense"/>
    <n v="163295"/>
    <n v="193246"/>
    <n v="29951"/>
    <s v="Card"/>
    <x v="1"/>
    <x v="2"/>
    <s v="Operating Expense"/>
    <n v="5.4520717171379918"/>
    <x v="11"/>
    <n v="29951"/>
    <x v="1"/>
    <n v="0"/>
  </r>
  <r>
    <s v="T00358"/>
    <s v="2025-04-10"/>
    <x v="0"/>
    <s v="CC105"/>
    <x v="4"/>
    <s v="Salary related expense"/>
    <n v="90725"/>
    <n v="67466"/>
    <n v="-23259"/>
    <s v="Cash"/>
    <x v="4"/>
    <x v="3"/>
    <s v="Operating Expense"/>
    <n v="-3.9006406122361237"/>
    <x v="9"/>
    <n v="23259"/>
    <x v="1"/>
    <n v="0"/>
  </r>
  <r>
    <s v="T00359"/>
    <s v="2024-04-05"/>
    <x v="2"/>
    <s v="CC105"/>
    <x v="4"/>
    <s v="Salary related expense"/>
    <n v="256251"/>
    <n v="281320"/>
    <n v="25069"/>
    <s v="Bank Transfer"/>
    <x v="0"/>
    <x v="3"/>
    <s v="Capital Expense"/>
    <n v="10.221827755395109"/>
    <x v="9"/>
    <n v="25069"/>
    <x v="1"/>
    <n v="0"/>
  </r>
  <r>
    <s v="T00360"/>
    <s v="2024-09-27"/>
    <x v="3"/>
    <s v="CC105"/>
    <x v="3"/>
    <s v="Equipment related expense"/>
    <n v="358057"/>
    <n v="363059"/>
    <n v="5002"/>
    <s v="Cash"/>
    <x v="3"/>
    <x v="0"/>
    <s v="Capital Expense"/>
    <n v="71.582766893242706"/>
    <x v="2"/>
    <n v="5002"/>
    <x v="0"/>
    <n v="0"/>
  </r>
  <r>
    <s v="T00361"/>
    <s v="2024-04-30"/>
    <x v="1"/>
    <s v="CC104"/>
    <x v="2"/>
    <s v="Marketing related expense"/>
    <n v="452796"/>
    <n v="600409"/>
    <n v="147613"/>
    <s v="Bank Transfer"/>
    <x v="3"/>
    <x v="1"/>
    <s v="Operating Expense"/>
    <n v="3.0674534085751257"/>
    <x v="9"/>
    <n v="147613"/>
    <x v="1"/>
    <n v="0"/>
  </r>
  <r>
    <s v="T00362"/>
    <s v="2023-10-28"/>
    <x v="4"/>
    <s v="CC104"/>
    <x v="3"/>
    <s v="Equipment related expense"/>
    <n v="332769"/>
    <n v="268899"/>
    <n v="-63870"/>
    <s v="Card"/>
    <x v="0"/>
    <x v="3"/>
    <s v="Operating Expense"/>
    <n v="-5.2100986378581498"/>
    <x v="5"/>
    <n v="63870"/>
    <x v="1"/>
    <n v="0"/>
  </r>
  <r>
    <s v="T00363"/>
    <s v="2024-03-28"/>
    <x v="5"/>
    <s v="CC104"/>
    <x v="1"/>
    <s v="Maintenance related expense"/>
    <n v="417258"/>
    <n v="564787"/>
    <n v="147529"/>
    <s v="Bank Transfer"/>
    <x v="3"/>
    <x v="1"/>
    <s v="Operating Expense"/>
    <n v="2.8283117217631788"/>
    <x v="7"/>
    <n v="147529"/>
    <x v="1"/>
    <n v="0"/>
  </r>
  <r>
    <s v="T00364"/>
    <s v="2024-07-18"/>
    <x v="1"/>
    <s v="CC102"/>
    <x v="0"/>
    <s v="Utilities related expense"/>
    <n v="484508"/>
    <n v="558729"/>
    <n v="74221"/>
    <s v="Bank Transfer"/>
    <x v="0"/>
    <x v="1"/>
    <s v="Operating Expense"/>
    <n v="6.5279098907317339"/>
    <x v="8"/>
    <n v="74221"/>
    <x v="1"/>
    <n v="0"/>
  </r>
  <r>
    <s v="T00365"/>
    <s v="2024-06-19"/>
    <x v="5"/>
    <s v="CC102"/>
    <x v="0"/>
    <s v="Utilities related expense"/>
    <n v="169087"/>
    <n v="217732"/>
    <n v="48645"/>
    <s v="Bank Transfer"/>
    <x v="1"/>
    <x v="1"/>
    <s v="Capital Expense"/>
    <n v="3.4759379175660396"/>
    <x v="1"/>
    <n v="48645"/>
    <x v="1"/>
    <n v="0"/>
  </r>
  <r>
    <s v="T00366"/>
    <s v="2023-12-19"/>
    <x v="0"/>
    <s v="CC102"/>
    <x v="5"/>
    <s v="Travel related expense"/>
    <n v="246241"/>
    <n v="314301"/>
    <n v="68060"/>
    <s v="Cash"/>
    <x v="2"/>
    <x v="1"/>
    <s v="Operating Expense"/>
    <n v="3.6179988245665591"/>
    <x v="10"/>
    <n v="68060"/>
    <x v="1"/>
    <n v="0"/>
  </r>
  <r>
    <s v="T00367"/>
    <s v="2024-05-04"/>
    <x v="1"/>
    <s v="CC104"/>
    <x v="3"/>
    <s v="Equipment related expense"/>
    <n v="123055"/>
    <n v="152906"/>
    <n v="29851"/>
    <s v="Bank Transfer"/>
    <x v="1"/>
    <x v="0"/>
    <s v="Operating Expense"/>
    <n v="4.1223074603865868"/>
    <x v="11"/>
    <n v="29851"/>
    <x v="1"/>
    <n v="0"/>
  </r>
  <r>
    <s v="T00368"/>
    <s v="2023-06-14"/>
    <x v="1"/>
    <s v="CC103"/>
    <x v="1"/>
    <s v="Maintenance related expense"/>
    <n v="122495"/>
    <n v="114381"/>
    <n v="-8114"/>
    <s v="Bank Transfer"/>
    <x v="0"/>
    <x v="2"/>
    <s v="Capital Expense"/>
    <n v="-15.096746364308602"/>
    <x v="1"/>
    <n v="8114"/>
    <x v="0"/>
    <n v="0"/>
  </r>
  <r>
    <s v="T00369"/>
    <s v="2024-11-05"/>
    <x v="5"/>
    <s v="CC101"/>
    <x v="0"/>
    <s v="Utilities related expense"/>
    <n v="50670"/>
    <n v="43285"/>
    <n v="-7385"/>
    <s v="Bank Transfer"/>
    <x v="3"/>
    <x v="2"/>
    <s v="Operating Expense"/>
    <n v="-6.8612051455653349"/>
    <x v="0"/>
    <n v="7385"/>
    <x v="0"/>
    <n v="0"/>
  </r>
  <r>
    <s v="T00370"/>
    <s v="2024-09-30"/>
    <x v="0"/>
    <s v="CC103"/>
    <x v="0"/>
    <s v="Utilities related expense"/>
    <n v="430211"/>
    <n v="382345"/>
    <n v="-47866"/>
    <s v="Bank Transfer"/>
    <x v="2"/>
    <x v="0"/>
    <s v="Operating Expense"/>
    <n v="-8.9878201646262479"/>
    <x v="2"/>
    <n v="47866"/>
    <x v="1"/>
    <n v="0"/>
  </r>
  <r>
    <s v="T00371"/>
    <s v="2024-12-19"/>
    <x v="4"/>
    <s v="CC103"/>
    <x v="3"/>
    <s v="Equipment related expense"/>
    <n v="485376"/>
    <n v="502753"/>
    <n v="17377"/>
    <s v="Bank Transfer"/>
    <x v="0"/>
    <x v="2"/>
    <s v="Operating Expense"/>
    <n v="27.932094147436267"/>
    <x v="10"/>
    <n v="17377"/>
    <x v="1"/>
    <n v="0"/>
  </r>
  <r>
    <s v="T00372"/>
    <s v="2024-03-10"/>
    <x v="2"/>
    <s v="CC101"/>
    <x v="3"/>
    <s v="Equipment related expense"/>
    <n v="220619"/>
    <n v="163891"/>
    <n v="-56728"/>
    <s v="Cash"/>
    <x v="3"/>
    <x v="0"/>
    <s v="Operating Expense"/>
    <n v="-3.8890671273445214"/>
    <x v="7"/>
    <n v="56728"/>
    <x v="1"/>
    <n v="0"/>
  </r>
  <r>
    <s v="T00373"/>
    <s v="2023-05-05"/>
    <x v="2"/>
    <s v="CC103"/>
    <x v="4"/>
    <s v="Salary related expense"/>
    <n v="95682"/>
    <n v="93869"/>
    <n v="-1813"/>
    <s v="Bank Transfer"/>
    <x v="0"/>
    <x v="0"/>
    <s v="Capital Expense"/>
    <n v="-52.775510204081634"/>
    <x v="11"/>
    <n v="1813"/>
    <x v="0"/>
    <n v="0"/>
  </r>
  <r>
    <s v="T00374"/>
    <s v="2025-01-19"/>
    <x v="1"/>
    <s v="CC103"/>
    <x v="1"/>
    <s v="Maintenance related expense"/>
    <n v="150315"/>
    <n v="149975"/>
    <n v="-340"/>
    <s v="Bank Transfer"/>
    <x v="0"/>
    <x v="3"/>
    <s v="Capital Expense"/>
    <n v="-442.10294117647061"/>
    <x v="6"/>
    <n v="340"/>
    <x v="0"/>
    <n v="0"/>
  </r>
  <r>
    <s v="T00375"/>
    <s v="2025-01-30"/>
    <x v="1"/>
    <s v="CC105"/>
    <x v="5"/>
    <s v="Travel related expense"/>
    <n v="381857"/>
    <n v="355574"/>
    <n v="-26283"/>
    <s v="Card"/>
    <x v="2"/>
    <x v="3"/>
    <s v="Operating Expense"/>
    <n v="-14.528668721226648"/>
    <x v="6"/>
    <n v="26283"/>
    <x v="1"/>
    <n v="0"/>
  </r>
  <r>
    <s v="T00376"/>
    <s v="2025-03-17"/>
    <x v="1"/>
    <s v="CC102"/>
    <x v="1"/>
    <s v="Maintenance related expense"/>
    <n v="174284"/>
    <n v="222699"/>
    <n v="48415"/>
    <s v="Bank Transfer"/>
    <x v="1"/>
    <x v="0"/>
    <s v="Operating Expense"/>
    <n v="3.5997934524424249"/>
    <x v="7"/>
    <n v="48415"/>
    <x v="1"/>
    <n v="0"/>
  </r>
  <r>
    <s v="T00377"/>
    <s v="2024-05-19"/>
    <x v="3"/>
    <s v="CC104"/>
    <x v="3"/>
    <s v="Equipment related expense"/>
    <n v="180140"/>
    <n v="150528"/>
    <n v="-29612"/>
    <s v="Cash"/>
    <x v="0"/>
    <x v="0"/>
    <s v="Operating Expense"/>
    <n v="-6.0833445900310688"/>
    <x v="11"/>
    <n v="29612"/>
    <x v="1"/>
    <n v="0"/>
  </r>
  <r>
    <s v="T00378"/>
    <s v="2024-11-04"/>
    <x v="3"/>
    <s v="CC104"/>
    <x v="5"/>
    <s v="Travel related expense"/>
    <n v="266831"/>
    <n v="324404"/>
    <n v="57573"/>
    <s v="Bank Transfer"/>
    <x v="3"/>
    <x v="3"/>
    <s v="Capital Expense"/>
    <n v="4.6346551334827089"/>
    <x v="0"/>
    <n v="57573"/>
    <x v="1"/>
    <n v="0"/>
  </r>
  <r>
    <s v="T00379"/>
    <s v="2023-05-03"/>
    <x v="4"/>
    <s v="CC101"/>
    <x v="4"/>
    <s v="Salary related expense"/>
    <n v="163883"/>
    <n v="115301"/>
    <n v="-48582"/>
    <s v="Card"/>
    <x v="4"/>
    <x v="3"/>
    <s v="Capital Expense"/>
    <n v="-3.3733275698818495"/>
    <x v="11"/>
    <n v="48582"/>
    <x v="1"/>
    <n v="0"/>
  </r>
  <r>
    <s v="T00380"/>
    <s v="2023-01-25"/>
    <x v="3"/>
    <s v="CC104"/>
    <x v="5"/>
    <s v="Travel related expense"/>
    <n v="171211"/>
    <n v="228585"/>
    <n v="57374"/>
    <s v="Bank Transfer"/>
    <x v="4"/>
    <x v="2"/>
    <s v="Operating Expense"/>
    <n v="2.9841217276118104"/>
    <x v="6"/>
    <n v="57374"/>
    <x v="1"/>
    <n v="0"/>
  </r>
  <r>
    <s v="T00381"/>
    <s v="2023-01-25"/>
    <x v="3"/>
    <s v="CC101"/>
    <x v="0"/>
    <s v="Utilities related expense"/>
    <n v="140730"/>
    <n v="192595"/>
    <n v="51865"/>
    <s v="Bank Transfer"/>
    <x v="2"/>
    <x v="0"/>
    <s v="Capital Expense"/>
    <n v="2.7133905331148171"/>
    <x v="6"/>
    <n v="51865"/>
    <x v="1"/>
    <n v="0"/>
  </r>
  <r>
    <s v="T00382"/>
    <s v="2025-04-04"/>
    <x v="5"/>
    <s v="CC101"/>
    <x v="3"/>
    <s v="Equipment related expense"/>
    <n v="240093"/>
    <n v="316078"/>
    <n v="75985"/>
    <s v="Bank Transfer"/>
    <x v="2"/>
    <x v="3"/>
    <s v="Operating Expense"/>
    <n v="3.159742054352833"/>
    <x v="9"/>
    <n v="75985"/>
    <x v="1"/>
    <n v="0"/>
  </r>
  <r>
    <s v="T00383"/>
    <s v="2025-03-09"/>
    <x v="3"/>
    <s v="CC101"/>
    <x v="0"/>
    <s v="Utilities related expense"/>
    <n v="431185"/>
    <n v="589059"/>
    <n v="157874"/>
    <s v="Bank Transfer"/>
    <x v="4"/>
    <x v="0"/>
    <s v="Capital Expense"/>
    <n v="2.7311970305433446"/>
    <x v="7"/>
    <n v="157874"/>
    <x v="1"/>
    <n v="0"/>
  </r>
  <r>
    <s v="T00384"/>
    <s v="2023-09-18"/>
    <x v="5"/>
    <s v="CC105"/>
    <x v="4"/>
    <s v="Salary related expense"/>
    <n v="341943"/>
    <n v="247631"/>
    <n v="-94312"/>
    <s v="Bank Transfer"/>
    <x v="3"/>
    <x v="3"/>
    <s v="Capital Expense"/>
    <n v="-3.6256573924845195"/>
    <x v="2"/>
    <n v="94312"/>
    <x v="1"/>
    <n v="0"/>
  </r>
  <r>
    <s v="T00385"/>
    <s v="2023-03-31"/>
    <x v="0"/>
    <s v="CC103"/>
    <x v="3"/>
    <s v="Equipment related expense"/>
    <n v="221650"/>
    <n v="253010"/>
    <n v="31360"/>
    <s v="Bank Transfer"/>
    <x v="0"/>
    <x v="2"/>
    <s v="Capital Expense"/>
    <n v="7.0679209183673466"/>
    <x v="7"/>
    <n v="31360"/>
    <x v="1"/>
    <n v="0"/>
  </r>
  <r>
    <s v="T00386"/>
    <s v="2023-09-26"/>
    <x v="5"/>
    <s v="CC104"/>
    <x v="1"/>
    <s v="Maintenance related expense"/>
    <n v="159469"/>
    <n v="139681"/>
    <n v="-19788"/>
    <s v="Cash"/>
    <x v="3"/>
    <x v="1"/>
    <s v="Operating Expense"/>
    <n v="-8.0588740650899542"/>
    <x v="2"/>
    <n v="19788"/>
    <x v="1"/>
    <n v="0"/>
  </r>
  <r>
    <s v="T00387"/>
    <s v="2025-05-26"/>
    <x v="3"/>
    <s v="CC101"/>
    <x v="4"/>
    <s v="Salary related expense"/>
    <n v="422394"/>
    <n v="548844"/>
    <n v="126450"/>
    <s v="Cash"/>
    <x v="4"/>
    <x v="3"/>
    <s v="Operating Expense"/>
    <n v="3.3404033214709372"/>
    <x v="11"/>
    <n v="126450"/>
    <x v="1"/>
    <n v="0"/>
  </r>
  <r>
    <s v="T00388"/>
    <s v="2025-01-03"/>
    <x v="3"/>
    <s v="CC103"/>
    <x v="4"/>
    <s v="Salary related expense"/>
    <n v="303169"/>
    <n v="387819"/>
    <n v="84650"/>
    <s v="Bank Transfer"/>
    <x v="3"/>
    <x v="3"/>
    <s v="Operating Expense"/>
    <n v="3.5814412285883046"/>
    <x v="6"/>
    <n v="84650"/>
    <x v="1"/>
    <n v="0"/>
  </r>
  <r>
    <s v="T00389"/>
    <s v="2025-04-10"/>
    <x v="2"/>
    <s v="CC103"/>
    <x v="2"/>
    <s v="Marketing related expense"/>
    <n v="107253"/>
    <n v="92489"/>
    <n v="-14764"/>
    <s v="Card"/>
    <x v="1"/>
    <x v="3"/>
    <s v="Capital Expense"/>
    <n v="-7.2644947168788949"/>
    <x v="9"/>
    <n v="14764"/>
    <x v="0"/>
    <n v="0"/>
  </r>
  <r>
    <s v="T00390"/>
    <s v="2023-02-11"/>
    <x v="0"/>
    <s v="CC105"/>
    <x v="4"/>
    <s v="Salary related expense"/>
    <n v="428681"/>
    <n v="331800"/>
    <n v="-96881"/>
    <s v="Card"/>
    <x v="1"/>
    <x v="2"/>
    <s v="Capital Expense"/>
    <n v="-4.4248201401719633"/>
    <x v="4"/>
    <n v="96881"/>
    <x v="1"/>
    <n v="0"/>
  </r>
  <r>
    <s v="T00391"/>
    <s v="2024-09-11"/>
    <x v="1"/>
    <s v="CC104"/>
    <x v="3"/>
    <s v="Equipment related expense"/>
    <n v="412066"/>
    <n v="456534"/>
    <n v="44468"/>
    <s v="Card"/>
    <x v="1"/>
    <x v="0"/>
    <s v="Operating Expense"/>
    <n v="9.2665737159305568"/>
    <x v="2"/>
    <n v="44468"/>
    <x v="1"/>
    <n v="0"/>
  </r>
  <r>
    <s v="T00392"/>
    <s v="2023-08-04"/>
    <x v="1"/>
    <s v="CC101"/>
    <x v="1"/>
    <s v="Maintenance related expense"/>
    <n v="240743"/>
    <n v="294891"/>
    <n v="54148"/>
    <s v="Bank Transfer"/>
    <x v="4"/>
    <x v="3"/>
    <s v="Capital Expense"/>
    <n v="4.4460183201595624"/>
    <x v="3"/>
    <n v="54148"/>
    <x v="1"/>
    <n v="0"/>
  </r>
  <r>
    <s v="T00393"/>
    <s v="2024-08-21"/>
    <x v="3"/>
    <s v="CC105"/>
    <x v="2"/>
    <s v="Marketing related expense"/>
    <n v="302006"/>
    <n v="212714"/>
    <n v="-89292"/>
    <s v="Bank Transfer"/>
    <x v="2"/>
    <x v="0"/>
    <s v="Operating Expense"/>
    <n v="-3.3822290910719883"/>
    <x v="3"/>
    <n v="89292"/>
    <x v="1"/>
    <n v="0"/>
  </r>
  <r>
    <s v="T00394"/>
    <s v="2023-05-29"/>
    <x v="5"/>
    <s v="CC105"/>
    <x v="0"/>
    <s v="Utilities related expense"/>
    <n v="146739"/>
    <n v="139970"/>
    <n v="-6769"/>
    <s v="Card"/>
    <x v="4"/>
    <x v="2"/>
    <s v="Capital Expense"/>
    <n v="-21.678091298566997"/>
    <x v="11"/>
    <n v="6769"/>
    <x v="0"/>
    <n v="0"/>
  </r>
  <r>
    <s v="T00395"/>
    <s v="2023-08-23"/>
    <x v="5"/>
    <s v="CC102"/>
    <x v="0"/>
    <s v="Utilities related expense"/>
    <n v="336961"/>
    <n v="275338"/>
    <n v="-61623"/>
    <s v="Cash"/>
    <x v="3"/>
    <x v="3"/>
    <s v="Operating Expense"/>
    <n v="-5.4681044415234572"/>
    <x v="3"/>
    <n v="61623"/>
    <x v="1"/>
    <n v="0"/>
  </r>
  <r>
    <s v="T00396"/>
    <s v="2023-09-13"/>
    <x v="2"/>
    <s v="CC105"/>
    <x v="1"/>
    <s v="Maintenance related expense"/>
    <n v="480105"/>
    <n v="618673"/>
    <n v="138568"/>
    <s v="Cash"/>
    <x v="1"/>
    <x v="0"/>
    <s v="Capital Expense"/>
    <n v="3.4647609837769182"/>
    <x v="2"/>
    <n v="138568"/>
    <x v="1"/>
    <n v="0"/>
  </r>
  <r>
    <s v="T00397"/>
    <s v="2024-01-26"/>
    <x v="2"/>
    <s v="CC102"/>
    <x v="0"/>
    <s v="Utilities related expense"/>
    <n v="382388"/>
    <n v="402104"/>
    <n v="19716"/>
    <s v="Cash"/>
    <x v="2"/>
    <x v="0"/>
    <s v="Capital Expense"/>
    <n v="19.394806248731996"/>
    <x v="6"/>
    <n v="19716"/>
    <x v="1"/>
    <n v="0"/>
  </r>
  <r>
    <s v="T00398"/>
    <s v="2025-05-04"/>
    <x v="0"/>
    <s v="CC104"/>
    <x v="1"/>
    <s v="Maintenance related expense"/>
    <n v="73154"/>
    <n v="97950"/>
    <n v="24796"/>
    <s v="Bank Transfer"/>
    <x v="1"/>
    <x v="0"/>
    <s v="Capital Expense"/>
    <n v="2.9502339086949507"/>
    <x v="11"/>
    <n v="24796"/>
    <x v="1"/>
    <n v="0"/>
  </r>
  <r>
    <s v="T00399"/>
    <s v="2025-05-07"/>
    <x v="5"/>
    <s v="CC104"/>
    <x v="4"/>
    <s v="Salary related expense"/>
    <n v="72533"/>
    <n v="77623"/>
    <n v="5090"/>
    <s v="Card"/>
    <x v="0"/>
    <x v="2"/>
    <s v="Capital Expense"/>
    <n v="14.250098231827112"/>
    <x v="11"/>
    <n v="5090"/>
    <x v="0"/>
    <n v="0"/>
  </r>
  <r>
    <s v="T00400"/>
    <s v="2024-03-24"/>
    <x v="5"/>
    <s v="CC104"/>
    <x v="3"/>
    <s v="Equipment related expense"/>
    <n v="82542"/>
    <n v="85261"/>
    <n v="2719"/>
    <s v="Cash"/>
    <x v="4"/>
    <x v="0"/>
    <s v="Operating Expense"/>
    <n v="30.357484369253402"/>
    <x v="7"/>
    <n v="2719"/>
    <x v="0"/>
    <n v="0"/>
  </r>
  <r>
    <s v="T00401"/>
    <s v="2023-08-25"/>
    <x v="1"/>
    <s v="CC105"/>
    <x v="0"/>
    <s v="Utilities related expense"/>
    <n v="232894"/>
    <n v="174176"/>
    <n v="-58718"/>
    <s v="Card"/>
    <x v="0"/>
    <x v="2"/>
    <s v="Operating Expense"/>
    <n v="-3.96631356653837"/>
    <x v="3"/>
    <n v="58718"/>
    <x v="1"/>
    <n v="0"/>
  </r>
  <r>
    <s v="T00402"/>
    <s v="2023-01-15"/>
    <x v="0"/>
    <s v="CC105"/>
    <x v="2"/>
    <s v="Marketing related expense"/>
    <n v="56379"/>
    <n v="71355"/>
    <n v="14976"/>
    <s v="Cash"/>
    <x v="3"/>
    <x v="1"/>
    <s v="Operating Expense"/>
    <n v="3.7646233974358974"/>
    <x v="6"/>
    <n v="14976"/>
    <x v="0"/>
    <n v="0"/>
  </r>
  <r>
    <s v="T00403"/>
    <s v="2025-05-06"/>
    <x v="5"/>
    <s v="CC105"/>
    <x v="4"/>
    <s v="Salary related expense"/>
    <n v="378397"/>
    <n v="415655"/>
    <n v="37258"/>
    <s v="Bank Transfer"/>
    <x v="0"/>
    <x v="2"/>
    <s v="Operating Expense"/>
    <n v="10.156127543077996"/>
    <x v="11"/>
    <n v="37258"/>
    <x v="1"/>
    <n v="0"/>
  </r>
  <r>
    <s v="T00404"/>
    <s v="2023-01-03"/>
    <x v="4"/>
    <s v="CC105"/>
    <x v="2"/>
    <s v="Marketing related expense"/>
    <n v="283062"/>
    <n v="381788"/>
    <n v="98726"/>
    <s v="Cash"/>
    <x v="1"/>
    <x v="3"/>
    <s v="Operating Expense"/>
    <n v="2.8671474586228554"/>
    <x v="6"/>
    <n v="98726"/>
    <x v="1"/>
    <n v="0"/>
  </r>
  <r>
    <s v="T00405"/>
    <s v="2023-02-21"/>
    <x v="4"/>
    <s v="CC101"/>
    <x v="1"/>
    <s v="Maintenance related expense"/>
    <n v="160569"/>
    <n v="159923"/>
    <n v="-646"/>
    <s v="Cash"/>
    <x v="1"/>
    <x v="1"/>
    <s v="Capital Expense"/>
    <n v="-248.55882352941177"/>
    <x v="4"/>
    <n v="646"/>
    <x v="0"/>
    <n v="0"/>
  </r>
  <r>
    <s v="T00406"/>
    <s v="2023-09-18"/>
    <x v="1"/>
    <s v="CC103"/>
    <x v="3"/>
    <s v="Equipment related expense"/>
    <n v="449837"/>
    <n v="435313"/>
    <n v="-14524"/>
    <s v="Card"/>
    <x v="3"/>
    <x v="0"/>
    <s v="Capital Expense"/>
    <n v="-30.971977416689619"/>
    <x v="2"/>
    <n v="14524"/>
    <x v="0"/>
    <n v="0"/>
  </r>
  <r>
    <s v="T00407"/>
    <s v="2024-03-01"/>
    <x v="5"/>
    <s v="CC102"/>
    <x v="2"/>
    <s v="Marketing related expense"/>
    <n v="178534"/>
    <n v="238542"/>
    <n v="60008"/>
    <s v="Cash"/>
    <x v="1"/>
    <x v="1"/>
    <s v="Operating Expense"/>
    <n v="2.9751699773363551"/>
    <x v="7"/>
    <n v="60008"/>
    <x v="1"/>
    <n v="0"/>
  </r>
  <r>
    <s v="T00408"/>
    <s v="2024-11-10"/>
    <x v="5"/>
    <s v="CC101"/>
    <x v="4"/>
    <s v="Salary related expense"/>
    <n v="412032"/>
    <n v="356153"/>
    <n v="-55879"/>
    <s v="Card"/>
    <x v="1"/>
    <x v="0"/>
    <s v="Capital Expense"/>
    <n v="-7.3736466293240754"/>
    <x v="0"/>
    <n v="55879"/>
    <x v="1"/>
    <n v="0"/>
  </r>
  <r>
    <s v="T00409"/>
    <s v="2023-10-16"/>
    <x v="1"/>
    <s v="CC102"/>
    <x v="3"/>
    <s v="Equipment related expense"/>
    <n v="193101"/>
    <n v="152259"/>
    <n v="-40842"/>
    <s v="Bank Transfer"/>
    <x v="0"/>
    <x v="3"/>
    <s v="Capital Expense"/>
    <n v="-4.7280005876303806"/>
    <x v="5"/>
    <n v="40842"/>
    <x v="1"/>
    <n v="0"/>
  </r>
  <r>
    <s v="T00410"/>
    <s v="2023-03-30"/>
    <x v="4"/>
    <s v="CC105"/>
    <x v="4"/>
    <s v="Salary related expense"/>
    <n v="390667"/>
    <n v="406816"/>
    <n v="16149"/>
    <s v="Card"/>
    <x v="1"/>
    <x v="3"/>
    <s v="Capital Expense"/>
    <n v="24.191405040559786"/>
    <x v="7"/>
    <n v="16149"/>
    <x v="0"/>
    <n v="0"/>
  </r>
  <r>
    <s v="T00411"/>
    <s v="2025-06-15"/>
    <x v="3"/>
    <s v="CC103"/>
    <x v="4"/>
    <s v="Salary related expense"/>
    <n v="89991"/>
    <n v="108930"/>
    <n v="18939"/>
    <s v="Bank Transfer"/>
    <x v="2"/>
    <x v="0"/>
    <s v="Operating Expense"/>
    <n v="4.7516236337715823"/>
    <x v="1"/>
    <n v="18939"/>
    <x v="1"/>
    <n v="0"/>
  </r>
  <r>
    <s v="T00412"/>
    <s v="2023-04-02"/>
    <x v="3"/>
    <s v="CC101"/>
    <x v="5"/>
    <s v="Travel related expense"/>
    <n v="277360"/>
    <n v="337548"/>
    <n v="60188"/>
    <s v="Cash"/>
    <x v="3"/>
    <x v="0"/>
    <s v="Capital Expense"/>
    <n v="4.6082275536651824"/>
    <x v="9"/>
    <n v="60188"/>
    <x v="1"/>
    <n v="0"/>
  </r>
  <r>
    <s v="T00413"/>
    <s v="2023-05-16"/>
    <x v="2"/>
    <s v="CC105"/>
    <x v="0"/>
    <s v="Utilities related expense"/>
    <n v="410985"/>
    <n v="437868"/>
    <n v="26883"/>
    <s v="Bank Transfer"/>
    <x v="0"/>
    <x v="3"/>
    <s v="Capital Expense"/>
    <n v="15.287914295279545"/>
    <x v="11"/>
    <n v="26883"/>
    <x v="1"/>
    <n v="0"/>
  </r>
  <r>
    <s v="T00414"/>
    <s v="2023-12-12"/>
    <x v="0"/>
    <s v="CC103"/>
    <x v="4"/>
    <s v="Salary related expense"/>
    <n v="403874"/>
    <n v="297783"/>
    <n v="-106091"/>
    <s v="Cash"/>
    <x v="0"/>
    <x v="2"/>
    <s v="Capital Expense"/>
    <n v="-3.8068639187112949"/>
    <x v="10"/>
    <n v="106091"/>
    <x v="1"/>
    <n v="0"/>
  </r>
  <r>
    <s v="T00415"/>
    <s v="2024-06-20"/>
    <x v="0"/>
    <s v="CC103"/>
    <x v="0"/>
    <s v="Utilities related expense"/>
    <n v="215927"/>
    <n v="265064"/>
    <n v="49137"/>
    <s v="Card"/>
    <x v="4"/>
    <x v="0"/>
    <s v="Operating Expense"/>
    <n v="4.3943871217209027"/>
    <x v="1"/>
    <n v="49137"/>
    <x v="1"/>
    <n v="0"/>
  </r>
  <r>
    <s v="T00416"/>
    <s v="2024-02-10"/>
    <x v="2"/>
    <s v="CC101"/>
    <x v="4"/>
    <s v="Salary related expense"/>
    <n v="102080"/>
    <n v="72763"/>
    <n v="-29317"/>
    <s v="Card"/>
    <x v="0"/>
    <x v="3"/>
    <s v="Operating Expense"/>
    <n v="-3.4819388068356245"/>
    <x v="4"/>
    <n v="29317"/>
    <x v="1"/>
    <n v="0"/>
  </r>
  <r>
    <s v="T00417"/>
    <s v="2025-01-15"/>
    <x v="4"/>
    <s v="CC103"/>
    <x v="5"/>
    <s v="Travel related expense"/>
    <n v="404556"/>
    <n v="351092"/>
    <n v="-53464"/>
    <s v="Card"/>
    <x v="0"/>
    <x v="0"/>
    <s v="Operating Expense"/>
    <n v="-7.566886128983989"/>
    <x v="6"/>
    <n v="53464"/>
    <x v="1"/>
    <n v="0"/>
  </r>
  <r>
    <s v="T00418"/>
    <s v="2024-12-06"/>
    <x v="2"/>
    <s v="CC101"/>
    <x v="4"/>
    <s v="Salary related expense"/>
    <n v="351231"/>
    <n v="312472"/>
    <n v="-38759"/>
    <s v="Cash"/>
    <x v="4"/>
    <x v="2"/>
    <s v="Operating Expense"/>
    <n v="-9.061921102195619"/>
    <x v="10"/>
    <n v="38759"/>
    <x v="1"/>
    <n v="0"/>
  </r>
  <r>
    <s v="T00419"/>
    <s v="2024-08-28"/>
    <x v="4"/>
    <s v="CC105"/>
    <x v="0"/>
    <s v="Utilities related expense"/>
    <n v="169095"/>
    <n v="175480"/>
    <n v="6385"/>
    <s v="Bank Transfer"/>
    <x v="1"/>
    <x v="1"/>
    <s v="Capital Expense"/>
    <n v="26.483163664839466"/>
    <x v="3"/>
    <n v="6385"/>
    <x v="0"/>
    <n v="0"/>
  </r>
  <r>
    <s v="T00420"/>
    <s v="2023-01-14"/>
    <x v="4"/>
    <s v="CC103"/>
    <x v="5"/>
    <s v="Travel related expense"/>
    <n v="117531"/>
    <n v="98632"/>
    <n v="-18899"/>
    <s v="Bank Transfer"/>
    <x v="0"/>
    <x v="3"/>
    <s v="Capital Expense"/>
    <n v="-6.2189004709243871"/>
    <x v="6"/>
    <n v="18899"/>
    <x v="1"/>
    <n v="0"/>
  </r>
  <r>
    <s v="T00421"/>
    <s v="2023-10-11"/>
    <x v="0"/>
    <s v="CC105"/>
    <x v="0"/>
    <s v="Utilities related expense"/>
    <n v="342149"/>
    <n v="330630"/>
    <n v="-11519"/>
    <s v="Bank Transfer"/>
    <x v="1"/>
    <x v="3"/>
    <s v="Capital Expense"/>
    <n v="-29.703012414272074"/>
    <x v="5"/>
    <n v="11519"/>
    <x v="0"/>
    <n v="0"/>
  </r>
  <r>
    <s v="T00422"/>
    <s v="2023-07-07"/>
    <x v="2"/>
    <s v="CC101"/>
    <x v="5"/>
    <s v="Travel related expense"/>
    <n v="384914"/>
    <n v="416858"/>
    <n v="31944"/>
    <s v="Bank Transfer"/>
    <x v="0"/>
    <x v="2"/>
    <s v="Operating Expense"/>
    <n v="12.049649386426246"/>
    <x v="8"/>
    <n v="31944"/>
    <x v="1"/>
    <n v="0"/>
  </r>
  <r>
    <s v="T00423"/>
    <s v="2025-03-27"/>
    <x v="0"/>
    <s v="CC101"/>
    <x v="1"/>
    <s v="Maintenance related expense"/>
    <n v="418077"/>
    <n v="329084"/>
    <n v="-88993"/>
    <s v="Cash"/>
    <x v="3"/>
    <x v="0"/>
    <s v="Operating Expense"/>
    <n v="-4.6978638769341412"/>
    <x v="7"/>
    <n v="88993"/>
    <x v="1"/>
    <n v="0"/>
  </r>
  <r>
    <s v="T00424"/>
    <s v="2025-01-28"/>
    <x v="5"/>
    <s v="CC101"/>
    <x v="3"/>
    <s v="Equipment related expense"/>
    <n v="355553"/>
    <n v="464047"/>
    <n v="108494"/>
    <s v="Card"/>
    <x v="0"/>
    <x v="0"/>
    <s v="Operating Expense"/>
    <n v="3.2771674009622651"/>
    <x v="6"/>
    <n v="108494"/>
    <x v="1"/>
    <n v="0"/>
  </r>
  <r>
    <s v="T00425"/>
    <s v="2025-03-04"/>
    <x v="5"/>
    <s v="CC102"/>
    <x v="1"/>
    <s v="Maintenance related expense"/>
    <n v="427711"/>
    <n v="527866"/>
    <n v="100155"/>
    <s v="Card"/>
    <x v="4"/>
    <x v="0"/>
    <s v="Capital Expense"/>
    <n v="4.2704907393540017"/>
    <x v="7"/>
    <n v="100155"/>
    <x v="1"/>
    <n v="0"/>
  </r>
  <r>
    <s v="T00426"/>
    <s v="2024-02-20"/>
    <x v="3"/>
    <s v="CC102"/>
    <x v="5"/>
    <s v="Travel related expense"/>
    <n v="150738"/>
    <n v="199385"/>
    <n v="48647"/>
    <s v="Bank Transfer"/>
    <x v="4"/>
    <x v="3"/>
    <s v="Capital Expense"/>
    <n v="3.0986083417271364"/>
    <x v="4"/>
    <n v="48647"/>
    <x v="1"/>
    <n v="0"/>
  </r>
  <r>
    <s v="T00427"/>
    <s v="2025-04-30"/>
    <x v="4"/>
    <s v="CC102"/>
    <x v="5"/>
    <s v="Travel related expense"/>
    <n v="203606"/>
    <n v="150966"/>
    <n v="-52640"/>
    <s v="Bank Transfer"/>
    <x v="2"/>
    <x v="1"/>
    <s v="Operating Expense"/>
    <n v="-3.8678951367781154"/>
    <x v="9"/>
    <n v="52640"/>
    <x v="1"/>
    <n v="0"/>
  </r>
  <r>
    <s v="T00428"/>
    <s v="2025-06-13"/>
    <x v="0"/>
    <s v="CC104"/>
    <x v="3"/>
    <s v="Equipment related expense"/>
    <n v="490489"/>
    <n v="492711"/>
    <n v="2222"/>
    <s v="Cash"/>
    <x v="0"/>
    <x v="3"/>
    <s v="Capital Expense"/>
    <n v="220.74212421242123"/>
    <x v="1"/>
    <n v="2222"/>
    <x v="0"/>
    <n v="0"/>
  </r>
  <r>
    <s v="T00429"/>
    <s v="2023-05-01"/>
    <x v="3"/>
    <s v="CC102"/>
    <x v="1"/>
    <s v="Maintenance related expense"/>
    <n v="270730"/>
    <n v="289419"/>
    <n v="18689"/>
    <s v="Card"/>
    <x v="0"/>
    <x v="2"/>
    <s v="Capital Expense"/>
    <n v="14.48606131949275"/>
    <x v="11"/>
    <n v="18689"/>
    <x v="1"/>
    <n v="0"/>
  </r>
  <r>
    <s v="T00430"/>
    <s v="2024-11-13"/>
    <x v="1"/>
    <s v="CC103"/>
    <x v="3"/>
    <s v="Equipment related expense"/>
    <n v="314309"/>
    <n v="222525"/>
    <n v="-91784"/>
    <s v="Bank Transfer"/>
    <x v="0"/>
    <x v="3"/>
    <s v="Operating Expense"/>
    <n v="-3.4244421685696853"/>
    <x v="0"/>
    <n v="91784"/>
    <x v="1"/>
    <n v="0"/>
  </r>
  <r>
    <s v="T00431"/>
    <s v="2023-10-10"/>
    <x v="1"/>
    <s v="CC101"/>
    <x v="5"/>
    <s v="Travel related expense"/>
    <n v="189541"/>
    <n v="220906"/>
    <n v="31365"/>
    <s v="Bank Transfer"/>
    <x v="0"/>
    <x v="1"/>
    <s v="Capital Expense"/>
    <n v="6.0430734895584246"/>
    <x v="5"/>
    <n v="31365"/>
    <x v="1"/>
    <n v="0"/>
  </r>
  <r>
    <s v="T00432"/>
    <s v="2023-12-29"/>
    <x v="3"/>
    <s v="CC102"/>
    <x v="3"/>
    <s v="Equipment related expense"/>
    <n v="233919"/>
    <n v="315548"/>
    <n v="81629"/>
    <s v="Bank Transfer"/>
    <x v="3"/>
    <x v="0"/>
    <s v="Capital Expense"/>
    <n v="2.8656359872104278"/>
    <x v="10"/>
    <n v="81629"/>
    <x v="1"/>
    <n v="0"/>
  </r>
  <r>
    <s v="T00433"/>
    <s v="2024-06-01"/>
    <x v="3"/>
    <s v="CC104"/>
    <x v="2"/>
    <s v="Marketing related expense"/>
    <n v="125267"/>
    <n v="109110"/>
    <n v="-16157"/>
    <s v="Bank Transfer"/>
    <x v="4"/>
    <x v="2"/>
    <s v="Operating Expense"/>
    <n v="-7.7531101070743329"/>
    <x v="1"/>
    <n v="16157"/>
    <x v="0"/>
    <n v="0"/>
  </r>
  <r>
    <s v="T00434"/>
    <s v="2023-12-26"/>
    <x v="5"/>
    <s v="CC103"/>
    <x v="4"/>
    <s v="Salary related expense"/>
    <n v="420668"/>
    <n v="318742"/>
    <n v="-101926"/>
    <s v="Bank Transfer"/>
    <x v="3"/>
    <x v="2"/>
    <s v="Operating Expense"/>
    <n v="-4.1271903145419229"/>
    <x v="10"/>
    <n v="101926"/>
    <x v="1"/>
    <n v="0"/>
  </r>
  <r>
    <s v="T00435"/>
    <s v="2024-06-05"/>
    <x v="5"/>
    <s v="CC103"/>
    <x v="1"/>
    <s v="Maintenance related expense"/>
    <n v="119911"/>
    <n v="144264"/>
    <n v="24353"/>
    <s v="Bank Transfer"/>
    <x v="4"/>
    <x v="0"/>
    <s v="Capital Expense"/>
    <n v="4.9238697491068866"/>
    <x v="1"/>
    <n v="24353"/>
    <x v="1"/>
    <n v="0"/>
  </r>
  <r>
    <s v="T00436"/>
    <s v="2024-11-25"/>
    <x v="0"/>
    <s v="CC102"/>
    <x v="5"/>
    <s v="Travel related expense"/>
    <n v="349877"/>
    <n v="458634"/>
    <n v="108757"/>
    <s v="Bank Transfer"/>
    <x v="4"/>
    <x v="0"/>
    <s v="Capital Expense"/>
    <n v="3.2170526954586833"/>
    <x v="0"/>
    <n v="108757"/>
    <x v="1"/>
    <n v="0"/>
  </r>
  <r>
    <s v="T00437"/>
    <s v="2024-12-16"/>
    <x v="0"/>
    <s v="CC105"/>
    <x v="1"/>
    <s v="Maintenance related expense"/>
    <n v="229192"/>
    <n v="160914"/>
    <n v="-68278"/>
    <s v="Bank Transfer"/>
    <x v="3"/>
    <x v="1"/>
    <s v="Operating Expense"/>
    <n v="-3.3567474149799348"/>
    <x v="10"/>
    <n v="68278"/>
    <x v="1"/>
    <n v="0"/>
  </r>
  <r>
    <s v="T00438"/>
    <s v="2024-01-03"/>
    <x v="1"/>
    <s v="CC101"/>
    <x v="1"/>
    <s v="Maintenance related expense"/>
    <n v="276850"/>
    <n v="267941"/>
    <n v="-8909"/>
    <s v="Cash"/>
    <x v="0"/>
    <x v="3"/>
    <s v="Operating Expense"/>
    <n v="-31.0753170950724"/>
    <x v="6"/>
    <n v="8909"/>
    <x v="0"/>
    <n v="0"/>
  </r>
  <r>
    <s v="T00439"/>
    <s v="2024-05-18"/>
    <x v="1"/>
    <s v="CC103"/>
    <x v="5"/>
    <s v="Travel related expense"/>
    <n v="139140"/>
    <n v="186309"/>
    <n v="47169"/>
    <s v="Bank Transfer"/>
    <x v="4"/>
    <x v="3"/>
    <s v="Operating Expense"/>
    <n v="2.9498187368822744"/>
    <x v="11"/>
    <n v="47169"/>
    <x v="1"/>
    <n v="0"/>
  </r>
  <r>
    <s v="T00440"/>
    <s v="2023-04-14"/>
    <x v="2"/>
    <s v="CC103"/>
    <x v="1"/>
    <s v="Maintenance related expense"/>
    <n v="260532"/>
    <n v="237945"/>
    <n v="-22587"/>
    <s v="Card"/>
    <x v="2"/>
    <x v="1"/>
    <s v="Operating Expense"/>
    <n v="-11.534599548412803"/>
    <x v="9"/>
    <n v="22587"/>
    <x v="1"/>
    <n v="0"/>
  </r>
  <r>
    <s v="T00441"/>
    <s v="2024-04-24"/>
    <x v="1"/>
    <s v="CC105"/>
    <x v="3"/>
    <s v="Equipment related expense"/>
    <n v="393536"/>
    <n v="539097"/>
    <n v="145561"/>
    <s v="Card"/>
    <x v="4"/>
    <x v="3"/>
    <s v="Operating Expense"/>
    <n v="2.7035813164240423"/>
    <x v="9"/>
    <n v="145561"/>
    <x v="1"/>
    <n v="0"/>
  </r>
  <r>
    <s v="T00442"/>
    <s v="2025-03-15"/>
    <x v="2"/>
    <s v="CC105"/>
    <x v="5"/>
    <s v="Travel related expense"/>
    <n v="248486"/>
    <n v="252846"/>
    <n v="4360"/>
    <s v="Cash"/>
    <x v="4"/>
    <x v="3"/>
    <s v="Operating Expense"/>
    <n v="56.992201834862385"/>
    <x v="7"/>
    <n v="4360"/>
    <x v="0"/>
    <n v="0"/>
  </r>
  <r>
    <s v="T00443"/>
    <s v="2024-12-24"/>
    <x v="1"/>
    <s v="CC105"/>
    <x v="1"/>
    <s v="Maintenance related expense"/>
    <n v="388997"/>
    <n v="518088"/>
    <n v="129091"/>
    <s v="Card"/>
    <x v="2"/>
    <x v="1"/>
    <s v="Operating Expense"/>
    <n v="3.0133549201725915"/>
    <x v="10"/>
    <n v="129091"/>
    <x v="1"/>
    <n v="0"/>
  </r>
  <r>
    <s v="T00444"/>
    <s v="2023-12-21"/>
    <x v="1"/>
    <s v="CC105"/>
    <x v="2"/>
    <s v="Marketing related expense"/>
    <n v="398520"/>
    <n v="519826"/>
    <n v="121306"/>
    <s v="Card"/>
    <x v="1"/>
    <x v="2"/>
    <s v="Operating Expense"/>
    <n v="3.285245577300381"/>
    <x v="10"/>
    <n v="121306"/>
    <x v="1"/>
    <n v="0"/>
  </r>
  <r>
    <s v="T00445"/>
    <s v="2024-02-27"/>
    <x v="3"/>
    <s v="CC102"/>
    <x v="5"/>
    <s v="Travel related expense"/>
    <n v="443707"/>
    <n v="365499"/>
    <n v="-78208"/>
    <s v="Card"/>
    <x v="0"/>
    <x v="1"/>
    <s v="Capital Expense"/>
    <n v="-5.6734221563011458"/>
    <x v="4"/>
    <n v="78208"/>
    <x v="1"/>
    <n v="0"/>
  </r>
  <r>
    <s v="T00446"/>
    <s v="2024-12-13"/>
    <x v="3"/>
    <s v="CC102"/>
    <x v="1"/>
    <s v="Maintenance related expense"/>
    <n v="467037"/>
    <n v="574407"/>
    <n v="107370"/>
    <s v="Bank Transfer"/>
    <x v="3"/>
    <x v="1"/>
    <s v="Operating Expense"/>
    <n v="4.349790444258173"/>
    <x v="10"/>
    <n v="107370"/>
    <x v="1"/>
    <n v="0"/>
  </r>
  <r>
    <s v="T00447"/>
    <s v="2023-11-30"/>
    <x v="2"/>
    <s v="CC103"/>
    <x v="1"/>
    <s v="Maintenance related expense"/>
    <n v="444320"/>
    <n v="604755"/>
    <n v="160435"/>
    <s v="Cash"/>
    <x v="2"/>
    <x v="3"/>
    <s v="Operating Expense"/>
    <n v="2.7694705020724903"/>
    <x v="0"/>
    <n v="160435"/>
    <x v="1"/>
    <n v="0"/>
  </r>
  <r>
    <s v="T00448"/>
    <s v="2024-05-30"/>
    <x v="3"/>
    <s v="CC101"/>
    <x v="5"/>
    <s v="Travel related expense"/>
    <n v="109069"/>
    <n v="127577"/>
    <n v="18508"/>
    <s v="Card"/>
    <x v="2"/>
    <x v="0"/>
    <s v="Operating Expense"/>
    <n v="5.893073265614869"/>
    <x v="11"/>
    <n v="18508"/>
    <x v="1"/>
    <n v="0"/>
  </r>
  <r>
    <s v="T00449"/>
    <s v="2023-04-04"/>
    <x v="5"/>
    <s v="CC103"/>
    <x v="0"/>
    <s v="Utilities related expense"/>
    <n v="86886"/>
    <n v="70117"/>
    <n v="-16769"/>
    <s v="Bank Transfer"/>
    <x v="2"/>
    <x v="0"/>
    <s v="Operating Expense"/>
    <n v="-5.1813465322917285"/>
    <x v="9"/>
    <n v="16769"/>
    <x v="0"/>
    <n v="0"/>
  </r>
  <r>
    <s v="T00450"/>
    <s v="2023-04-29"/>
    <x v="0"/>
    <s v="CC102"/>
    <x v="5"/>
    <s v="Travel related expense"/>
    <n v="408372"/>
    <n v="296904"/>
    <n v="-111468"/>
    <s v="Bank Transfer"/>
    <x v="0"/>
    <x v="1"/>
    <s v="Operating Expense"/>
    <n v="-3.6635805791796749"/>
    <x v="9"/>
    <n v="111468"/>
    <x v="1"/>
    <n v="0"/>
  </r>
  <r>
    <s v="T00451"/>
    <s v="2025-02-17"/>
    <x v="2"/>
    <s v="CC105"/>
    <x v="3"/>
    <s v="Equipment related expense"/>
    <n v="212005"/>
    <n v="225198"/>
    <n v="13193"/>
    <s v="Card"/>
    <x v="0"/>
    <x v="0"/>
    <s v="Capital Expense"/>
    <n v="16.069506556507239"/>
    <x v="4"/>
    <n v="13193"/>
    <x v="0"/>
    <n v="0"/>
  </r>
  <r>
    <s v="T00452"/>
    <s v="2023-10-28"/>
    <x v="2"/>
    <s v="CC104"/>
    <x v="3"/>
    <s v="Equipment related expense"/>
    <n v="281598"/>
    <n v="305970"/>
    <n v="24372"/>
    <s v="Bank Transfer"/>
    <x v="0"/>
    <x v="1"/>
    <s v="Operating Expense"/>
    <n v="11.554160512063023"/>
    <x v="5"/>
    <n v="24372"/>
    <x v="1"/>
    <n v="0"/>
  </r>
  <r>
    <s v="T00453"/>
    <s v="2024-10-20"/>
    <x v="1"/>
    <s v="CC104"/>
    <x v="1"/>
    <s v="Maintenance related expense"/>
    <n v="423604"/>
    <n v="577714"/>
    <n v="154110"/>
    <s v="Card"/>
    <x v="3"/>
    <x v="3"/>
    <s v="Capital Expense"/>
    <n v="2.7487119589903317"/>
    <x v="5"/>
    <n v="154110"/>
    <x v="1"/>
    <n v="0"/>
  </r>
  <r>
    <s v="T00454"/>
    <s v="2023-01-06"/>
    <x v="3"/>
    <s v="CC102"/>
    <x v="1"/>
    <s v="Maintenance related expense"/>
    <n v="287277"/>
    <n v="359231"/>
    <n v="71954"/>
    <s v="Bank Transfer"/>
    <x v="2"/>
    <x v="3"/>
    <s v="Operating Expense"/>
    <n v="3.992509103038052"/>
    <x v="6"/>
    <n v="71954"/>
    <x v="1"/>
    <n v="0"/>
  </r>
  <r>
    <s v="T00455"/>
    <s v="2024-03-23"/>
    <x v="1"/>
    <s v="CC104"/>
    <x v="0"/>
    <s v="Utilities related expense"/>
    <n v="167024"/>
    <n v="203671"/>
    <n v="36647"/>
    <s v="Cash"/>
    <x v="3"/>
    <x v="1"/>
    <s v="Capital Expense"/>
    <n v="4.5576445548066689"/>
    <x v="7"/>
    <n v="36647"/>
    <x v="1"/>
    <n v="0"/>
  </r>
  <r>
    <s v="T00456"/>
    <s v="2024-05-20"/>
    <x v="2"/>
    <s v="CC102"/>
    <x v="1"/>
    <s v="Maintenance related expense"/>
    <n v="215360"/>
    <n v="299063"/>
    <n v="83703"/>
    <s v="Cash"/>
    <x v="3"/>
    <x v="1"/>
    <s v="Capital Expense"/>
    <n v="2.572906586382806"/>
    <x v="11"/>
    <n v="83703"/>
    <x v="1"/>
    <n v="0"/>
  </r>
  <r>
    <s v="T00457"/>
    <s v="2024-12-23"/>
    <x v="5"/>
    <s v="CC103"/>
    <x v="4"/>
    <s v="Salary related expense"/>
    <n v="236409"/>
    <n v="319453"/>
    <n v="83044"/>
    <s v="Card"/>
    <x v="3"/>
    <x v="3"/>
    <s v="Capital Expense"/>
    <n v="2.8467920620394009"/>
    <x v="10"/>
    <n v="83044"/>
    <x v="1"/>
    <n v="0"/>
  </r>
  <r>
    <s v="T00458"/>
    <s v="2024-11-28"/>
    <x v="4"/>
    <s v="CC104"/>
    <x v="5"/>
    <s v="Travel related expense"/>
    <n v="85077"/>
    <n v="97368"/>
    <n v="12291"/>
    <s v="Cash"/>
    <x v="1"/>
    <x v="1"/>
    <s v="Capital Expense"/>
    <n v="6.9218940688308521"/>
    <x v="0"/>
    <n v="12291"/>
    <x v="0"/>
    <n v="0"/>
  </r>
  <r>
    <s v="T00459"/>
    <s v="2025-05-15"/>
    <x v="4"/>
    <s v="CC101"/>
    <x v="0"/>
    <s v="Utilities related expense"/>
    <n v="301109"/>
    <n v="305840"/>
    <n v="4731"/>
    <s v="Cash"/>
    <x v="0"/>
    <x v="3"/>
    <s v="Capital Expense"/>
    <n v="63.645952229972522"/>
    <x v="11"/>
    <n v="4731"/>
    <x v="0"/>
    <n v="0"/>
  </r>
  <r>
    <s v="T00460"/>
    <s v="2024-07-15"/>
    <x v="0"/>
    <s v="CC103"/>
    <x v="5"/>
    <s v="Travel related expense"/>
    <n v="251148"/>
    <n v="184742"/>
    <n v="-66406"/>
    <s v="Bank Transfer"/>
    <x v="1"/>
    <x v="3"/>
    <s v="Operating Expense"/>
    <n v="-3.7820076499111526"/>
    <x v="8"/>
    <n v="66406"/>
    <x v="1"/>
    <n v="0"/>
  </r>
  <r>
    <s v="T00461"/>
    <s v="2025-01-05"/>
    <x v="2"/>
    <s v="CC102"/>
    <x v="5"/>
    <s v="Travel related expense"/>
    <n v="283635"/>
    <n v="303522"/>
    <n v="19887"/>
    <s v="Bank Transfer"/>
    <x v="2"/>
    <x v="2"/>
    <s v="Capital Expense"/>
    <n v="14.262332176798914"/>
    <x v="6"/>
    <n v="19887"/>
    <x v="1"/>
    <n v="0"/>
  </r>
  <r>
    <s v="T00462"/>
    <s v="2023-05-28"/>
    <x v="1"/>
    <s v="CC104"/>
    <x v="4"/>
    <s v="Salary related expense"/>
    <n v="491959"/>
    <n v="426701"/>
    <n v="-65258"/>
    <s v="Card"/>
    <x v="1"/>
    <x v="3"/>
    <s v="Capital Expense"/>
    <n v="-7.5386772502988135"/>
    <x v="11"/>
    <n v="65258"/>
    <x v="1"/>
    <n v="0"/>
  </r>
  <r>
    <s v="T00463"/>
    <s v="2024-01-05"/>
    <x v="4"/>
    <s v="CC101"/>
    <x v="3"/>
    <s v="Equipment related expense"/>
    <n v="312892"/>
    <n v="333210"/>
    <n v="20318"/>
    <s v="Cash"/>
    <x v="2"/>
    <x v="3"/>
    <s v="Operating Expense"/>
    <n v="15.399744069298158"/>
    <x v="6"/>
    <n v="20318"/>
    <x v="1"/>
    <n v="0"/>
  </r>
  <r>
    <s v="T00464"/>
    <s v="2024-03-13"/>
    <x v="4"/>
    <s v="CC102"/>
    <x v="4"/>
    <s v="Salary related expense"/>
    <n v="80099"/>
    <n v="94785"/>
    <n v="14686"/>
    <s v="Card"/>
    <x v="3"/>
    <x v="0"/>
    <s v="Operating Expense"/>
    <n v="5.4541059512460848"/>
    <x v="7"/>
    <n v="14686"/>
    <x v="0"/>
    <n v="0"/>
  </r>
  <r>
    <s v="T00465"/>
    <s v="2024-08-24"/>
    <x v="5"/>
    <s v="CC105"/>
    <x v="5"/>
    <s v="Travel related expense"/>
    <n v="94611"/>
    <n v="108962"/>
    <n v="14351"/>
    <s v="Bank Transfer"/>
    <x v="3"/>
    <x v="2"/>
    <s v="Capital Expense"/>
    <n v="6.5926416277611315"/>
    <x v="3"/>
    <n v="14351"/>
    <x v="0"/>
    <n v="0"/>
  </r>
  <r>
    <s v="T00466"/>
    <s v="2023-06-23"/>
    <x v="3"/>
    <s v="CC103"/>
    <x v="4"/>
    <s v="Salary related expense"/>
    <n v="493138"/>
    <n v="573161"/>
    <n v="80023"/>
    <s v="Card"/>
    <x v="3"/>
    <x v="3"/>
    <s v="Operating Expense"/>
    <n v="6.1624532946777801"/>
    <x v="1"/>
    <n v="80023"/>
    <x v="1"/>
    <n v="0"/>
  </r>
  <r>
    <s v="T00467"/>
    <s v="2025-06-03"/>
    <x v="3"/>
    <s v="CC105"/>
    <x v="4"/>
    <s v="Salary related expense"/>
    <n v="294899"/>
    <n v="318705"/>
    <n v="23806"/>
    <s v="Card"/>
    <x v="0"/>
    <x v="2"/>
    <s v="Capital Expense"/>
    <n v="12.387591363521802"/>
    <x v="1"/>
    <n v="23806"/>
    <x v="1"/>
    <n v="0"/>
  </r>
  <r>
    <s v="T00468"/>
    <s v="2024-03-30"/>
    <x v="5"/>
    <s v="CC105"/>
    <x v="4"/>
    <s v="Salary related expense"/>
    <n v="476136"/>
    <n v="516001"/>
    <n v="39865"/>
    <s v="Card"/>
    <x v="1"/>
    <x v="3"/>
    <s v="Operating Expense"/>
    <n v="11.943710021321962"/>
    <x v="7"/>
    <n v="39865"/>
    <x v="1"/>
    <n v="0"/>
  </r>
  <r>
    <s v="T00469"/>
    <s v="2023-06-23"/>
    <x v="0"/>
    <s v="CC104"/>
    <x v="4"/>
    <s v="Salary related expense"/>
    <n v="366424"/>
    <n v="273280"/>
    <n v="-93144"/>
    <s v="Bank Transfer"/>
    <x v="1"/>
    <x v="1"/>
    <s v="Capital Expense"/>
    <n v="-3.9339517306536118"/>
    <x v="1"/>
    <n v="93144"/>
    <x v="1"/>
    <n v="0"/>
  </r>
  <r>
    <s v="T00470"/>
    <s v="2023-08-19"/>
    <x v="4"/>
    <s v="CC104"/>
    <x v="0"/>
    <s v="Utilities related expense"/>
    <n v="291963"/>
    <n v="229985"/>
    <n v="-61978"/>
    <s v="Bank Transfer"/>
    <x v="4"/>
    <x v="1"/>
    <s v="Operating Expense"/>
    <n v="-4.7107522023943984"/>
    <x v="3"/>
    <n v="61978"/>
    <x v="1"/>
    <n v="0"/>
  </r>
  <r>
    <s v="T00471"/>
    <s v="2025-05-27"/>
    <x v="0"/>
    <s v="CC105"/>
    <x v="5"/>
    <s v="Travel related expense"/>
    <n v="105745"/>
    <n v="118718"/>
    <n v="12973"/>
    <s v="Cash"/>
    <x v="4"/>
    <x v="3"/>
    <s v="Operating Expense"/>
    <n v="8.1511601017497881"/>
    <x v="11"/>
    <n v="12973"/>
    <x v="0"/>
    <n v="0"/>
  </r>
  <r>
    <s v="T00472"/>
    <s v="2023-08-04"/>
    <x v="4"/>
    <s v="CC102"/>
    <x v="1"/>
    <s v="Maintenance related expense"/>
    <n v="98985"/>
    <n v="124210"/>
    <n v="25225"/>
    <s v="Cash"/>
    <x v="0"/>
    <x v="2"/>
    <s v="Operating Expense"/>
    <n v="3.9240832507433101"/>
    <x v="3"/>
    <n v="25225"/>
    <x v="1"/>
    <n v="0"/>
  </r>
  <r>
    <s v="T00473"/>
    <s v="2024-05-03"/>
    <x v="3"/>
    <s v="CC103"/>
    <x v="3"/>
    <s v="Equipment related expense"/>
    <n v="50467"/>
    <n v="35746"/>
    <n v="-14721"/>
    <s v="Cash"/>
    <x v="3"/>
    <x v="3"/>
    <s v="Capital Expense"/>
    <n v="-3.4282317777324911"/>
    <x v="11"/>
    <n v="14721"/>
    <x v="0"/>
    <n v="0"/>
  </r>
  <r>
    <s v="T00474"/>
    <s v="2023-11-09"/>
    <x v="2"/>
    <s v="CC103"/>
    <x v="4"/>
    <s v="Salary related expense"/>
    <n v="265498"/>
    <n v="269711"/>
    <n v="4213"/>
    <s v="Bank Transfer"/>
    <x v="2"/>
    <x v="2"/>
    <s v="Capital Expense"/>
    <n v="63.018751483503443"/>
    <x v="0"/>
    <n v="4213"/>
    <x v="0"/>
    <n v="0"/>
  </r>
  <r>
    <s v="T00475"/>
    <s v="2023-06-12"/>
    <x v="5"/>
    <s v="CC103"/>
    <x v="5"/>
    <s v="Travel related expense"/>
    <n v="287177"/>
    <n v="400133"/>
    <n v="112956"/>
    <s v="Card"/>
    <x v="1"/>
    <x v="3"/>
    <s v="Capital Expense"/>
    <n v="2.5423793335458056"/>
    <x v="1"/>
    <n v="112956"/>
    <x v="1"/>
    <n v="0"/>
  </r>
  <r>
    <s v="T00476"/>
    <s v="2024-07-24"/>
    <x v="3"/>
    <s v="CC101"/>
    <x v="2"/>
    <s v="Marketing related expense"/>
    <n v="97379"/>
    <n v="124623"/>
    <n v="27244"/>
    <s v="Cash"/>
    <x v="3"/>
    <x v="0"/>
    <s v="Capital Expense"/>
    <n v="3.5743282924680662"/>
    <x v="8"/>
    <n v="27244"/>
    <x v="1"/>
    <n v="0"/>
  </r>
  <r>
    <s v="T00477"/>
    <s v="2023-11-03"/>
    <x v="3"/>
    <s v="CC105"/>
    <x v="2"/>
    <s v="Marketing related expense"/>
    <n v="220615"/>
    <n v="225443"/>
    <n v="4828"/>
    <s v="Card"/>
    <x v="3"/>
    <x v="2"/>
    <s v="Capital Expense"/>
    <n v="45.694904722452364"/>
    <x v="0"/>
    <n v="4828"/>
    <x v="0"/>
    <n v="0"/>
  </r>
  <r>
    <s v="T00478"/>
    <s v="2023-08-14"/>
    <x v="2"/>
    <s v="CC105"/>
    <x v="1"/>
    <s v="Maintenance related expense"/>
    <n v="281598"/>
    <n v="291762"/>
    <n v="10164"/>
    <s v="Card"/>
    <x v="4"/>
    <x v="1"/>
    <s v="Operating Expense"/>
    <n v="27.70543093270366"/>
    <x v="3"/>
    <n v="10164"/>
    <x v="0"/>
    <n v="0"/>
  </r>
  <r>
    <s v="T00479"/>
    <s v="2023-03-18"/>
    <x v="2"/>
    <s v="CC101"/>
    <x v="1"/>
    <s v="Maintenance related expense"/>
    <n v="267909"/>
    <n v="359088"/>
    <n v="91179"/>
    <s v="Bank Transfer"/>
    <x v="0"/>
    <x v="3"/>
    <s v="Operating Expense"/>
    <n v="2.9382752607508307"/>
    <x v="7"/>
    <n v="91179"/>
    <x v="1"/>
    <n v="0"/>
  </r>
  <r>
    <s v="T00480"/>
    <s v="2024-04-06"/>
    <x v="2"/>
    <s v="CC103"/>
    <x v="0"/>
    <s v="Utilities related expense"/>
    <n v="144131"/>
    <n v="117232"/>
    <n v="-26899"/>
    <s v="Bank Transfer"/>
    <x v="3"/>
    <x v="0"/>
    <s v="Operating Expense"/>
    <n v="-5.3582289304435111"/>
    <x v="9"/>
    <n v="26899"/>
    <x v="1"/>
    <n v="0"/>
  </r>
  <r>
    <s v="T00481"/>
    <s v="2025-05-12"/>
    <x v="4"/>
    <s v="CC105"/>
    <x v="2"/>
    <s v="Marketing related expense"/>
    <n v="389184"/>
    <n v="285665"/>
    <n v="-103519"/>
    <s v="Bank Transfer"/>
    <x v="3"/>
    <x v="3"/>
    <s v="Operating Expense"/>
    <n v="-3.7595417266395539"/>
    <x v="11"/>
    <n v="103519"/>
    <x v="1"/>
    <n v="0"/>
  </r>
  <r>
    <s v="T00482"/>
    <s v="2023-06-21"/>
    <x v="0"/>
    <s v="CC105"/>
    <x v="3"/>
    <s v="Equipment related expense"/>
    <n v="115842"/>
    <n v="102445"/>
    <n v="-13397"/>
    <s v="Card"/>
    <x v="4"/>
    <x v="3"/>
    <s v="Operating Expense"/>
    <n v="-8.646861237590505"/>
    <x v="1"/>
    <n v="13397"/>
    <x v="0"/>
    <n v="0"/>
  </r>
  <r>
    <s v="T00483"/>
    <s v="2025-05-03"/>
    <x v="4"/>
    <s v="CC101"/>
    <x v="3"/>
    <s v="Equipment related expense"/>
    <n v="248790"/>
    <n v="296706"/>
    <n v="47916"/>
    <s v="Cash"/>
    <x v="4"/>
    <x v="1"/>
    <s v="Capital Expense"/>
    <n v="5.1922113698973202"/>
    <x v="11"/>
    <n v="47916"/>
    <x v="1"/>
    <n v="0"/>
  </r>
  <r>
    <s v="T00484"/>
    <s v="2025-01-18"/>
    <x v="0"/>
    <s v="CC104"/>
    <x v="2"/>
    <s v="Marketing related expense"/>
    <n v="422765"/>
    <n v="551880"/>
    <n v="129115"/>
    <s v="Cash"/>
    <x v="0"/>
    <x v="2"/>
    <s v="Operating Expense"/>
    <n v="3.274329086473299"/>
    <x v="6"/>
    <n v="129115"/>
    <x v="1"/>
    <n v="0"/>
  </r>
  <r>
    <s v="T00485"/>
    <s v="2024-03-08"/>
    <x v="0"/>
    <s v="CC105"/>
    <x v="3"/>
    <s v="Equipment related expense"/>
    <n v="182451"/>
    <n v="192135"/>
    <n v="9684"/>
    <s v="Card"/>
    <x v="1"/>
    <x v="2"/>
    <s v="Operating Expense"/>
    <n v="18.840458488228006"/>
    <x v="7"/>
    <n v="9684"/>
    <x v="0"/>
    <n v="0"/>
  </r>
  <r>
    <s v="T00486"/>
    <s v="2024-11-04"/>
    <x v="2"/>
    <s v="CC101"/>
    <x v="2"/>
    <s v="Marketing related expense"/>
    <n v="160428"/>
    <n v="118481"/>
    <n v="-41947"/>
    <s v="Bank Transfer"/>
    <x v="2"/>
    <x v="0"/>
    <s v="Operating Expense"/>
    <n v="-3.8245404915726988"/>
    <x v="0"/>
    <n v="41947"/>
    <x v="1"/>
    <n v="0"/>
  </r>
  <r>
    <s v="T00487"/>
    <s v="2025-02-13"/>
    <x v="4"/>
    <s v="CC102"/>
    <x v="0"/>
    <s v="Utilities related expense"/>
    <n v="487854"/>
    <n v="414647"/>
    <n v="-73207"/>
    <s v="Cash"/>
    <x v="4"/>
    <x v="0"/>
    <s v="Capital Expense"/>
    <n v="-6.6640348600543664"/>
    <x v="4"/>
    <n v="73207"/>
    <x v="1"/>
    <n v="0"/>
  </r>
  <r>
    <s v="T00488"/>
    <s v="2024-03-17"/>
    <x v="0"/>
    <s v="CC103"/>
    <x v="3"/>
    <s v="Equipment related expense"/>
    <n v="493010"/>
    <n v="589077"/>
    <n v="96067"/>
    <s v="Bank Transfer"/>
    <x v="2"/>
    <x v="0"/>
    <s v="Operating Expense"/>
    <n v="5.1319391674560464"/>
    <x v="7"/>
    <n v="96067"/>
    <x v="1"/>
    <n v="0"/>
  </r>
  <r>
    <s v="T00489"/>
    <s v="2024-01-10"/>
    <x v="1"/>
    <s v="CC105"/>
    <x v="5"/>
    <s v="Travel related expense"/>
    <n v="284663"/>
    <n v="270811"/>
    <n v="-13852"/>
    <s v="Cash"/>
    <x v="1"/>
    <x v="1"/>
    <s v="Capital Expense"/>
    <n v="-20.550317643661565"/>
    <x v="6"/>
    <n v="13852"/>
    <x v="0"/>
    <n v="0"/>
  </r>
  <r>
    <s v="T00490"/>
    <s v="2024-04-06"/>
    <x v="0"/>
    <s v="CC105"/>
    <x v="3"/>
    <s v="Equipment related expense"/>
    <n v="109350"/>
    <n v="79875"/>
    <n v="-29475"/>
    <s v="Card"/>
    <x v="2"/>
    <x v="2"/>
    <s v="Operating Expense"/>
    <n v="-3.7099236641221376"/>
    <x v="9"/>
    <n v="29475"/>
    <x v="1"/>
    <n v="0"/>
  </r>
  <r>
    <s v="T00491"/>
    <s v="2024-04-30"/>
    <x v="0"/>
    <s v="CC101"/>
    <x v="1"/>
    <s v="Maintenance related expense"/>
    <n v="267508"/>
    <n v="332767"/>
    <n v="65259"/>
    <s v="Card"/>
    <x v="2"/>
    <x v="2"/>
    <s v="Capital Expense"/>
    <n v="4.0991740602828726"/>
    <x v="9"/>
    <n v="65259"/>
    <x v="1"/>
    <n v="0"/>
  </r>
  <r>
    <s v="T00492"/>
    <s v="2025-01-09"/>
    <x v="4"/>
    <s v="CC102"/>
    <x v="0"/>
    <s v="Utilities related expense"/>
    <n v="458590"/>
    <n v="387307"/>
    <n v="-71283"/>
    <s v="Cash"/>
    <x v="0"/>
    <x v="0"/>
    <s v="Operating Expense"/>
    <n v="-6.4333712105270537"/>
    <x v="6"/>
    <n v="71283"/>
    <x v="1"/>
    <n v="0"/>
  </r>
  <r>
    <s v="T00493"/>
    <s v="2023-08-30"/>
    <x v="0"/>
    <s v="CC102"/>
    <x v="3"/>
    <s v="Equipment related expense"/>
    <n v="208311"/>
    <n v="236289"/>
    <n v="27978"/>
    <s v="Cash"/>
    <x v="1"/>
    <x v="1"/>
    <s v="Capital Expense"/>
    <n v="7.4455286296375727"/>
    <x v="3"/>
    <n v="27978"/>
    <x v="1"/>
    <n v="0"/>
  </r>
  <r>
    <s v="T00494"/>
    <s v="2024-02-19"/>
    <x v="0"/>
    <s v="CC103"/>
    <x v="5"/>
    <s v="Travel related expense"/>
    <n v="480158"/>
    <n v="568919"/>
    <n v="88761"/>
    <s v="Bank Transfer"/>
    <x v="1"/>
    <x v="3"/>
    <s v="Operating Expense"/>
    <n v="5.409560505176823"/>
    <x v="4"/>
    <n v="88761"/>
    <x v="1"/>
    <n v="0"/>
  </r>
  <r>
    <s v="T00495"/>
    <s v="2025-01-01"/>
    <x v="0"/>
    <s v="CC101"/>
    <x v="3"/>
    <s v="Equipment related expense"/>
    <n v="92245"/>
    <n v="89514"/>
    <n v="-2731"/>
    <s v="Card"/>
    <x v="4"/>
    <x v="3"/>
    <s v="Capital Expense"/>
    <n v="-33.777004760161113"/>
    <x v="6"/>
    <n v="2731"/>
    <x v="0"/>
    <n v="0"/>
  </r>
  <r>
    <s v="T00496"/>
    <s v="2023-10-30"/>
    <x v="3"/>
    <s v="CC102"/>
    <x v="4"/>
    <s v="Salary related expense"/>
    <n v="118241"/>
    <n v="145550"/>
    <n v="27309"/>
    <s v="Cash"/>
    <x v="0"/>
    <x v="2"/>
    <s v="Operating Expense"/>
    <n v="4.3297447727855287"/>
    <x v="5"/>
    <n v="27309"/>
    <x v="1"/>
    <n v="0"/>
  </r>
  <r>
    <s v="T00497"/>
    <s v="2025-05-10"/>
    <x v="5"/>
    <s v="CC104"/>
    <x v="3"/>
    <s v="Equipment related expense"/>
    <n v="96657"/>
    <n v="114612"/>
    <n v="17955"/>
    <s v="Bank Transfer"/>
    <x v="3"/>
    <x v="1"/>
    <s v="Operating Expense"/>
    <n v="5.3832915622389308"/>
    <x v="11"/>
    <n v="17955"/>
    <x v="1"/>
    <n v="0"/>
  </r>
  <r>
    <s v="T00498"/>
    <s v="2023-12-02"/>
    <x v="4"/>
    <s v="CC104"/>
    <x v="5"/>
    <s v="Travel related expense"/>
    <n v="414058"/>
    <n v="559755"/>
    <n v="145697"/>
    <s v="Card"/>
    <x v="4"/>
    <x v="0"/>
    <s v="Capital Expense"/>
    <n v="2.8419116385375127"/>
    <x v="10"/>
    <n v="145697"/>
    <x v="1"/>
    <n v="0"/>
  </r>
  <r>
    <s v="T00499"/>
    <s v="2023-11-11"/>
    <x v="5"/>
    <s v="CC104"/>
    <x v="5"/>
    <s v="Travel related expense"/>
    <n v="353227"/>
    <n v="442456"/>
    <n v="89229"/>
    <s v="Bank Transfer"/>
    <x v="4"/>
    <x v="1"/>
    <s v="Operating Expense"/>
    <n v="3.9586569388875814"/>
    <x v="0"/>
    <n v="89229"/>
    <x v="1"/>
    <n v="0"/>
  </r>
  <r>
    <s v="T00500"/>
    <s v="2024-12-27"/>
    <x v="4"/>
    <s v="CC104"/>
    <x v="5"/>
    <s v="Travel related expense"/>
    <n v="388215"/>
    <n v="294323"/>
    <n v="-93892"/>
    <s v="Cash"/>
    <x v="0"/>
    <x v="0"/>
    <s v="Capital Expense"/>
    <n v="-4.134697311805053"/>
    <x v="10"/>
    <n v="93892"/>
    <x v="1"/>
    <n v="0"/>
  </r>
  <r>
    <s v="T00501"/>
    <s v="2024-09-19"/>
    <x v="0"/>
    <s v="CC105"/>
    <x v="3"/>
    <s v="Equipment related expense"/>
    <n v="339735"/>
    <n v="421566"/>
    <n v="81831"/>
    <s v="Bank Transfer"/>
    <x v="0"/>
    <x v="1"/>
    <s v="Capital Expense"/>
    <n v="4.1516662389558965"/>
    <x v="2"/>
    <n v="81831"/>
    <x v="1"/>
    <n v="0"/>
  </r>
  <r>
    <s v="T00502"/>
    <s v="2023-01-02"/>
    <x v="5"/>
    <s v="CC102"/>
    <x v="2"/>
    <s v="Marketing related expense"/>
    <n v="436207"/>
    <n v="544865"/>
    <n v="108658"/>
    <s v="Cash"/>
    <x v="2"/>
    <x v="0"/>
    <s v="Capital Expense"/>
    <n v="4.0144950210753008"/>
    <x v="6"/>
    <n v="108658"/>
    <x v="1"/>
    <n v="0"/>
  </r>
  <r>
    <s v="T00503"/>
    <s v="2023-02-17"/>
    <x v="0"/>
    <s v="CC103"/>
    <x v="1"/>
    <s v="Maintenance related expense"/>
    <n v="411713"/>
    <n v="429483"/>
    <n v="17770"/>
    <s v="Cash"/>
    <x v="3"/>
    <x v="1"/>
    <s v="Operating Expense"/>
    <n v="23.168992684299383"/>
    <x v="4"/>
    <n v="17770"/>
    <x v="1"/>
    <n v="0"/>
  </r>
  <r>
    <s v="T00504"/>
    <s v="2025-02-28"/>
    <x v="5"/>
    <s v="CC104"/>
    <x v="2"/>
    <s v="Marketing related expense"/>
    <n v="306468"/>
    <n v="224986"/>
    <n v="-81482"/>
    <s v="Card"/>
    <x v="4"/>
    <x v="0"/>
    <s v="Capital Expense"/>
    <n v="-3.7611742470729732"/>
    <x v="4"/>
    <n v="81482"/>
    <x v="1"/>
    <n v="0"/>
  </r>
  <r>
    <s v="T00505"/>
    <s v="2023-01-27"/>
    <x v="5"/>
    <s v="CC104"/>
    <x v="1"/>
    <s v="Maintenance related expense"/>
    <n v="451413"/>
    <n v="436808"/>
    <n v="-14605"/>
    <s v="Card"/>
    <x v="0"/>
    <x v="1"/>
    <s v="Operating Expense"/>
    <n v="-30.908113659705581"/>
    <x v="6"/>
    <n v="14605"/>
    <x v="0"/>
    <n v="0"/>
  </r>
  <r>
    <s v="T00506"/>
    <s v="2023-01-17"/>
    <x v="2"/>
    <s v="CC101"/>
    <x v="4"/>
    <s v="Salary related expense"/>
    <n v="307691"/>
    <n v="300097"/>
    <n v="-7594"/>
    <s v="Cash"/>
    <x v="3"/>
    <x v="2"/>
    <s v="Capital Expense"/>
    <n v="-40.517645509612855"/>
    <x v="6"/>
    <n v="7594"/>
    <x v="0"/>
    <n v="0"/>
  </r>
  <r>
    <s v="T00507"/>
    <s v="2024-09-17"/>
    <x v="4"/>
    <s v="CC104"/>
    <x v="3"/>
    <s v="Equipment related expense"/>
    <n v="198374"/>
    <n v="156061"/>
    <n v="-42313"/>
    <s v="Cash"/>
    <x v="2"/>
    <x v="1"/>
    <s v="Operating Expense"/>
    <n v="-4.6882518374967503"/>
    <x v="2"/>
    <n v="42313"/>
    <x v="1"/>
    <n v="0"/>
  </r>
  <r>
    <s v="T00508"/>
    <s v="2024-07-06"/>
    <x v="3"/>
    <s v="CC104"/>
    <x v="1"/>
    <s v="Maintenance related expense"/>
    <n v="82080"/>
    <n v="73825"/>
    <n v="-8255"/>
    <s v="Card"/>
    <x v="0"/>
    <x v="1"/>
    <s v="Operating Expense"/>
    <n v="-9.9430648092065415"/>
    <x v="8"/>
    <n v="8255"/>
    <x v="0"/>
    <n v="0"/>
  </r>
  <r>
    <s v="T00509"/>
    <s v="2023-01-01"/>
    <x v="1"/>
    <s v="CC104"/>
    <x v="4"/>
    <s v="Salary related expense"/>
    <n v="82422"/>
    <n v="109624"/>
    <n v="27202"/>
    <s v="Cash"/>
    <x v="0"/>
    <x v="3"/>
    <s v="Operating Expense"/>
    <n v="3.0299977942798324"/>
    <x v="6"/>
    <n v="27202"/>
    <x v="1"/>
    <n v="0"/>
  </r>
  <r>
    <s v="T00510"/>
    <s v="2023-02-23"/>
    <x v="0"/>
    <s v="CC101"/>
    <x v="2"/>
    <s v="Marketing related expense"/>
    <n v="283017"/>
    <n v="291210"/>
    <n v="8193"/>
    <s v="Bank Transfer"/>
    <x v="3"/>
    <x v="3"/>
    <s v="Operating Expense"/>
    <n v="34.543756865616992"/>
    <x v="4"/>
    <n v="8193"/>
    <x v="0"/>
    <n v="0"/>
  </r>
  <r>
    <s v="T00511"/>
    <s v="2025-05-28"/>
    <x v="3"/>
    <s v="CC101"/>
    <x v="5"/>
    <s v="Travel related expense"/>
    <n v="479580"/>
    <n v="582035"/>
    <n v="102455"/>
    <s v="Bank Transfer"/>
    <x v="3"/>
    <x v="2"/>
    <s v="Operating Expense"/>
    <n v="4.6808842906641939"/>
    <x v="11"/>
    <n v="102455"/>
    <x v="1"/>
    <n v="0"/>
  </r>
  <r>
    <s v="T00512"/>
    <s v="2023-07-20"/>
    <x v="4"/>
    <s v="CC104"/>
    <x v="3"/>
    <s v="Equipment related expense"/>
    <n v="159823"/>
    <n v="153872"/>
    <n v="-5951"/>
    <s v="Card"/>
    <x v="2"/>
    <x v="0"/>
    <s v="Capital Expense"/>
    <n v="-26.856494706771972"/>
    <x v="8"/>
    <n v="5951"/>
    <x v="0"/>
    <n v="0"/>
  </r>
  <r>
    <s v="T00513"/>
    <s v="2024-05-22"/>
    <x v="4"/>
    <s v="CC101"/>
    <x v="0"/>
    <s v="Utilities related expense"/>
    <n v="276555"/>
    <n v="269635"/>
    <n v="-6920"/>
    <s v="Cash"/>
    <x v="0"/>
    <x v="0"/>
    <s v="Capital Expense"/>
    <n v="-39.964595375722546"/>
    <x v="11"/>
    <n v="6920"/>
    <x v="0"/>
    <n v="0"/>
  </r>
  <r>
    <s v="T00514"/>
    <s v="2024-01-13"/>
    <x v="3"/>
    <s v="CC101"/>
    <x v="3"/>
    <s v="Equipment related expense"/>
    <n v="300373"/>
    <n v="279893"/>
    <n v="-20480"/>
    <s v="Card"/>
    <x v="4"/>
    <x v="1"/>
    <s v="Capital Expense"/>
    <n v="-14.666650390625"/>
    <x v="6"/>
    <n v="20480"/>
    <x v="1"/>
    <n v="0"/>
  </r>
  <r>
    <s v="T00515"/>
    <s v="2024-04-10"/>
    <x v="4"/>
    <s v="CC101"/>
    <x v="0"/>
    <s v="Utilities related expense"/>
    <n v="349342"/>
    <n v="418697"/>
    <n v="69355"/>
    <s v="Cash"/>
    <x v="1"/>
    <x v="0"/>
    <s v="Operating Expense"/>
    <n v="5.0370124720640188"/>
    <x v="9"/>
    <n v="69355"/>
    <x v="1"/>
    <n v="0"/>
  </r>
  <r>
    <s v="T00516"/>
    <s v="2023-05-29"/>
    <x v="3"/>
    <s v="CC103"/>
    <x v="0"/>
    <s v="Utilities related expense"/>
    <n v="257826"/>
    <n v="251871"/>
    <n v="-5955"/>
    <s v="Bank Transfer"/>
    <x v="3"/>
    <x v="2"/>
    <s v="Capital Expense"/>
    <n v="-43.29571788413098"/>
    <x v="11"/>
    <n v="5955"/>
    <x v="0"/>
    <n v="0"/>
  </r>
  <r>
    <s v="T00517"/>
    <s v="2023-08-01"/>
    <x v="3"/>
    <s v="CC101"/>
    <x v="2"/>
    <s v="Marketing related expense"/>
    <n v="467616"/>
    <n v="561860"/>
    <n v="94244"/>
    <s v="Bank Transfer"/>
    <x v="0"/>
    <x v="3"/>
    <s v="Capital Expense"/>
    <n v="4.961758838758966"/>
    <x v="3"/>
    <n v="94244"/>
    <x v="1"/>
    <n v="0"/>
  </r>
  <r>
    <s v="T00518"/>
    <s v="2025-02-19"/>
    <x v="2"/>
    <s v="CC102"/>
    <x v="3"/>
    <s v="Equipment related expense"/>
    <n v="221689"/>
    <n v="223597"/>
    <n v="1908"/>
    <s v="Card"/>
    <x v="3"/>
    <x v="3"/>
    <s v="Operating Expense"/>
    <n v="116.18920335429769"/>
    <x v="4"/>
    <n v="1908"/>
    <x v="0"/>
    <n v="0"/>
  </r>
  <r>
    <s v="T00519"/>
    <s v="2023-03-31"/>
    <x v="3"/>
    <s v="CC104"/>
    <x v="3"/>
    <s v="Equipment related expense"/>
    <n v="478223"/>
    <n v="587289"/>
    <n v="109066"/>
    <s v="Bank Transfer"/>
    <x v="2"/>
    <x v="3"/>
    <s v="Capital Expense"/>
    <n v="4.3847120092421106"/>
    <x v="7"/>
    <n v="109066"/>
    <x v="1"/>
    <n v="0"/>
  </r>
  <r>
    <s v="T00520"/>
    <s v="2023-10-20"/>
    <x v="5"/>
    <s v="CC105"/>
    <x v="2"/>
    <s v="Marketing related expense"/>
    <n v="398680"/>
    <n v="497061"/>
    <n v="98381"/>
    <s v="Card"/>
    <x v="4"/>
    <x v="2"/>
    <s v="Operating Expense"/>
    <n v="4.052408493509926"/>
    <x v="5"/>
    <n v="98381"/>
    <x v="1"/>
    <n v="0"/>
  </r>
  <r>
    <s v="T00521"/>
    <s v="2024-08-18"/>
    <x v="3"/>
    <s v="CC105"/>
    <x v="2"/>
    <s v="Marketing related expense"/>
    <n v="280295"/>
    <n v="341584"/>
    <n v="61289"/>
    <s v="Bank Transfer"/>
    <x v="0"/>
    <x v="0"/>
    <s v="Capital Expense"/>
    <n v="4.5733328982362247"/>
    <x v="3"/>
    <n v="61289"/>
    <x v="1"/>
    <n v="0"/>
  </r>
  <r>
    <s v="T00522"/>
    <s v="2023-05-13"/>
    <x v="0"/>
    <s v="CC103"/>
    <x v="1"/>
    <s v="Maintenance related expense"/>
    <n v="391875"/>
    <n v="327433"/>
    <n v="-64442"/>
    <s v="Card"/>
    <x v="4"/>
    <x v="1"/>
    <s v="Operating Expense"/>
    <n v="-6.0810496260202971"/>
    <x v="11"/>
    <n v="64442"/>
    <x v="1"/>
    <n v="0"/>
  </r>
  <r>
    <s v="T00523"/>
    <s v="2024-04-10"/>
    <x v="1"/>
    <s v="CC101"/>
    <x v="4"/>
    <s v="Salary related expense"/>
    <n v="271178"/>
    <n v="201849"/>
    <n v="-69329"/>
    <s v="Cash"/>
    <x v="0"/>
    <x v="2"/>
    <s v="Operating Expense"/>
    <n v="-3.9114656204474318"/>
    <x v="9"/>
    <n v="69329"/>
    <x v="1"/>
    <n v="0"/>
  </r>
  <r>
    <s v="T00524"/>
    <s v="2024-02-19"/>
    <x v="1"/>
    <s v="CC101"/>
    <x v="3"/>
    <s v="Equipment related expense"/>
    <n v="406635"/>
    <n v="336139"/>
    <n v="-70496"/>
    <s v="Bank Transfer"/>
    <x v="3"/>
    <x v="3"/>
    <s v="Operating Expense"/>
    <n v="-5.7681996141625058"/>
    <x v="4"/>
    <n v="70496"/>
    <x v="1"/>
    <n v="0"/>
  </r>
  <r>
    <s v="T00525"/>
    <s v="2024-07-19"/>
    <x v="5"/>
    <s v="CC102"/>
    <x v="2"/>
    <s v="Marketing related expense"/>
    <n v="69494"/>
    <n v="80593"/>
    <n v="11099"/>
    <s v="Card"/>
    <x v="2"/>
    <x v="2"/>
    <s v="Capital Expense"/>
    <n v="6.2612848004324713"/>
    <x v="8"/>
    <n v="11099"/>
    <x v="0"/>
    <n v="0"/>
  </r>
  <r>
    <s v="T00526"/>
    <s v="2024-03-14"/>
    <x v="1"/>
    <s v="CC105"/>
    <x v="4"/>
    <s v="Salary related expense"/>
    <n v="355510"/>
    <n v="319871"/>
    <n v="-35639"/>
    <s v="Card"/>
    <x v="1"/>
    <x v="3"/>
    <s v="Operating Expense"/>
    <n v="-9.9753079491568233"/>
    <x v="7"/>
    <n v="35639"/>
    <x v="1"/>
    <n v="0"/>
  </r>
  <r>
    <s v="T00527"/>
    <s v="2023-05-02"/>
    <x v="5"/>
    <s v="CC101"/>
    <x v="3"/>
    <s v="Equipment related expense"/>
    <n v="171163"/>
    <n v="127028"/>
    <n v="-44135"/>
    <s v="Card"/>
    <x v="3"/>
    <x v="0"/>
    <s v="Operating Expense"/>
    <n v="-3.8781692534269854"/>
    <x v="11"/>
    <n v="44135"/>
    <x v="1"/>
    <n v="0"/>
  </r>
  <r>
    <s v="T00528"/>
    <s v="2023-08-07"/>
    <x v="5"/>
    <s v="CC102"/>
    <x v="4"/>
    <s v="Salary related expense"/>
    <n v="436530"/>
    <n v="574964"/>
    <n v="138434"/>
    <s v="Bank Transfer"/>
    <x v="3"/>
    <x v="1"/>
    <s v="Operating Expense"/>
    <n v="3.1533438317176414"/>
    <x v="3"/>
    <n v="138434"/>
    <x v="1"/>
    <n v="0"/>
  </r>
  <r>
    <s v="T00529"/>
    <s v="2023-12-04"/>
    <x v="5"/>
    <s v="CC105"/>
    <x v="4"/>
    <s v="Salary related expense"/>
    <n v="185167"/>
    <n v="204986"/>
    <n v="19819"/>
    <s v="Bank Transfer"/>
    <x v="3"/>
    <x v="3"/>
    <s v="Capital Expense"/>
    <n v="9.3429032746354501"/>
    <x v="10"/>
    <n v="19819"/>
    <x v="1"/>
    <n v="0"/>
  </r>
  <r>
    <s v="T00530"/>
    <s v="2024-10-26"/>
    <x v="4"/>
    <s v="CC101"/>
    <x v="1"/>
    <s v="Maintenance related expense"/>
    <n v="226233"/>
    <n v="275822"/>
    <n v="49589"/>
    <s v="Bank Transfer"/>
    <x v="0"/>
    <x v="0"/>
    <s v="Capital Expense"/>
    <n v="4.5621609631168205"/>
    <x v="5"/>
    <n v="49589"/>
    <x v="1"/>
    <n v="0"/>
  </r>
  <r>
    <s v="T00531"/>
    <s v="2023-12-07"/>
    <x v="1"/>
    <s v="CC101"/>
    <x v="0"/>
    <s v="Utilities related expense"/>
    <n v="188154"/>
    <n v="150012"/>
    <n v="-38142"/>
    <s v="Cash"/>
    <x v="1"/>
    <x v="3"/>
    <s v="Operating Expense"/>
    <n v="-4.9329872581406322"/>
    <x v="10"/>
    <n v="38142"/>
    <x v="1"/>
    <n v="0"/>
  </r>
  <r>
    <s v="T00532"/>
    <s v="2025-01-24"/>
    <x v="0"/>
    <s v="CC102"/>
    <x v="3"/>
    <s v="Equipment related expense"/>
    <n v="421860"/>
    <n v="525386"/>
    <n v="103526"/>
    <s v="Bank Transfer"/>
    <x v="2"/>
    <x v="3"/>
    <s v="Operating Expense"/>
    <n v="4.0749183779920024"/>
    <x v="6"/>
    <n v="103526"/>
    <x v="1"/>
    <n v="0"/>
  </r>
  <r>
    <s v="T00533"/>
    <s v="2023-12-16"/>
    <x v="1"/>
    <s v="CC105"/>
    <x v="5"/>
    <s v="Travel related expense"/>
    <n v="123494"/>
    <n v="160998"/>
    <n v="37504"/>
    <s v="Cash"/>
    <x v="0"/>
    <x v="3"/>
    <s v="Capital Expense"/>
    <n v="3.2928220989761092"/>
    <x v="10"/>
    <n v="37504"/>
    <x v="1"/>
    <n v="0"/>
  </r>
  <r>
    <s v="T00534"/>
    <s v="2023-01-14"/>
    <x v="0"/>
    <s v="CC101"/>
    <x v="2"/>
    <s v="Marketing related expense"/>
    <n v="94240"/>
    <n v="89037"/>
    <n v="-5203"/>
    <s v="Card"/>
    <x v="1"/>
    <x v="1"/>
    <s v="Capital Expense"/>
    <n v="-18.112627330386317"/>
    <x v="6"/>
    <n v="5203"/>
    <x v="0"/>
    <n v="0"/>
  </r>
  <r>
    <s v="T00535"/>
    <s v="2024-02-23"/>
    <x v="0"/>
    <s v="CC103"/>
    <x v="0"/>
    <s v="Utilities related expense"/>
    <n v="207218"/>
    <n v="224373"/>
    <n v="17155"/>
    <s v="Bank Transfer"/>
    <x v="1"/>
    <x v="3"/>
    <s v="Capital Expense"/>
    <n v="12.079160594578839"/>
    <x v="4"/>
    <n v="17155"/>
    <x v="0"/>
    <n v="0"/>
  </r>
  <r>
    <s v="T00536"/>
    <s v="2023-08-11"/>
    <x v="5"/>
    <s v="CC104"/>
    <x v="0"/>
    <s v="Utilities related expense"/>
    <n v="422648"/>
    <n v="411551"/>
    <n v="-11097"/>
    <s v="Cash"/>
    <x v="2"/>
    <x v="0"/>
    <s v="Operating Expense"/>
    <n v="-38.086690096422458"/>
    <x v="3"/>
    <n v="11097"/>
    <x v="0"/>
    <n v="0"/>
  </r>
  <r>
    <s v="T00537"/>
    <s v="2023-04-29"/>
    <x v="4"/>
    <s v="CC102"/>
    <x v="0"/>
    <s v="Utilities related expense"/>
    <n v="452220"/>
    <n v="381960"/>
    <n v="-70260"/>
    <s v="Card"/>
    <x v="2"/>
    <x v="0"/>
    <s v="Capital Expense"/>
    <n v="-6.4363791631084544"/>
    <x v="9"/>
    <n v="70260"/>
    <x v="1"/>
    <n v="0"/>
  </r>
  <r>
    <s v="T00538"/>
    <s v="2024-08-20"/>
    <x v="3"/>
    <s v="CC103"/>
    <x v="3"/>
    <s v="Equipment related expense"/>
    <n v="418610"/>
    <n v="510173"/>
    <n v="91563"/>
    <s v="Cash"/>
    <x v="2"/>
    <x v="2"/>
    <s v="Operating Expense"/>
    <n v="4.5718248637550101"/>
    <x v="3"/>
    <n v="91563"/>
    <x v="1"/>
    <n v="0"/>
  </r>
  <r>
    <s v="T00539"/>
    <s v="2023-07-23"/>
    <x v="2"/>
    <s v="CC105"/>
    <x v="5"/>
    <s v="Travel related expense"/>
    <n v="91070"/>
    <n v="123383"/>
    <n v="32313"/>
    <s v="Bank Transfer"/>
    <x v="4"/>
    <x v="2"/>
    <s v="Capital Expense"/>
    <n v="2.8183703153529538"/>
    <x v="8"/>
    <n v="32313"/>
    <x v="1"/>
    <n v="0"/>
  </r>
  <r>
    <s v="T00540"/>
    <s v="2023-11-09"/>
    <x v="5"/>
    <s v="CC102"/>
    <x v="0"/>
    <s v="Utilities related expense"/>
    <n v="134593"/>
    <n v="180561"/>
    <n v="45968"/>
    <s v="Card"/>
    <x v="0"/>
    <x v="1"/>
    <s v="Operating Expense"/>
    <n v="2.9279716324399581"/>
    <x v="0"/>
    <n v="45968"/>
    <x v="1"/>
    <n v="0"/>
  </r>
  <r>
    <s v="T00541"/>
    <s v="2023-06-27"/>
    <x v="2"/>
    <s v="CC101"/>
    <x v="2"/>
    <s v="Marketing related expense"/>
    <n v="359354"/>
    <n v="395263"/>
    <n v="35909"/>
    <s v="Bank Transfer"/>
    <x v="1"/>
    <x v="0"/>
    <s v="Operating Expense"/>
    <n v="10.007351917346627"/>
    <x v="1"/>
    <n v="35909"/>
    <x v="1"/>
    <n v="0"/>
  </r>
  <r>
    <s v="T00542"/>
    <s v="2023-01-28"/>
    <x v="0"/>
    <s v="CC102"/>
    <x v="0"/>
    <s v="Utilities related expense"/>
    <n v="253051"/>
    <n v="209637"/>
    <n v="-43414"/>
    <s v="Cash"/>
    <x v="1"/>
    <x v="3"/>
    <s v="Capital Expense"/>
    <n v="-5.8287879485880127"/>
    <x v="6"/>
    <n v="43414"/>
    <x v="1"/>
    <n v="0"/>
  </r>
  <r>
    <s v="T00543"/>
    <s v="2024-10-27"/>
    <x v="2"/>
    <s v="CC105"/>
    <x v="4"/>
    <s v="Salary related expense"/>
    <n v="167055"/>
    <n v="146243"/>
    <n v="-20812"/>
    <s v="Card"/>
    <x v="1"/>
    <x v="1"/>
    <s v="Capital Expense"/>
    <n v="-8.026859504132231"/>
    <x v="5"/>
    <n v="20812"/>
    <x v="1"/>
    <n v="0"/>
  </r>
  <r>
    <s v="T00544"/>
    <s v="2023-03-06"/>
    <x v="0"/>
    <s v="CC104"/>
    <x v="2"/>
    <s v="Marketing related expense"/>
    <n v="149223"/>
    <n v="190419"/>
    <n v="41196"/>
    <s v="Bank Transfer"/>
    <x v="4"/>
    <x v="1"/>
    <s v="Capital Expense"/>
    <n v="3.622269152344888"/>
    <x v="7"/>
    <n v="41196"/>
    <x v="1"/>
    <n v="0"/>
  </r>
  <r>
    <s v="T00545"/>
    <s v="2023-04-18"/>
    <x v="1"/>
    <s v="CC105"/>
    <x v="0"/>
    <s v="Utilities related expense"/>
    <n v="168208"/>
    <n v="208879"/>
    <n v="40671"/>
    <s v="Cash"/>
    <x v="2"/>
    <x v="3"/>
    <s v="Operating Expense"/>
    <n v="4.1358215927810971"/>
    <x v="9"/>
    <n v="40671"/>
    <x v="1"/>
    <n v="0"/>
  </r>
  <r>
    <s v="T00546"/>
    <s v="2024-12-02"/>
    <x v="4"/>
    <s v="CC104"/>
    <x v="3"/>
    <s v="Equipment related expense"/>
    <n v="219101"/>
    <n v="301470"/>
    <n v="82369"/>
    <s v="Bank Transfer"/>
    <x v="1"/>
    <x v="1"/>
    <s v="Operating Expense"/>
    <n v="2.6599934441355364"/>
    <x v="10"/>
    <n v="82369"/>
    <x v="1"/>
    <n v="0"/>
  </r>
  <r>
    <s v="T00547"/>
    <s v="2023-07-05"/>
    <x v="5"/>
    <s v="CC105"/>
    <x v="4"/>
    <s v="Salary related expense"/>
    <n v="325962"/>
    <n v="354187"/>
    <n v="28225"/>
    <s v="Card"/>
    <x v="4"/>
    <x v="3"/>
    <s v="Operating Expense"/>
    <n v="11.548697962798936"/>
    <x v="8"/>
    <n v="28225"/>
    <x v="1"/>
    <n v="0"/>
  </r>
  <r>
    <s v="T00548"/>
    <s v="2024-06-20"/>
    <x v="2"/>
    <s v="CC102"/>
    <x v="3"/>
    <s v="Equipment related expense"/>
    <n v="286902"/>
    <n v="374421"/>
    <n v="87519"/>
    <s v="Cash"/>
    <x v="0"/>
    <x v="1"/>
    <s v="Capital Expense"/>
    <n v="3.2781681691975457"/>
    <x v="1"/>
    <n v="87519"/>
    <x v="1"/>
    <n v="0"/>
  </r>
  <r>
    <s v="T00549"/>
    <s v="2023-04-01"/>
    <x v="0"/>
    <s v="CC101"/>
    <x v="5"/>
    <s v="Travel related expense"/>
    <n v="347269"/>
    <n v="476116"/>
    <n v="128847"/>
    <s v="Card"/>
    <x v="2"/>
    <x v="3"/>
    <s v="Operating Expense"/>
    <n v="2.6952043897025155"/>
    <x v="9"/>
    <n v="128847"/>
    <x v="1"/>
    <n v="0"/>
  </r>
  <r>
    <s v="T00550"/>
    <s v="2024-07-17"/>
    <x v="1"/>
    <s v="CC105"/>
    <x v="4"/>
    <s v="Salary related expense"/>
    <n v="410625"/>
    <n v="559788"/>
    <n v="149163"/>
    <s v="Bank Transfer"/>
    <x v="2"/>
    <x v="3"/>
    <s v="Operating Expense"/>
    <n v="2.7528609641801252"/>
    <x v="8"/>
    <n v="149163"/>
    <x v="1"/>
    <n v="0"/>
  </r>
  <r>
    <s v="T00551"/>
    <s v="2024-05-17"/>
    <x v="3"/>
    <s v="CC101"/>
    <x v="0"/>
    <s v="Utilities related expense"/>
    <n v="499445"/>
    <n v="403135"/>
    <n v="-96310"/>
    <s v="Bank Transfer"/>
    <x v="2"/>
    <x v="3"/>
    <s v="Operating Expense"/>
    <n v="-5.1858062506489464"/>
    <x v="11"/>
    <n v="96310"/>
    <x v="1"/>
    <n v="0"/>
  </r>
  <r>
    <s v="T00552"/>
    <s v="2024-01-17"/>
    <x v="3"/>
    <s v="CC102"/>
    <x v="0"/>
    <s v="Utilities related expense"/>
    <n v="476285"/>
    <n v="421905"/>
    <n v="-54380"/>
    <s v="Cash"/>
    <x v="0"/>
    <x v="0"/>
    <s v="Capital Expense"/>
    <n v="-8.758458992276573"/>
    <x v="6"/>
    <n v="54380"/>
    <x v="1"/>
    <n v="0"/>
  </r>
  <r>
    <s v="T00553"/>
    <s v="2023-04-03"/>
    <x v="2"/>
    <s v="CC103"/>
    <x v="0"/>
    <s v="Utilities related expense"/>
    <n v="224816"/>
    <n v="158953"/>
    <n v="-65863"/>
    <s v="Card"/>
    <x v="2"/>
    <x v="1"/>
    <s v="Capital Expense"/>
    <n v="-3.4133883971273704"/>
    <x v="9"/>
    <n v="65863"/>
    <x v="1"/>
    <n v="0"/>
  </r>
  <r>
    <s v="T00554"/>
    <s v="2024-11-09"/>
    <x v="5"/>
    <s v="CC102"/>
    <x v="2"/>
    <s v="Marketing related expense"/>
    <n v="127041"/>
    <n v="120787"/>
    <n v="-6254"/>
    <s v="Cash"/>
    <x v="0"/>
    <x v="2"/>
    <s v="Capital Expense"/>
    <n v="-20.3135593220339"/>
    <x v="0"/>
    <n v="6254"/>
    <x v="0"/>
    <n v="0"/>
  </r>
  <r>
    <s v="T00555"/>
    <s v="2023-01-01"/>
    <x v="5"/>
    <s v="CC102"/>
    <x v="5"/>
    <s v="Travel related expense"/>
    <n v="86981"/>
    <n v="119459"/>
    <n v="32478"/>
    <s v="Card"/>
    <x v="2"/>
    <x v="3"/>
    <s v="Operating Expense"/>
    <n v="2.6781513640002461"/>
    <x v="6"/>
    <n v="32478"/>
    <x v="1"/>
    <n v="0"/>
  </r>
  <r>
    <s v="T00556"/>
    <s v="2024-06-26"/>
    <x v="5"/>
    <s v="CC105"/>
    <x v="0"/>
    <s v="Utilities related expense"/>
    <n v="81434"/>
    <n v="60691"/>
    <n v="-20743"/>
    <s v="Cash"/>
    <x v="4"/>
    <x v="0"/>
    <s v="Capital Expense"/>
    <n v="-3.9258545051342622"/>
    <x v="1"/>
    <n v="20743"/>
    <x v="1"/>
    <n v="0"/>
  </r>
  <r>
    <s v="T00557"/>
    <s v="2024-02-07"/>
    <x v="0"/>
    <s v="CC103"/>
    <x v="1"/>
    <s v="Maintenance related expense"/>
    <n v="478533"/>
    <n v="623325"/>
    <n v="144792"/>
    <s v="Bank Transfer"/>
    <x v="3"/>
    <x v="2"/>
    <s v="Capital Expense"/>
    <n v="3.3049685065473229"/>
    <x v="4"/>
    <n v="144792"/>
    <x v="1"/>
    <n v="0"/>
  </r>
  <r>
    <s v="T00558"/>
    <s v="2025-01-16"/>
    <x v="3"/>
    <s v="CC101"/>
    <x v="5"/>
    <s v="Travel related expense"/>
    <n v="472333"/>
    <n v="405110"/>
    <n v="-67223"/>
    <s v="Card"/>
    <x v="0"/>
    <x v="2"/>
    <s v="Operating Expense"/>
    <n v="-7.0263600255864809"/>
    <x v="6"/>
    <n v="67223"/>
    <x v="1"/>
    <n v="0"/>
  </r>
  <r>
    <s v="T00559"/>
    <s v="2023-11-11"/>
    <x v="0"/>
    <s v="CC102"/>
    <x v="1"/>
    <s v="Maintenance related expense"/>
    <n v="282720"/>
    <n v="203202"/>
    <n v="-79518"/>
    <s v="Cash"/>
    <x v="3"/>
    <x v="1"/>
    <s v="Operating Expense"/>
    <n v="-3.5554214140194671"/>
    <x v="0"/>
    <n v="79518"/>
    <x v="1"/>
    <n v="0"/>
  </r>
  <r>
    <s v="T00560"/>
    <s v="2023-10-02"/>
    <x v="3"/>
    <s v="CC103"/>
    <x v="0"/>
    <s v="Utilities related expense"/>
    <n v="435878"/>
    <n v="374860"/>
    <n v="-61018"/>
    <s v="Bank Transfer"/>
    <x v="1"/>
    <x v="0"/>
    <s v="Capital Expense"/>
    <n v="-7.1434330853190859"/>
    <x v="5"/>
    <n v="61018"/>
    <x v="1"/>
    <n v="0"/>
  </r>
  <r>
    <s v="T00561"/>
    <s v="2024-12-21"/>
    <x v="4"/>
    <s v="CC105"/>
    <x v="4"/>
    <s v="Salary related expense"/>
    <n v="216468"/>
    <n v="258971"/>
    <n v="42503"/>
    <s v="Bank Transfer"/>
    <x v="3"/>
    <x v="3"/>
    <s v="Capital Expense"/>
    <n v="5.0930051996329668"/>
    <x v="10"/>
    <n v="42503"/>
    <x v="1"/>
    <n v="0"/>
  </r>
  <r>
    <s v="T00562"/>
    <s v="2025-02-03"/>
    <x v="3"/>
    <s v="CC101"/>
    <x v="5"/>
    <s v="Travel related expense"/>
    <n v="453998"/>
    <n v="625092"/>
    <n v="171094"/>
    <s v="Bank Transfer"/>
    <x v="1"/>
    <x v="3"/>
    <s v="Capital Expense"/>
    <n v="2.6535004149765626"/>
    <x v="4"/>
    <n v="171094"/>
    <x v="1"/>
    <n v="0"/>
  </r>
  <r>
    <s v="T00563"/>
    <s v="2025-05-25"/>
    <x v="2"/>
    <s v="CC102"/>
    <x v="0"/>
    <s v="Utilities related expense"/>
    <n v="280170"/>
    <n v="283364"/>
    <n v="3194"/>
    <s v="Bank Transfer"/>
    <x v="2"/>
    <x v="2"/>
    <s v="Operating Expense"/>
    <n v="87.717595491546646"/>
    <x v="11"/>
    <n v="3194"/>
    <x v="0"/>
    <n v="0"/>
  </r>
  <r>
    <s v="T00564"/>
    <s v="2024-07-12"/>
    <x v="1"/>
    <s v="CC101"/>
    <x v="1"/>
    <s v="Maintenance related expense"/>
    <n v="135728"/>
    <n v="122742"/>
    <n v="-12986"/>
    <s v="Cash"/>
    <x v="1"/>
    <x v="0"/>
    <s v="Operating Expense"/>
    <n v="-10.451871245957184"/>
    <x v="8"/>
    <n v="12986"/>
    <x v="0"/>
    <n v="0"/>
  </r>
  <r>
    <s v="T00565"/>
    <s v="2024-01-18"/>
    <x v="3"/>
    <s v="CC101"/>
    <x v="1"/>
    <s v="Maintenance related expense"/>
    <n v="314912"/>
    <n v="270876"/>
    <n v="-44036"/>
    <s v="Card"/>
    <x v="1"/>
    <x v="2"/>
    <s v="Operating Expense"/>
    <n v="-7.1512398946316651"/>
    <x v="6"/>
    <n v="44036"/>
    <x v="1"/>
    <n v="0"/>
  </r>
  <r>
    <s v="T00566"/>
    <s v="2024-04-30"/>
    <x v="1"/>
    <s v="CC101"/>
    <x v="4"/>
    <s v="Salary related expense"/>
    <n v="272986"/>
    <n v="219261"/>
    <n v="-53725"/>
    <s v="Card"/>
    <x v="0"/>
    <x v="2"/>
    <s v="Capital Expense"/>
    <n v="-5.0811726384364819"/>
    <x v="9"/>
    <n v="53725"/>
    <x v="1"/>
    <n v="0"/>
  </r>
  <r>
    <s v="T00567"/>
    <s v="2023-01-29"/>
    <x v="4"/>
    <s v="CC102"/>
    <x v="5"/>
    <s v="Travel related expense"/>
    <n v="264198"/>
    <n v="268020"/>
    <n v="3822"/>
    <s v="Bank Transfer"/>
    <x v="2"/>
    <x v="3"/>
    <s v="Operating Expense"/>
    <n v="69.125588697017264"/>
    <x v="6"/>
    <n v="3822"/>
    <x v="0"/>
    <n v="0"/>
  </r>
  <r>
    <s v="T00568"/>
    <s v="2023-05-31"/>
    <x v="2"/>
    <s v="CC102"/>
    <x v="5"/>
    <s v="Travel related expense"/>
    <n v="498562"/>
    <n v="380730"/>
    <n v="-117832"/>
    <s v="Cash"/>
    <x v="0"/>
    <x v="0"/>
    <s v="Operating Expense"/>
    <n v="-4.2311256704460591"/>
    <x v="11"/>
    <n v="117832"/>
    <x v="1"/>
    <n v="0"/>
  </r>
  <r>
    <s v="T00569"/>
    <s v="2023-05-22"/>
    <x v="1"/>
    <s v="CC102"/>
    <x v="0"/>
    <s v="Utilities related expense"/>
    <n v="326910"/>
    <n v="456847"/>
    <n v="129937"/>
    <s v="Bank Transfer"/>
    <x v="2"/>
    <x v="2"/>
    <s v="Capital Expense"/>
    <n v="2.515911557139229"/>
    <x v="11"/>
    <n v="129937"/>
    <x v="1"/>
    <n v="0"/>
  </r>
  <r>
    <s v="T00570"/>
    <s v="2024-06-20"/>
    <x v="2"/>
    <s v="CC103"/>
    <x v="1"/>
    <s v="Maintenance related expense"/>
    <n v="73399"/>
    <n v="86349"/>
    <n v="12950"/>
    <s v="Cash"/>
    <x v="3"/>
    <x v="3"/>
    <s v="Capital Expense"/>
    <n v="5.6678764478764476"/>
    <x v="1"/>
    <n v="12950"/>
    <x v="0"/>
    <n v="0"/>
  </r>
  <r>
    <s v="T00571"/>
    <s v="2024-07-19"/>
    <x v="3"/>
    <s v="CC102"/>
    <x v="2"/>
    <s v="Marketing related expense"/>
    <n v="451648"/>
    <n v="375312"/>
    <n v="-76336"/>
    <s v="Cash"/>
    <x v="0"/>
    <x v="2"/>
    <s v="Capital Expense"/>
    <n v="-5.9165793334730665"/>
    <x v="8"/>
    <n v="76336"/>
    <x v="1"/>
    <n v="0"/>
  </r>
  <r>
    <s v="T00572"/>
    <s v="2023-06-16"/>
    <x v="2"/>
    <s v="CC105"/>
    <x v="3"/>
    <s v="Equipment related expense"/>
    <n v="274026"/>
    <n v="194084"/>
    <n v="-79942"/>
    <s v="Bank Transfer"/>
    <x v="4"/>
    <x v="2"/>
    <s v="Capital Expense"/>
    <n v="-3.4278101623677166"/>
    <x v="1"/>
    <n v="79942"/>
    <x v="1"/>
    <n v="0"/>
  </r>
  <r>
    <s v="T00573"/>
    <s v="2024-02-10"/>
    <x v="2"/>
    <s v="CC105"/>
    <x v="2"/>
    <s v="Marketing related expense"/>
    <n v="191219"/>
    <n v="187375"/>
    <n v="-3844"/>
    <s v="Cash"/>
    <x v="0"/>
    <x v="3"/>
    <s v="Capital Expense"/>
    <n v="-49.744797086368365"/>
    <x v="4"/>
    <n v="3844"/>
    <x v="0"/>
    <n v="0"/>
  </r>
  <r>
    <s v="T00574"/>
    <s v="2023-07-28"/>
    <x v="3"/>
    <s v="CC103"/>
    <x v="5"/>
    <s v="Travel related expense"/>
    <n v="161565"/>
    <n v="167121"/>
    <n v="5556"/>
    <s v="Card"/>
    <x v="1"/>
    <x v="0"/>
    <s v="Capital Expense"/>
    <n v="29.079373650107993"/>
    <x v="8"/>
    <n v="5556"/>
    <x v="0"/>
    <n v="0"/>
  </r>
  <r>
    <s v="T00575"/>
    <s v="2025-04-26"/>
    <x v="0"/>
    <s v="CC105"/>
    <x v="3"/>
    <s v="Equipment related expense"/>
    <n v="475192"/>
    <n v="540528"/>
    <n v="65336"/>
    <s v="Card"/>
    <x v="2"/>
    <x v="1"/>
    <s v="Capital Expense"/>
    <n v="7.2730500795885886"/>
    <x v="9"/>
    <n v="65336"/>
    <x v="1"/>
    <n v="0"/>
  </r>
  <r>
    <s v="T00576"/>
    <s v="2025-01-30"/>
    <x v="1"/>
    <s v="CC102"/>
    <x v="4"/>
    <s v="Salary related expense"/>
    <n v="55264"/>
    <n v="38731"/>
    <n v="-16533"/>
    <s v="Cash"/>
    <x v="0"/>
    <x v="0"/>
    <s v="Operating Expense"/>
    <n v="-3.3426480372588157"/>
    <x v="6"/>
    <n v="16533"/>
    <x v="0"/>
    <n v="0"/>
  </r>
  <r>
    <s v="T00577"/>
    <s v="2024-07-18"/>
    <x v="0"/>
    <s v="CC104"/>
    <x v="0"/>
    <s v="Utilities related expense"/>
    <n v="176470"/>
    <n v="195104"/>
    <n v="18634"/>
    <s v="Bank Transfer"/>
    <x v="2"/>
    <x v="3"/>
    <s v="Capital Expense"/>
    <n v="9.4703230653643882"/>
    <x v="8"/>
    <n v="18634"/>
    <x v="1"/>
    <n v="0"/>
  </r>
  <r>
    <s v="T00578"/>
    <s v="2024-12-10"/>
    <x v="1"/>
    <s v="CC101"/>
    <x v="4"/>
    <s v="Salary related expense"/>
    <n v="310478"/>
    <n v="418603"/>
    <n v="108125"/>
    <s v="Bank Transfer"/>
    <x v="0"/>
    <x v="0"/>
    <s v="Capital Expense"/>
    <n v="2.8714728323699421"/>
    <x v="10"/>
    <n v="108125"/>
    <x v="1"/>
    <n v="0"/>
  </r>
  <r>
    <s v="T00579"/>
    <s v="2023-08-30"/>
    <x v="1"/>
    <s v="CC104"/>
    <x v="3"/>
    <s v="Equipment related expense"/>
    <n v="322704"/>
    <n v="306819"/>
    <n v="-15885"/>
    <s v="Bank Transfer"/>
    <x v="4"/>
    <x v="1"/>
    <s v="Capital Expense"/>
    <n v="-20.31501416430595"/>
    <x v="3"/>
    <n v="15885"/>
    <x v="0"/>
    <n v="0"/>
  </r>
  <r>
    <s v="T00580"/>
    <s v="2024-09-12"/>
    <x v="3"/>
    <s v="CC104"/>
    <x v="3"/>
    <s v="Equipment related expense"/>
    <n v="227937"/>
    <n v="198820"/>
    <n v="-29117"/>
    <s v="Cash"/>
    <x v="1"/>
    <x v="1"/>
    <s v="Capital Expense"/>
    <n v="-7.828313356458426"/>
    <x v="2"/>
    <n v="29117"/>
    <x v="1"/>
    <n v="0"/>
  </r>
  <r>
    <s v="T00581"/>
    <s v="2023-01-16"/>
    <x v="3"/>
    <s v="CC102"/>
    <x v="3"/>
    <s v="Equipment related expense"/>
    <n v="231711"/>
    <n v="196823"/>
    <n v="-34888"/>
    <s v="Cash"/>
    <x v="0"/>
    <x v="2"/>
    <s v="Operating Expense"/>
    <n v="-6.6415673010777345"/>
    <x v="6"/>
    <n v="34888"/>
    <x v="1"/>
    <n v="0"/>
  </r>
  <r>
    <s v="T00582"/>
    <s v="2023-09-12"/>
    <x v="1"/>
    <s v="CC103"/>
    <x v="5"/>
    <s v="Travel related expense"/>
    <n v="223881"/>
    <n v="212099"/>
    <n v="-11782"/>
    <s v="Bank Transfer"/>
    <x v="0"/>
    <x v="0"/>
    <s v="Operating Expense"/>
    <n v="-19.001952130368359"/>
    <x v="2"/>
    <n v="11782"/>
    <x v="0"/>
    <n v="0"/>
  </r>
  <r>
    <s v="T00583"/>
    <s v="2023-02-15"/>
    <x v="2"/>
    <s v="CC102"/>
    <x v="2"/>
    <s v="Marketing related expense"/>
    <n v="324793"/>
    <n v="292218"/>
    <n v="-32575"/>
    <s v="Bank Transfer"/>
    <x v="2"/>
    <x v="3"/>
    <s v="Operating Expense"/>
    <n v="-9.9706216423637759"/>
    <x v="4"/>
    <n v="32575"/>
    <x v="1"/>
    <n v="0"/>
  </r>
  <r>
    <s v="T00584"/>
    <s v="2024-10-18"/>
    <x v="1"/>
    <s v="CC101"/>
    <x v="1"/>
    <s v="Maintenance related expense"/>
    <n v="261091"/>
    <n v="190480"/>
    <n v="-70611"/>
    <s v="Cash"/>
    <x v="1"/>
    <x v="2"/>
    <s v="Capital Expense"/>
    <n v="-3.6975966917335827"/>
    <x v="5"/>
    <n v="70611"/>
    <x v="1"/>
    <n v="0"/>
  </r>
  <r>
    <s v="T00585"/>
    <s v="2024-04-20"/>
    <x v="0"/>
    <s v="CC101"/>
    <x v="4"/>
    <s v="Salary related expense"/>
    <n v="272932"/>
    <n v="323467"/>
    <n v="50535"/>
    <s v="Bank Transfer"/>
    <x v="2"/>
    <x v="3"/>
    <s v="Operating Expense"/>
    <n v="5.4008508954190164"/>
    <x v="9"/>
    <n v="50535"/>
    <x v="1"/>
    <n v="0"/>
  </r>
  <r>
    <s v="T00586"/>
    <s v="2024-01-11"/>
    <x v="2"/>
    <s v="CC103"/>
    <x v="2"/>
    <s v="Marketing related expense"/>
    <n v="204740"/>
    <n v="163954"/>
    <n v="-40786"/>
    <s v="Bank Transfer"/>
    <x v="1"/>
    <x v="2"/>
    <s v="Operating Expense"/>
    <n v="-5.0198597557985583"/>
    <x v="6"/>
    <n v="40786"/>
    <x v="1"/>
    <n v="0"/>
  </r>
  <r>
    <s v="T00587"/>
    <s v="2024-12-28"/>
    <x v="5"/>
    <s v="CC103"/>
    <x v="1"/>
    <s v="Maintenance related expense"/>
    <n v="219727"/>
    <n v="215108"/>
    <n v="-4619"/>
    <s v="Bank Transfer"/>
    <x v="0"/>
    <x v="3"/>
    <s v="Capital Expense"/>
    <n v="-47.570253301580429"/>
    <x v="10"/>
    <n v="4619"/>
    <x v="0"/>
    <n v="0"/>
  </r>
  <r>
    <s v="T00588"/>
    <s v="2024-05-10"/>
    <x v="4"/>
    <s v="CC103"/>
    <x v="4"/>
    <s v="Salary related expense"/>
    <n v="203768"/>
    <n v="173545"/>
    <n v="-30223"/>
    <s v="Cash"/>
    <x v="4"/>
    <x v="2"/>
    <s v="Operating Expense"/>
    <n v="-6.7421500181980614"/>
    <x v="11"/>
    <n v="30223"/>
    <x v="1"/>
    <n v="0"/>
  </r>
  <r>
    <s v="T00589"/>
    <s v="2023-08-20"/>
    <x v="2"/>
    <s v="CC102"/>
    <x v="1"/>
    <s v="Maintenance related expense"/>
    <n v="254897"/>
    <n v="254751"/>
    <n v="-146"/>
    <s v="Cash"/>
    <x v="3"/>
    <x v="2"/>
    <s v="Operating Expense"/>
    <n v="-1745.8698630136987"/>
    <x v="3"/>
    <n v="146"/>
    <x v="0"/>
    <n v="0"/>
  </r>
  <r>
    <s v="T00590"/>
    <s v="2023-06-07"/>
    <x v="3"/>
    <s v="CC105"/>
    <x v="3"/>
    <s v="Equipment related expense"/>
    <n v="293585"/>
    <n v="239755"/>
    <n v="-53830"/>
    <s v="Card"/>
    <x v="1"/>
    <x v="1"/>
    <s v="Operating Expense"/>
    <n v="-5.453929035853613"/>
    <x v="1"/>
    <n v="53830"/>
    <x v="1"/>
    <n v="0"/>
  </r>
  <r>
    <s v="T00591"/>
    <s v="2023-10-28"/>
    <x v="5"/>
    <s v="CC105"/>
    <x v="4"/>
    <s v="Salary related expense"/>
    <n v="325650"/>
    <n v="340961"/>
    <n v="15311"/>
    <s v="Card"/>
    <x v="3"/>
    <x v="2"/>
    <s v="Operating Expense"/>
    <n v="21.269022271569458"/>
    <x v="5"/>
    <n v="15311"/>
    <x v="0"/>
    <n v="0"/>
  </r>
  <r>
    <s v="T00592"/>
    <s v="2025-06-14"/>
    <x v="0"/>
    <s v="CC102"/>
    <x v="1"/>
    <s v="Maintenance related expense"/>
    <n v="102061"/>
    <n v="141257"/>
    <n v="39196"/>
    <s v="Card"/>
    <x v="4"/>
    <x v="0"/>
    <s v="Capital Expense"/>
    <n v="2.6038626390448005"/>
    <x v="1"/>
    <n v="39196"/>
    <x v="1"/>
    <n v="0"/>
  </r>
  <r>
    <s v="T00593"/>
    <s v="2023-09-08"/>
    <x v="1"/>
    <s v="CC101"/>
    <x v="5"/>
    <s v="Travel related expense"/>
    <n v="126600"/>
    <n v="159985"/>
    <n v="33385"/>
    <s v="Card"/>
    <x v="3"/>
    <x v="1"/>
    <s v="Operating Expense"/>
    <n v="3.792122210573611"/>
    <x v="2"/>
    <n v="33385"/>
    <x v="1"/>
    <n v="0"/>
  </r>
  <r>
    <s v="T00594"/>
    <s v="2024-12-25"/>
    <x v="1"/>
    <s v="CC102"/>
    <x v="1"/>
    <s v="Maintenance related expense"/>
    <n v="259690"/>
    <n v="361258"/>
    <n v="101568"/>
    <s v="Bank Transfer"/>
    <x v="1"/>
    <x v="0"/>
    <s v="Capital Expense"/>
    <n v="2.5568092312539381"/>
    <x v="10"/>
    <n v="101568"/>
    <x v="1"/>
    <n v="0"/>
  </r>
  <r>
    <s v="T00595"/>
    <s v="2023-02-18"/>
    <x v="2"/>
    <s v="CC102"/>
    <x v="1"/>
    <s v="Maintenance related expense"/>
    <n v="112554"/>
    <n v="107773"/>
    <n v="-4781"/>
    <s v="Card"/>
    <x v="1"/>
    <x v="3"/>
    <s v="Operating Expense"/>
    <n v="-23.541936833298472"/>
    <x v="4"/>
    <n v="4781"/>
    <x v="0"/>
    <n v="0"/>
  </r>
  <r>
    <s v="T00596"/>
    <s v="2023-04-21"/>
    <x v="0"/>
    <s v="CC101"/>
    <x v="4"/>
    <s v="Salary related expense"/>
    <n v="480872"/>
    <n v="378101"/>
    <n v="-102771"/>
    <s v="Bank Transfer"/>
    <x v="1"/>
    <x v="1"/>
    <s v="Operating Expense"/>
    <n v="-4.679063159840811"/>
    <x v="9"/>
    <n v="102771"/>
    <x v="1"/>
    <n v="0"/>
  </r>
  <r>
    <s v="T00597"/>
    <s v="2023-12-03"/>
    <x v="5"/>
    <s v="CC102"/>
    <x v="2"/>
    <s v="Marketing related expense"/>
    <n v="104623"/>
    <n v="143984"/>
    <n v="39361"/>
    <s v="Card"/>
    <x v="3"/>
    <x v="1"/>
    <s v="Operating Expense"/>
    <n v="2.6580371433652599"/>
    <x v="10"/>
    <n v="39361"/>
    <x v="1"/>
    <n v="0"/>
  </r>
  <r>
    <s v="T00598"/>
    <s v="2025-03-21"/>
    <x v="1"/>
    <s v="CC105"/>
    <x v="5"/>
    <s v="Travel related expense"/>
    <n v="440662"/>
    <n v="613110"/>
    <n v="172448"/>
    <s v="Bank Transfer"/>
    <x v="0"/>
    <x v="0"/>
    <s v="Operating Expense"/>
    <n v="2.5553326220077937"/>
    <x v="7"/>
    <n v="172448"/>
    <x v="1"/>
    <n v="0"/>
  </r>
  <r>
    <s v="T00599"/>
    <s v="2025-01-11"/>
    <x v="4"/>
    <s v="CC101"/>
    <x v="0"/>
    <s v="Utilities related expense"/>
    <n v="463994"/>
    <n v="563569"/>
    <n v="99575"/>
    <s v="Cash"/>
    <x v="0"/>
    <x v="2"/>
    <s v="Operating Expense"/>
    <n v="4.6597439116244042"/>
    <x v="6"/>
    <n v="99575"/>
    <x v="1"/>
    <n v="0"/>
  </r>
  <r>
    <s v="T00600"/>
    <s v="2023-04-30"/>
    <x v="2"/>
    <s v="CC101"/>
    <x v="0"/>
    <s v="Utilities related expense"/>
    <n v="192474"/>
    <n v="186733"/>
    <n v="-5741"/>
    <s v="Bank Transfer"/>
    <x v="4"/>
    <x v="3"/>
    <s v="Capital Expense"/>
    <n v="-33.526214945131507"/>
    <x v="9"/>
    <n v="5741"/>
    <x v="0"/>
    <n v="0"/>
  </r>
  <r>
    <s v="T00601"/>
    <s v="2023-04-11"/>
    <x v="1"/>
    <s v="CC103"/>
    <x v="2"/>
    <s v="Marketing related expense"/>
    <n v="467155"/>
    <n v="414780"/>
    <n v="-52375"/>
    <s v="Bank Transfer"/>
    <x v="3"/>
    <x v="2"/>
    <s v="Operating Expense"/>
    <n v="-8.9194272076372307"/>
    <x v="9"/>
    <n v="52375"/>
    <x v="1"/>
    <n v="0"/>
  </r>
  <r>
    <s v="T00602"/>
    <s v="2025-03-04"/>
    <x v="4"/>
    <s v="CC104"/>
    <x v="3"/>
    <s v="Equipment related expense"/>
    <n v="459071"/>
    <n v="495037"/>
    <n v="35966"/>
    <s v="Bank Transfer"/>
    <x v="0"/>
    <x v="0"/>
    <s v="Capital Expense"/>
    <n v="12.764027136740255"/>
    <x v="7"/>
    <n v="35966"/>
    <x v="1"/>
    <n v="0"/>
  </r>
  <r>
    <s v="T00603"/>
    <s v="2024-12-20"/>
    <x v="3"/>
    <s v="CC103"/>
    <x v="5"/>
    <s v="Travel related expense"/>
    <n v="329146"/>
    <n v="316609"/>
    <n v="-12537"/>
    <s v="Cash"/>
    <x v="4"/>
    <x v="0"/>
    <s v="Capital Expense"/>
    <n v="-26.253968253968253"/>
    <x v="10"/>
    <n v="12537"/>
    <x v="0"/>
    <n v="0"/>
  </r>
  <r>
    <s v="T00604"/>
    <s v="2023-07-22"/>
    <x v="4"/>
    <s v="CC104"/>
    <x v="1"/>
    <s v="Maintenance related expense"/>
    <n v="439187"/>
    <n v="377507"/>
    <n v="-61680"/>
    <s v="Card"/>
    <x v="0"/>
    <x v="1"/>
    <s v="Capital Expense"/>
    <n v="-7.1204118028534369"/>
    <x v="8"/>
    <n v="61680"/>
    <x v="1"/>
    <n v="0"/>
  </r>
  <r>
    <s v="T00605"/>
    <s v="2023-07-23"/>
    <x v="5"/>
    <s v="CC105"/>
    <x v="4"/>
    <s v="Salary related expense"/>
    <n v="391984"/>
    <n v="330187"/>
    <n v="-61797"/>
    <s v="Card"/>
    <x v="0"/>
    <x v="2"/>
    <s v="Operating Expense"/>
    <n v="-6.3430910885641696"/>
    <x v="8"/>
    <n v="61797"/>
    <x v="1"/>
    <n v="0"/>
  </r>
  <r>
    <s v="T00606"/>
    <s v="2023-10-23"/>
    <x v="5"/>
    <s v="CC101"/>
    <x v="4"/>
    <s v="Salary related expense"/>
    <n v="130855"/>
    <n v="142699"/>
    <n v="11844"/>
    <s v="Bank Transfer"/>
    <x v="4"/>
    <x v="1"/>
    <s v="Capital Expense"/>
    <n v="11.048210064167511"/>
    <x v="5"/>
    <n v="11844"/>
    <x v="0"/>
    <n v="0"/>
  </r>
  <r>
    <s v="T00607"/>
    <s v="2024-09-11"/>
    <x v="1"/>
    <s v="CC104"/>
    <x v="0"/>
    <s v="Utilities related expense"/>
    <n v="267324"/>
    <n v="266421"/>
    <n v="-903"/>
    <s v="Bank Transfer"/>
    <x v="4"/>
    <x v="2"/>
    <s v="Operating Expense"/>
    <n v="-296.03986710963454"/>
    <x v="2"/>
    <n v="903"/>
    <x v="0"/>
    <n v="0"/>
  </r>
  <r>
    <s v="T00608"/>
    <s v="2023-05-05"/>
    <x v="0"/>
    <s v="CC103"/>
    <x v="1"/>
    <s v="Maintenance related expense"/>
    <n v="106040"/>
    <n v="89287"/>
    <n v="-16753"/>
    <s v="Card"/>
    <x v="2"/>
    <x v="1"/>
    <s v="Operating Expense"/>
    <n v="-6.3296126066973075"/>
    <x v="11"/>
    <n v="16753"/>
    <x v="0"/>
    <n v="0"/>
  </r>
  <r>
    <s v="T00609"/>
    <s v="2024-07-29"/>
    <x v="2"/>
    <s v="CC102"/>
    <x v="5"/>
    <s v="Travel related expense"/>
    <n v="94207"/>
    <n v="98378"/>
    <n v="4171"/>
    <s v="Bank Transfer"/>
    <x v="4"/>
    <x v="0"/>
    <s v="Capital Expense"/>
    <n v="22.586190362023494"/>
    <x v="8"/>
    <n v="4171"/>
    <x v="0"/>
    <n v="0"/>
  </r>
  <r>
    <s v="T00610"/>
    <s v="2024-01-21"/>
    <x v="3"/>
    <s v="CC105"/>
    <x v="1"/>
    <s v="Maintenance related expense"/>
    <n v="257877"/>
    <n v="299271"/>
    <n v="41394"/>
    <s v="Card"/>
    <x v="0"/>
    <x v="0"/>
    <s v="Operating Expense"/>
    <n v="6.2298159153500503"/>
    <x v="6"/>
    <n v="41394"/>
    <x v="1"/>
    <n v="0"/>
  </r>
  <r>
    <s v="T00611"/>
    <s v="2023-02-12"/>
    <x v="4"/>
    <s v="CC103"/>
    <x v="4"/>
    <s v="Salary related expense"/>
    <n v="236743"/>
    <n v="181452"/>
    <n v="-55291"/>
    <s v="Cash"/>
    <x v="1"/>
    <x v="0"/>
    <s v="Capital Expense"/>
    <n v="-4.2817637590204551"/>
    <x v="4"/>
    <n v="55291"/>
    <x v="1"/>
    <n v="0"/>
  </r>
  <r>
    <s v="T00612"/>
    <s v="2023-12-13"/>
    <x v="0"/>
    <s v="CC102"/>
    <x v="1"/>
    <s v="Maintenance related expense"/>
    <n v="323042"/>
    <n v="440152"/>
    <n v="117110"/>
    <s v="Bank Transfer"/>
    <x v="0"/>
    <x v="0"/>
    <s v="Operating Expense"/>
    <n v="2.7584493211510543"/>
    <x v="10"/>
    <n v="117110"/>
    <x v="1"/>
    <n v="0"/>
  </r>
  <r>
    <s v="T00613"/>
    <s v="2023-11-03"/>
    <x v="4"/>
    <s v="CC105"/>
    <x v="3"/>
    <s v="Equipment related expense"/>
    <n v="252452"/>
    <n v="205811"/>
    <n v="-46641"/>
    <s v="Cash"/>
    <x v="2"/>
    <x v="3"/>
    <s v="Capital Expense"/>
    <n v="-5.4126626787590322"/>
    <x v="0"/>
    <n v="46641"/>
    <x v="1"/>
    <n v="0"/>
  </r>
  <r>
    <s v="T00614"/>
    <s v="2023-09-01"/>
    <x v="3"/>
    <s v="CC101"/>
    <x v="4"/>
    <s v="Salary related expense"/>
    <n v="357644"/>
    <n v="486708"/>
    <n v="129064"/>
    <s v="Card"/>
    <x v="3"/>
    <x v="2"/>
    <s v="Operating Expense"/>
    <n v="2.7710593194074256"/>
    <x v="2"/>
    <n v="129064"/>
    <x v="1"/>
    <n v="0"/>
  </r>
  <r>
    <s v="T00615"/>
    <s v="2024-12-14"/>
    <x v="0"/>
    <s v="CC104"/>
    <x v="2"/>
    <s v="Marketing related expense"/>
    <n v="139491"/>
    <n v="149736"/>
    <n v="10245"/>
    <s v="Cash"/>
    <x v="2"/>
    <x v="0"/>
    <s v="Capital Expense"/>
    <n v="13.615519765739386"/>
    <x v="10"/>
    <n v="10245"/>
    <x v="0"/>
    <n v="0"/>
  </r>
  <r>
    <s v="T00616"/>
    <s v="2024-03-04"/>
    <x v="1"/>
    <s v="CC105"/>
    <x v="5"/>
    <s v="Travel related expense"/>
    <n v="127089"/>
    <n v="162543"/>
    <n v="35454"/>
    <s v="Card"/>
    <x v="0"/>
    <x v="1"/>
    <s v="Capital Expense"/>
    <n v="3.58461668641056"/>
    <x v="7"/>
    <n v="35454"/>
    <x v="1"/>
    <n v="0"/>
  </r>
  <r>
    <s v="T00617"/>
    <s v="2024-05-20"/>
    <x v="1"/>
    <s v="CC103"/>
    <x v="3"/>
    <s v="Equipment related expense"/>
    <n v="187092"/>
    <n v="191251"/>
    <n v="4159"/>
    <s v="Cash"/>
    <x v="1"/>
    <x v="1"/>
    <s v="Operating Expense"/>
    <n v="44.984852127915367"/>
    <x v="11"/>
    <n v="4159"/>
    <x v="0"/>
    <n v="0"/>
  </r>
  <r>
    <s v="T00618"/>
    <s v="2023-10-14"/>
    <x v="0"/>
    <s v="CC101"/>
    <x v="1"/>
    <s v="Maintenance related expense"/>
    <n v="454476"/>
    <n v="471519"/>
    <n v="17043"/>
    <s v="Cash"/>
    <x v="3"/>
    <x v="2"/>
    <s v="Operating Expense"/>
    <n v="26.666431966203135"/>
    <x v="5"/>
    <n v="17043"/>
    <x v="0"/>
    <n v="0"/>
  </r>
  <r>
    <s v="T00619"/>
    <s v="2024-05-04"/>
    <x v="0"/>
    <s v="CC104"/>
    <x v="4"/>
    <s v="Salary related expense"/>
    <n v="236467"/>
    <n v="170739"/>
    <n v="-65728"/>
    <s v="Bank Transfer"/>
    <x v="0"/>
    <x v="0"/>
    <s v="Capital Expense"/>
    <n v="-3.5976600535540411"/>
    <x v="11"/>
    <n v="65728"/>
    <x v="1"/>
    <n v="0"/>
  </r>
  <r>
    <s v="T00620"/>
    <s v="2023-08-15"/>
    <x v="2"/>
    <s v="CC105"/>
    <x v="5"/>
    <s v="Travel related expense"/>
    <n v="288680"/>
    <n v="378341"/>
    <n v="89661"/>
    <s v="Bank Transfer"/>
    <x v="2"/>
    <x v="1"/>
    <s v="Capital Expense"/>
    <n v="3.2196830282954685"/>
    <x v="3"/>
    <n v="89661"/>
    <x v="1"/>
    <n v="0"/>
  </r>
  <r>
    <s v="T00621"/>
    <s v="2024-05-02"/>
    <x v="1"/>
    <s v="CC103"/>
    <x v="3"/>
    <s v="Equipment related expense"/>
    <n v="311417"/>
    <n v="418711"/>
    <n v="107294"/>
    <s v="Cash"/>
    <x v="1"/>
    <x v="2"/>
    <s v="Operating Expense"/>
    <n v="2.9024642570880013"/>
    <x v="11"/>
    <n v="107294"/>
    <x v="1"/>
    <n v="0"/>
  </r>
  <r>
    <s v="T00622"/>
    <s v="2024-01-05"/>
    <x v="2"/>
    <s v="CC105"/>
    <x v="5"/>
    <s v="Travel related expense"/>
    <n v="133586"/>
    <n v="164340"/>
    <n v="30754"/>
    <s v="Cash"/>
    <x v="2"/>
    <x v="1"/>
    <s v="Operating Expense"/>
    <n v="4.343695129088899"/>
    <x v="6"/>
    <n v="30754"/>
    <x v="1"/>
    <n v="0"/>
  </r>
  <r>
    <s v="T00623"/>
    <s v="2025-03-31"/>
    <x v="5"/>
    <s v="CC102"/>
    <x v="5"/>
    <s v="Travel related expense"/>
    <n v="441326"/>
    <n v="559942"/>
    <n v="118616"/>
    <s v="Cash"/>
    <x v="0"/>
    <x v="2"/>
    <s v="Operating Expense"/>
    <n v="3.7206279085452216"/>
    <x v="7"/>
    <n v="118616"/>
    <x v="1"/>
    <n v="0"/>
  </r>
  <r>
    <s v="T00624"/>
    <s v="2023-07-11"/>
    <x v="3"/>
    <s v="CC103"/>
    <x v="5"/>
    <s v="Travel related expense"/>
    <n v="85849"/>
    <n v="97660"/>
    <n v="11811"/>
    <s v="Card"/>
    <x v="0"/>
    <x v="1"/>
    <s v="Operating Expense"/>
    <n v="7.2685632037930743"/>
    <x v="8"/>
    <n v="11811"/>
    <x v="0"/>
    <n v="0"/>
  </r>
  <r>
    <s v="T00625"/>
    <s v="2024-05-28"/>
    <x v="3"/>
    <s v="CC101"/>
    <x v="4"/>
    <s v="Salary related expense"/>
    <n v="308264"/>
    <n v="270411"/>
    <n v="-37853"/>
    <s v="Cash"/>
    <x v="1"/>
    <x v="3"/>
    <s v="Operating Expense"/>
    <n v="-8.1437138403825315"/>
    <x v="11"/>
    <n v="37853"/>
    <x v="1"/>
    <n v="0"/>
  </r>
  <r>
    <s v="T00626"/>
    <s v="2023-10-13"/>
    <x v="3"/>
    <s v="CC105"/>
    <x v="3"/>
    <s v="Equipment related expense"/>
    <n v="195676"/>
    <n v="154965"/>
    <n v="-40711"/>
    <s v="Bank Transfer"/>
    <x v="0"/>
    <x v="0"/>
    <s v="Capital Expense"/>
    <n v="-4.806465083147061"/>
    <x v="5"/>
    <n v="40711"/>
    <x v="1"/>
    <n v="0"/>
  </r>
  <r>
    <s v="T00627"/>
    <s v="2024-12-10"/>
    <x v="1"/>
    <s v="CC101"/>
    <x v="4"/>
    <s v="Salary related expense"/>
    <n v="72886"/>
    <n v="88302"/>
    <n v="15416"/>
    <s v="Cash"/>
    <x v="2"/>
    <x v="2"/>
    <s v="Capital Expense"/>
    <n v="4.72794499221588"/>
    <x v="10"/>
    <n v="15416"/>
    <x v="0"/>
    <n v="0"/>
  </r>
  <r>
    <s v="T00628"/>
    <s v="2023-05-17"/>
    <x v="5"/>
    <s v="CC105"/>
    <x v="5"/>
    <s v="Travel related expense"/>
    <n v="317406"/>
    <n v="345632"/>
    <n v="28226"/>
    <s v="Cash"/>
    <x v="2"/>
    <x v="0"/>
    <s v="Capital Expense"/>
    <n v="11.245164033160915"/>
    <x v="11"/>
    <n v="28226"/>
    <x v="1"/>
    <n v="0"/>
  </r>
  <r>
    <s v="T00629"/>
    <s v="2023-06-11"/>
    <x v="0"/>
    <s v="CC104"/>
    <x v="5"/>
    <s v="Travel related expense"/>
    <n v="470117"/>
    <n v="421053"/>
    <n v="-49064"/>
    <s v="Bank Transfer"/>
    <x v="3"/>
    <x v="3"/>
    <s v="Operating Expense"/>
    <n v="-9.581709603782814"/>
    <x v="1"/>
    <n v="49064"/>
    <x v="1"/>
    <n v="0"/>
  </r>
  <r>
    <s v="T00630"/>
    <s v="2023-05-12"/>
    <x v="1"/>
    <s v="CC104"/>
    <x v="2"/>
    <s v="Marketing related expense"/>
    <n v="66027"/>
    <n v="80570"/>
    <n v="14543"/>
    <s v="Cash"/>
    <x v="0"/>
    <x v="3"/>
    <s v="Operating Expense"/>
    <n v="4.5401223956542669"/>
    <x v="11"/>
    <n v="14543"/>
    <x v="0"/>
    <n v="0"/>
  </r>
  <r>
    <s v="T00631"/>
    <s v="2023-03-11"/>
    <x v="0"/>
    <s v="CC104"/>
    <x v="2"/>
    <s v="Marketing related expense"/>
    <n v="266637"/>
    <n v="270549"/>
    <n v="3912"/>
    <s v="Cash"/>
    <x v="4"/>
    <x v="2"/>
    <s v="Operating Expense"/>
    <n v="68.158742331288337"/>
    <x v="7"/>
    <n v="3912"/>
    <x v="0"/>
    <n v="0"/>
  </r>
  <r>
    <s v="T00632"/>
    <s v="2023-03-01"/>
    <x v="4"/>
    <s v="CC102"/>
    <x v="1"/>
    <s v="Maintenance related expense"/>
    <n v="451705"/>
    <n v="354628"/>
    <n v="-97077"/>
    <s v="Cash"/>
    <x v="3"/>
    <x v="1"/>
    <s v="Operating Expense"/>
    <n v="-4.6530589119976922"/>
    <x v="7"/>
    <n v="97077"/>
    <x v="1"/>
    <n v="0"/>
  </r>
  <r>
    <s v="T00633"/>
    <s v="2023-02-18"/>
    <x v="1"/>
    <s v="CC103"/>
    <x v="0"/>
    <s v="Utilities related expense"/>
    <n v="141422"/>
    <n v="148328"/>
    <n v="6906"/>
    <s v="Card"/>
    <x v="1"/>
    <x v="0"/>
    <s v="Operating Expense"/>
    <n v="20.478134955111496"/>
    <x v="4"/>
    <n v="6906"/>
    <x v="0"/>
    <n v="0"/>
  </r>
  <r>
    <s v="T00634"/>
    <s v="2023-04-18"/>
    <x v="0"/>
    <s v="CC105"/>
    <x v="4"/>
    <s v="Salary related expense"/>
    <n v="208556"/>
    <n v="153342"/>
    <n v="-55214"/>
    <s v="Cash"/>
    <x v="4"/>
    <x v="2"/>
    <s v="Operating Expense"/>
    <n v="-3.7772304125765204"/>
    <x v="9"/>
    <n v="55214"/>
    <x v="1"/>
    <n v="0"/>
  </r>
  <r>
    <s v="T00635"/>
    <s v="2023-07-11"/>
    <x v="3"/>
    <s v="CC104"/>
    <x v="3"/>
    <s v="Equipment related expense"/>
    <n v="439565"/>
    <n v="515789"/>
    <n v="76224"/>
    <s v="Card"/>
    <x v="1"/>
    <x v="1"/>
    <s v="Capital Expense"/>
    <n v="5.7667532535684298"/>
    <x v="8"/>
    <n v="76224"/>
    <x v="1"/>
    <n v="0"/>
  </r>
  <r>
    <s v="T00636"/>
    <s v="2024-05-25"/>
    <x v="5"/>
    <s v="CC104"/>
    <x v="0"/>
    <s v="Utilities related expense"/>
    <n v="277131"/>
    <n v="313441"/>
    <n v="36310"/>
    <s v="Bank Transfer"/>
    <x v="0"/>
    <x v="3"/>
    <s v="Operating Expense"/>
    <n v="7.6323602313412282"/>
    <x v="11"/>
    <n v="36310"/>
    <x v="1"/>
    <n v="0"/>
  </r>
  <r>
    <s v="T00637"/>
    <s v="2023-03-19"/>
    <x v="1"/>
    <s v="CC102"/>
    <x v="4"/>
    <s v="Salary related expense"/>
    <n v="53624"/>
    <n v="61726"/>
    <n v="8102"/>
    <s v="Cash"/>
    <x v="2"/>
    <x v="1"/>
    <s v="Operating Expense"/>
    <n v="6.6186126882251299"/>
    <x v="7"/>
    <n v="8102"/>
    <x v="0"/>
    <n v="0"/>
  </r>
  <r>
    <s v="T00638"/>
    <s v="2023-01-13"/>
    <x v="5"/>
    <s v="CC103"/>
    <x v="2"/>
    <s v="Marketing related expense"/>
    <n v="250436"/>
    <n v="349463"/>
    <n v="99027"/>
    <s v="Bank Transfer"/>
    <x v="2"/>
    <x v="2"/>
    <s v="Capital Expense"/>
    <n v="2.5289668474254494"/>
    <x v="6"/>
    <n v="99027"/>
    <x v="1"/>
    <n v="0"/>
  </r>
  <r>
    <s v="T00639"/>
    <s v="2023-12-22"/>
    <x v="3"/>
    <s v="CC101"/>
    <x v="4"/>
    <s v="Salary related expense"/>
    <n v="328474"/>
    <n v="340856"/>
    <n v="12382"/>
    <s v="Card"/>
    <x v="4"/>
    <x v="2"/>
    <s v="Operating Expense"/>
    <n v="26.52834760135681"/>
    <x v="10"/>
    <n v="12382"/>
    <x v="0"/>
    <n v="0"/>
  </r>
  <r>
    <s v="T00640"/>
    <s v="2024-12-02"/>
    <x v="4"/>
    <s v="CC105"/>
    <x v="3"/>
    <s v="Equipment related expense"/>
    <n v="372092"/>
    <n v="366983"/>
    <n v="-5109"/>
    <s v="Cash"/>
    <x v="2"/>
    <x v="3"/>
    <s v="Operating Expense"/>
    <n v="-72.830690937561172"/>
    <x v="10"/>
    <n v="5109"/>
    <x v="0"/>
    <n v="0"/>
  </r>
  <r>
    <s v="T00641"/>
    <s v="2024-01-04"/>
    <x v="3"/>
    <s v="CC105"/>
    <x v="1"/>
    <s v="Maintenance related expense"/>
    <n v="154043"/>
    <n v="178474"/>
    <n v="24431"/>
    <s v="Card"/>
    <x v="4"/>
    <x v="0"/>
    <s v="Capital Expense"/>
    <n v="6.305226965740248"/>
    <x v="6"/>
    <n v="24431"/>
    <x v="1"/>
    <n v="0"/>
  </r>
  <r>
    <s v="T00642"/>
    <s v="2025-03-17"/>
    <x v="5"/>
    <s v="CC104"/>
    <x v="5"/>
    <s v="Travel related expense"/>
    <n v="427841"/>
    <n v="416185"/>
    <n v="-11656"/>
    <s v="Card"/>
    <x v="0"/>
    <x v="1"/>
    <s v="Operating Expense"/>
    <n v="-36.70564516129032"/>
    <x v="7"/>
    <n v="11656"/>
    <x v="0"/>
    <n v="0"/>
  </r>
  <r>
    <s v="T00643"/>
    <s v="2024-09-11"/>
    <x v="3"/>
    <s v="CC101"/>
    <x v="0"/>
    <s v="Utilities related expense"/>
    <n v="430929"/>
    <n v="534260"/>
    <n v="103331"/>
    <s v="Card"/>
    <x v="3"/>
    <x v="1"/>
    <s v="Operating Expense"/>
    <n v="4.1703748149151751"/>
    <x v="2"/>
    <n v="103331"/>
    <x v="1"/>
    <n v="0"/>
  </r>
  <r>
    <s v="T00644"/>
    <s v="2024-01-13"/>
    <x v="5"/>
    <s v="CC104"/>
    <x v="4"/>
    <s v="Salary related expense"/>
    <n v="288492"/>
    <n v="208970"/>
    <n v="-79522"/>
    <s v="Bank Transfer"/>
    <x v="4"/>
    <x v="0"/>
    <s v="Capital Expense"/>
    <n v="-3.627826261914942"/>
    <x v="6"/>
    <n v="79522"/>
    <x v="1"/>
    <n v="0"/>
  </r>
  <r>
    <s v="T00645"/>
    <s v="2023-04-11"/>
    <x v="4"/>
    <s v="CC103"/>
    <x v="5"/>
    <s v="Travel related expense"/>
    <n v="272357"/>
    <n v="287958"/>
    <n v="15601"/>
    <s v="Bank Transfer"/>
    <x v="3"/>
    <x v="3"/>
    <s v="Operating Expense"/>
    <n v="17.457662970322414"/>
    <x v="9"/>
    <n v="15601"/>
    <x v="0"/>
    <n v="0"/>
  </r>
  <r>
    <s v="T00646"/>
    <s v="2023-02-16"/>
    <x v="0"/>
    <s v="CC101"/>
    <x v="3"/>
    <s v="Equipment related expense"/>
    <n v="283569"/>
    <n v="278878"/>
    <n v="-4691"/>
    <s v="Card"/>
    <x v="4"/>
    <x v="3"/>
    <s v="Capital Expense"/>
    <n v="-60.449584310381582"/>
    <x v="4"/>
    <n v="4691"/>
    <x v="0"/>
    <n v="0"/>
  </r>
  <r>
    <s v="T00647"/>
    <s v="2023-03-07"/>
    <x v="0"/>
    <s v="CC102"/>
    <x v="4"/>
    <s v="Salary related expense"/>
    <n v="175320"/>
    <n v="136918"/>
    <n v="-38402"/>
    <s v="Bank Transfer"/>
    <x v="4"/>
    <x v="1"/>
    <s v="Capital Expense"/>
    <n v="-4.5653872194156557"/>
    <x v="7"/>
    <n v="38402"/>
    <x v="1"/>
    <n v="0"/>
  </r>
  <r>
    <s v="T00648"/>
    <s v="2024-08-11"/>
    <x v="1"/>
    <s v="CC103"/>
    <x v="3"/>
    <s v="Equipment related expense"/>
    <n v="271476"/>
    <n v="210076"/>
    <n v="-61400"/>
    <s v="Card"/>
    <x v="4"/>
    <x v="0"/>
    <s v="Capital Expense"/>
    <n v="-4.4214332247557007"/>
    <x v="3"/>
    <n v="61400"/>
    <x v="1"/>
    <n v="0"/>
  </r>
  <r>
    <s v="T00649"/>
    <s v="2023-01-25"/>
    <x v="1"/>
    <s v="CC103"/>
    <x v="2"/>
    <s v="Marketing related expense"/>
    <n v="61588"/>
    <n v="67210"/>
    <n v="5622"/>
    <s v="Cash"/>
    <x v="3"/>
    <x v="0"/>
    <s v="Capital Expense"/>
    <n v="10.954820348630381"/>
    <x v="6"/>
    <n v="5622"/>
    <x v="0"/>
    <n v="0"/>
  </r>
  <r>
    <s v="T00650"/>
    <s v="2023-11-20"/>
    <x v="3"/>
    <s v="CC105"/>
    <x v="4"/>
    <s v="Salary related expense"/>
    <n v="277404"/>
    <n v="316404"/>
    <n v="39000"/>
    <s v="Cash"/>
    <x v="2"/>
    <x v="3"/>
    <s v="Operating Expense"/>
    <n v="7.1129230769230771"/>
    <x v="0"/>
    <n v="39000"/>
    <x v="1"/>
    <n v="0"/>
  </r>
  <r>
    <s v="T00651"/>
    <s v="2023-12-26"/>
    <x v="2"/>
    <s v="CC102"/>
    <x v="4"/>
    <s v="Salary related expense"/>
    <n v="399801"/>
    <n v="558123"/>
    <n v="158322"/>
    <s v="Card"/>
    <x v="4"/>
    <x v="1"/>
    <s v="Capital Expense"/>
    <n v="2.5252397013680978"/>
    <x v="10"/>
    <n v="158322"/>
    <x v="1"/>
    <n v="0"/>
  </r>
  <r>
    <s v="T00652"/>
    <s v="2024-07-17"/>
    <x v="4"/>
    <s v="CC105"/>
    <x v="3"/>
    <s v="Equipment related expense"/>
    <n v="163531"/>
    <n v="200396"/>
    <n v="36865"/>
    <s v="Bank Transfer"/>
    <x v="3"/>
    <x v="1"/>
    <s v="Operating Expense"/>
    <n v="4.4359419503594193"/>
    <x v="8"/>
    <n v="36865"/>
    <x v="1"/>
    <n v="0"/>
  </r>
  <r>
    <s v="T00653"/>
    <s v="2024-09-23"/>
    <x v="0"/>
    <s v="CC101"/>
    <x v="5"/>
    <s v="Travel related expense"/>
    <n v="465452"/>
    <n v="551124"/>
    <n v="85672"/>
    <s v="Cash"/>
    <x v="4"/>
    <x v="2"/>
    <s v="Capital Expense"/>
    <n v="5.4329535904379496"/>
    <x v="2"/>
    <n v="85672"/>
    <x v="1"/>
    <n v="0"/>
  </r>
  <r>
    <s v="T00654"/>
    <s v="2025-01-24"/>
    <x v="3"/>
    <s v="CC102"/>
    <x v="1"/>
    <s v="Maintenance related expense"/>
    <n v="95246"/>
    <n v="95709"/>
    <n v="463"/>
    <s v="Cash"/>
    <x v="4"/>
    <x v="3"/>
    <s v="Capital Expense"/>
    <n v="205.71490280777539"/>
    <x v="6"/>
    <n v="463"/>
    <x v="0"/>
    <n v="0"/>
  </r>
  <r>
    <s v="T00655"/>
    <s v="2024-03-17"/>
    <x v="1"/>
    <s v="CC101"/>
    <x v="1"/>
    <s v="Maintenance related expense"/>
    <n v="190678"/>
    <n v="159671"/>
    <n v="-31007"/>
    <s v="Cash"/>
    <x v="4"/>
    <x v="0"/>
    <s v="Capital Expense"/>
    <n v="-6.1495146257296742"/>
    <x v="7"/>
    <n v="31007"/>
    <x v="1"/>
    <n v="0"/>
  </r>
  <r>
    <s v="T00656"/>
    <s v="2025-03-17"/>
    <x v="2"/>
    <s v="CC103"/>
    <x v="2"/>
    <s v="Marketing related expense"/>
    <n v="215213"/>
    <n v="292417"/>
    <n v="77204"/>
    <s v="Card"/>
    <x v="0"/>
    <x v="1"/>
    <s v="Operating Expense"/>
    <n v="2.7875887259727476"/>
    <x v="7"/>
    <n v="77204"/>
    <x v="1"/>
    <n v="0"/>
  </r>
  <r>
    <s v="T00657"/>
    <s v="2025-01-16"/>
    <x v="4"/>
    <s v="CC101"/>
    <x v="2"/>
    <s v="Marketing related expense"/>
    <n v="295094"/>
    <n v="311298"/>
    <n v="16204"/>
    <s v="Bank Transfer"/>
    <x v="4"/>
    <x v="1"/>
    <s v="Operating Expense"/>
    <n v="18.211182424092815"/>
    <x v="6"/>
    <n v="16204"/>
    <x v="0"/>
    <n v="0"/>
  </r>
  <r>
    <s v="T00658"/>
    <s v="2023-11-11"/>
    <x v="4"/>
    <s v="CC103"/>
    <x v="4"/>
    <s v="Salary related expense"/>
    <n v="435098"/>
    <n v="543787"/>
    <n v="108689"/>
    <s v="Bank Transfer"/>
    <x v="1"/>
    <x v="3"/>
    <s v="Operating Expense"/>
    <n v="4.0031465925714658"/>
    <x v="0"/>
    <n v="108689"/>
    <x v="1"/>
    <n v="0"/>
  </r>
  <r>
    <s v="T00659"/>
    <s v="2024-08-05"/>
    <x v="3"/>
    <s v="CC104"/>
    <x v="0"/>
    <s v="Utilities related expense"/>
    <n v="388717"/>
    <n v="375143"/>
    <n v="-13574"/>
    <s v="Bank Transfer"/>
    <x v="2"/>
    <x v="1"/>
    <s v="Operating Expense"/>
    <n v="-28.636879328127304"/>
    <x v="3"/>
    <n v="13574"/>
    <x v="0"/>
    <n v="0"/>
  </r>
  <r>
    <s v="T00660"/>
    <s v="2024-06-04"/>
    <x v="5"/>
    <s v="CC101"/>
    <x v="0"/>
    <s v="Utilities related expense"/>
    <n v="120740"/>
    <n v="111027"/>
    <n v="-9713"/>
    <s v="Bank Transfer"/>
    <x v="4"/>
    <x v="0"/>
    <s v="Operating Expense"/>
    <n v="-12.430762895089057"/>
    <x v="1"/>
    <n v="9713"/>
    <x v="0"/>
    <n v="0"/>
  </r>
  <r>
    <s v="T00661"/>
    <s v="2024-12-08"/>
    <x v="0"/>
    <s v="CC104"/>
    <x v="4"/>
    <s v="Salary related expense"/>
    <n v="269441"/>
    <n v="367503"/>
    <n v="98062"/>
    <s v="Bank Transfer"/>
    <x v="1"/>
    <x v="1"/>
    <s v="Capital Expense"/>
    <n v="2.7476596438987579"/>
    <x v="10"/>
    <n v="98062"/>
    <x v="1"/>
    <n v="0"/>
  </r>
  <r>
    <s v="T00662"/>
    <s v="2024-09-28"/>
    <x v="5"/>
    <s v="CC102"/>
    <x v="2"/>
    <s v="Marketing related expense"/>
    <n v="244497"/>
    <n v="198266"/>
    <n v="-46231"/>
    <s v="Cash"/>
    <x v="3"/>
    <x v="2"/>
    <s v="Operating Expense"/>
    <n v="-5.2885942333066556"/>
    <x v="2"/>
    <n v="46231"/>
    <x v="1"/>
    <n v="0"/>
  </r>
  <r>
    <s v="T00663"/>
    <s v="2023-01-07"/>
    <x v="3"/>
    <s v="CC102"/>
    <x v="2"/>
    <s v="Marketing related expense"/>
    <n v="191897"/>
    <n v="249581"/>
    <n v="57684"/>
    <s v="Card"/>
    <x v="1"/>
    <x v="0"/>
    <s v="Operating Expense"/>
    <n v="3.3266937105609875"/>
    <x v="6"/>
    <n v="57684"/>
    <x v="1"/>
    <n v="0"/>
  </r>
  <r>
    <s v="T00664"/>
    <s v="2025-04-02"/>
    <x v="5"/>
    <s v="CC103"/>
    <x v="1"/>
    <s v="Maintenance related expense"/>
    <n v="272344"/>
    <n v="279199"/>
    <n v="6855"/>
    <s v="Cash"/>
    <x v="1"/>
    <x v="2"/>
    <s v="Operating Expense"/>
    <n v="39.729248723559444"/>
    <x v="9"/>
    <n v="6855"/>
    <x v="0"/>
    <n v="0"/>
  </r>
  <r>
    <s v="T00665"/>
    <s v="2024-03-31"/>
    <x v="0"/>
    <s v="CC104"/>
    <x v="0"/>
    <s v="Utilities related expense"/>
    <n v="365577"/>
    <n v="404631"/>
    <n v="39054"/>
    <s v="Cash"/>
    <x v="3"/>
    <x v="3"/>
    <s v="Capital Expense"/>
    <n v="9.3608081118451381"/>
    <x v="7"/>
    <n v="39054"/>
    <x v="1"/>
    <n v="0"/>
  </r>
  <r>
    <s v="T00666"/>
    <s v="2024-03-25"/>
    <x v="2"/>
    <s v="CC101"/>
    <x v="2"/>
    <s v="Marketing related expense"/>
    <n v="99159"/>
    <n v="127604"/>
    <n v="28445"/>
    <s v="Cash"/>
    <x v="4"/>
    <x v="1"/>
    <s v="Capital Expense"/>
    <n v="3.4859905079978906"/>
    <x v="7"/>
    <n v="28445"/>
    <x v="1"/>
    <n v="0"/>
  </r>
  <r>
    <s v="T00667"/>
    <s v="2023-12-25"/>
    <x v="0"/>
    <s v="CC101"/>
    <x v="0"/>
    <s v="Utilities related expense"/>
    <n v="186354"/>
    <n v="189454"/>
    <n v="3100"/>
    <s v="Card"/>
    <x v="0"/>
    <x v="0"/>
    <s v="Operating Expense"/>
    <n v="60.114193548387099"/>
    <x v="10"/>
    <n v="3100"/>
    <x v="0"/>
    <n v="0"/>
  </r>
  <r>
    <s v="T00668"/>
    <s v="2025-01-07"/>
    <x v="2"/>
    <s v="CC101"/>
    <x v="5"/>
    <s v="Travel related expense"/>
    <n v="82721"/>
    <n v="96530"/>
    <n v="13809"/>
    <s v="Card"/>
    <x v="3"/>
    <x v="2"/>
    <s v="Capital Expense"/>
    <n v="5.9903686001882832"/>
    <x v="6"/>
    <n v="13809"/>
    <x v="0"/>
    <n v="0"/>
  </r>
  <r>
    <s v="T00669"/>
    <s v="2025-02-08"/>
    <x v="0"/>
    <s v="CC103"/>
    <x v="1"/>
    <s v="Maintenance related expense"/>
    <n v="220702"/>
    <n v="256704"/>
    <n v="36002"/>
    <s v="Cash"/>
    <x v="4"/>
    <x v="1"/>
    <s v="Capital Expense"/>
    <n v="6.130270540525526"/>
    <x v="4"/>
    <n v="36002"/>
    <x v="1"/>
    <n v="0"/>
  </r>
  <r>
    <s v="T00670"/>
    <s v="2024-07-07"/>
    <x v="3"/>
    <s v="CC103"/>
    <x v="1"/>
    <s v="Maintenance related expense"/>
    <n v="296537"/>
    <n v="349188"/>
    <n v="52651"/>
    <s v="Bank Transfer"/>
    <x v="1"/>
    <x v="1"/>
    <s v="Operating Expense"/>
    <n v="5.6321247459687376"/>
    <x v="8"/>
    <n v="52651"/>
    <x v="1"/>
    <n v="0"/>
  </r>
  <r>
    <s v="T00671"/>
    <s v="2023-11-30"/>
    <x v="0"/>
    <s v="CC105"/>
    <x v="1"/>
    <s v="Maintenance related expense"/>
    <n v="316660"/>
    <n v="238034"/>
    <n v="-78626"/>
    <s v="Card"/>
    <x v="0"/>
    <x v="3"/>
    <s v="Operating Expense"/>
    <n v="-4.027420954900415"/>
    <x v="0"/>
    <n v="78626"/>
    <x v="1"/>
    <n v="0"/>
  </r>
  <r>
    <s v="T00672"/>
    <s v="2023-12-26"/>
    <x v="3"/>
    <s v="CC102"/>
    <x v="0"/>
    <s v="Utilities related expense"/>
    <n v="158393"/>
    <n v="205181"/>
    <n v="46788"/>
    <s v="Bank Transfer"/>
    <x v="2"/>
    <x v="2"/>
    <s v="Capital Expense"/>
    <n v="3.3853338462853722"/>
    <x v="10"/>
    <n v="46788"/>
    <x v="1"/>
    <n v="0"/>
  </r>
  <r>
    <s v="T00673"/>
    <s v="2023-10-09"/>
    <x v="4"/>
    <s v="CC102"/>
    <x v="1"/>
    <s v="Maintenance related expense"/>
    <n v="99421"/>
    <n v="99125"/>
    <n v="-296"/>
    <s v="Bank Transfer"/>
    <x v="1"/>
    <x v="2"/>
    <s v="Capital Expense"/>
    <n v="-335.88175675675677"/>
    <x v="5"/>
    <n v="296"/>
    <x v="0"/>
    <n v="0"/>
  </r>
  <r>
    <s v="T00674"/>
    <s v="2023-05-28"/>
    <x v="3"/>
    <s v="CC103"/>
    <x v="4"/>
    <s v="Salary related expense"/>
    <n v="98351"/>
    <n v="119321"/>
    <n v="20970"/>
    <s v="Bank Transfer"/>
    <x v="1"/>
    <x v="2"/>
    <s v="Capital Expense"/>
    <n v="4.6900810681926561"/>
    <x v="11"/>
    <n v="20970"/>
    <x v="1"/>
    <n v="0"/>
  </r>
  <r>
    <s v="T00675"/>
    <s v="2024-05-18"/>
    <x v="0"/>
    <s v="CC105"/>
    <x v="2"/>
    <s v="Marketing related expense"/>
    <n v="182996"/>
    <n v="238156"/>
    <n v="55160"/>
    <s v="Bank Transfer"/>
    <x v="1"/>
    <x v="0"/>
    <s v="Operating Expense"/>
    <n v="3.3175489485134153"/>
    <x v="11"/>
    <n v="55160"/>
    <x v="1"/>
    <n v="0"/>
  </r>
  <r>
    <s v="T00676"/>
    <s v="2023-01-21"/>
    <x v="4"/>
    <s v="CC105"/>
    <x v="0"/>
    <s v="Utilities related expense"/>
    <n v="175957"/>
    <n v="158127"/>
    <n v="-17830"/>
    <s v="Bank Transfer"/>
    <x v="0"/>
    <x v="2"/>
    <s v="Capital Expense"/>
    <n v="-9.8685922602355589"/>
    <x v="6"/>
    <n v="17830"/>
    <x v="1"/>
    <n v="0"/>
  </r>
  <r>
    <s v="T00677"/>
    <s v="2024-08-22"/>
    <x v="2"/>
    <s v="CC105"/>
    <x v="0"/>
    <s v="Utilities related expense"/>
    <n v="352823"/>
    <n v="299853"/>
    <n v="-52970"/>
    <s v="Card"/>
    <x v="4"/>
    <x v="3"/>
    <s v="Operating Expense"/>
    <n v="-6.6608080045308666"/>
    <x v="3"/>
    <n v="52970"/>
    <x v="1"/>
    <n v="0"/>
  </r>
  <r>
    <s v="T00678"/>
    <s v="2023-12-30"/>
    <x v="0"/>
    <s v="CC101"/>
    <x v="1"/>
    <s v="Maintenance related expense"/>
    <n v="365170"/>
    <n v="257781"/>
    <n v="-107389"/>
    <s v="Cash"/>
    <x v="4"/>
    <x v="3"/>
    <s v="Operating Expense"/>
    <n v="-3.4004413859892542"/>
    <x v="10"/>
    <n v="107389"/>
    <x v="1"/>
    <n v="0"/>
  </r>
  <r>
    <s v="T00679"/>
    <s v="2024-07-18"/>
    <x v="3"/>
    <s v="CC105"/>
    <x v="1"/>
    <s v="Maintenance related expense"/>
    <n v="158731"/>
    <n v="135329"/>
    <n v="-23402"/>
    <s v="Bank Transfer"/>
    <x v="4"/>
    <x v="3"/>
    <s v="Capital Expense"/>
    <n v="-6.7827963421929747"/>
    <x v="8"/>
    <n v="23402"/>
    <x v="1"/>
    <n v="0"/>
  </r>
  <r>
    <s v="T00680"/>
    <s v="2023-08-08"/>
    <x v="1"/>
    <s v="CC104"/>
    <x v="5"/>
    <s v="Travel related expense"/>
    <n v="218041"/>
    <n v="194892"/>
    <n v="-23149"/>
    <s v="Card"/>
    <x v="3"/>
    <x v="1"/>
    <s v="Capital Expense"/>
    <n v="-9.4190245798954599"/>
    <x v="3"/>
    <n v="23149"/>
    <x v="1"/>
    <n v="0"/>
  </r>
  <r>
    <s v="T00681"/>
    <s v="2024-11-28"/>
    <x v="5"/>
    <s v="CC105"/>
    <x v="1"/>
    <s v="Maintenance related expense"/>
    <n v="276881"/>
    <n v="326132"/>
    <n v="49251"/>
    <s v="Card"/>
    <x v="0"/>
    <x v="2"/>
    <s v="Operating Expense"/>
    <n v="5.6218350896428495"/>
    <x v="0"/>
    <n v="49251"/>
    <x v="1"/>
    <n v="0"/>
  </r>
  <r>
    <s v="T00682"/>
    <s v="2024-03-20"/>
    <x v="4"/>
    <s v="CC102"/>
    <x v="0"/>
    <s v="Utilities related expense"/>
    <n v="157222"/>
    <n v="132784"/>
    <n v="-24438"/>
    <s v="Bank Transfer"/>
    <x v="1"/>
    <x v="2"/>
    <s v="Operating Expense"/>
    <n v="-6.4335051968246173"/>
    <x v="7"/>
    <n v="24438"/>
    <x v="1"/>
    <n v="0"/>
  </r>
  <r>
    <s v="T00683"/>
    <s v="2024-04-03"/>
    <x v="5"/>
    <s v="CC105"/>
    <x v="2"/>
    <s v="Marketing related expense"/>
    <n v="262707"/>
    <n v="286332"/>
    <n v="23625"/>
    <s v="Card"/>
    <x v="3"/>
    <x v="3"/>
    <s v="Operating Expense"/>
    <n v="11.119873015873015"/>
    <x v="9"/>
    <n v="23625"/>
    <x v="1"/>
    <n v="0"/>
  </r>
  <r>
    <s v="T00684"/>
    <s v="2023-01-30"/>
    <x v="3"/>
    <s v="CC104"/>
    <x v="1"/>
    <s v="Maintenance related expense"/>
    <n v="66024"/>
    <n v="59009"/>
    <n v="-7015"/>
    <s v="Card"/>
    <x v="3"/>
    <x v="2"/>
    <s v="Operating Expense"/>
    <n v="-9.4118317890235215"/>
    <x v="6"/>
    <n v="7015"/>
    <x v="0"/>
    <n v="0"/>
  </r>
  <r>
    <s v="T00685"/>
    <s v="2024-10-25"/>
    <x v="3"/>
    <s v="CC104"/>
    <x v="2"/>
    <s v="Marketing related expense"/>
    <n v="442474"/>
    <n v="610785"/>
    <n v="168311"/>
    <s v="Cash"/>
    <x v="0"/>
    <x v="2"/>
    <s v="Capital Expense"/>
    <n v="2.6289072015495125"/>
    <x v="5"/>
    <n v="168311"/>
    <x v="1"/>
    <n v="0"/>
  </r>
  <r>
    <s v="T00686"/>
    <s v="2024-07-11"/>
    <x v="5"/>
    <s v="CC101"/>
    <x v="4"/>
    <s v="Salary related expense"/>
    <n v="374785"/>
    <n v="422369"/>
    <n v="47584"/>
    <s v="Card"/>
    <x v="3"/>
    <x v="3"/>
    <s v="Operating Expense"/>
    <n v="7.8762819435104241"/>
    <x v="8"/>
    <n v="47584"/>
    <x v="1"/>
    <n v="0"/>
  </r>
  <r>
    <s v="T00687"/>
    <s v="2023-03-13"/>
    <x v="4"/>
    <s v="CC103"/>
    <x v="5"/>
    <s v="Travel related expense"/>
    <n v="462250"/>
    <n v="368334"/>
    <n v="-93916"/>
    <s v="Cash"/>
    <x v="1"/>
    <x v="3"/>
    <s v="Operating Expense"/>
    <n v="-4.9219515311555009"/>
    <x v="7"/>
    <n v="93916"/>
    <x v="1"/>
    <n v="0"/>
  </r>
  <r>
    <s v="T00688"/>
    <s v="2025-04-07"/>
    <x v="4"/>
    <s v="CC105"/>
    <x v="3"/>
    <s v="Equipment related expense"/>
    <n v="71543"/>
    <n v="75037"/>
    <n v="3494"/>
    <s v="Cash"/>
    <x v="0"/>
    <x v="2"/>
    <s v="Capital Expense"/>
    <n v="20.475958786491127"/>
    <x v="9"/>
    <n v="3494"/>
    <x v="0"/>
    <n v="0"/>
  </r>
  <r>
    <s v="T00689"/>
    <s v="2023-09-04"/>
    <x v="0"/>
    <s v="CC101"/>
    <x v="4"/>
    <s v="Salary related expense"/>
    <n v="293421"/>
    <n v="361614"/>
    <n v="68193"/>
    <s v="Bank Transfer"/>
    <x v="3"/>
    <x v="3"/>
    <s v="Operating Expense"/>
    <n v="4.3028023404161715"/>
    <x v="2"/>
    <n v="68193"/>
    <x v="1"/>
    <n v="0"/>
  </r>
  <r>
    <s v="T00690"/>
    <s v="2023-07-09"/>
    <x v="5"/>
    <s v="CC102"/>
    <x v="2"/>
    <s v="Marketing related expense"/>
    <n v="367069"/>
    <n v="410278"/>
    <n v="43209"/>
    <s v="Card"/>
    <x v="4"/>
    <x v="1"/>
    <s v="Operating Expense"/>
    <n v="8.4951977597259827"/>
    <x v="8"/>
    <n v="43209"/>
    <x v="1"/>
    <n v="0"/>
  </r>
  <r>
    <s v="T00691"/>
    <s v="2025-03-10"/>
    <x v="5"/>
    <s v="CC103"/>
    <x v="0"/>
    <s v="Utilities related expense"/>
    <n v="438265"/>
    <n v="591041"/>
    <n v="152776"/>
    <s v="Cash"/>
    <x v="2"/>
    <x v="3"/>
    <s v="Operating Expense"/>
    <n v="2.8686770173325655"/>
    <x v="7"/>
    <n v="152776"/>
    <x v="1"/>
    <n v="0"/>
  </r>
  <r>
    <s v="T00692"/>
    <s v="2024-04-29"/>
    <x v="0"/>
    <s v="CC105"/>
    <x v="5"/>
    <s v="Travel related expense"/>
    <n v="281734"/>
    <n v="291339"/>
    <n v="9605"/>
    <s v="Card"/>
    <x v="2"/>
    <x v="0"/>
    <s v="Capital Expense"/>
    <n v="29.332014575741802"/>
    <x v="9"/>
    <n v="9605"/>
    <x v="0"/>
    <n v="0"/>
  </r>
  <r>
    <s v="T00693"/>
    <s v="2023-08-04"/>
    <x v="4"/>
    <s v="CC102"/>
    <x v="1"/>
    <s v="Maintenance related expense"/>
    <n v="99846"/>
    <n v="71275"/>
    <n v="-28571"/>
    <s v="Cash"/>
    <x v="4"/>
    <x v="0"/>
    <s v="Capital Expense"/>
    <n v="-3.494662419936299"/>
    <x v="3"/>
    <n v="28571"/>
    <x v="1"/>
    <n v="0"/>
  </r>
  <r>
    <s v="T00694"/>
    <s v="2024-11-11"/>
    <x v="4"/>
    <s v="CC103"/>
    <x v="0"/>
    <s v="Utilities related expense"/>
    <n v="284298"/>
    <n v="224842"/>
    <n v="-59456"/>
    <s v="Bank Transfer"/>
    <x v="0"/>
    <x v="3"/>
    <s v="Capital Expense"/>
    <n v="-4.7816536598493"/>
    <x v="0"/>
    <n v="59456"/>
    <x v="1"/>
    <n v="0"/>
  </r>
  <r>
    <s v="T00695"/>
    <s v="2023-12-06"/>
    <x v="1"/>
    <s v="CC104"/>
    <x v="3"/>
    <s v="Equipment related expense"/>
    <n v="415923"/>
    <n v="446031"/>
    <n v="30108"/>
    <s v="Bank Transfer"/>
    <x v="2"/>
    <x v="1"/>
    <s v="Capital Expense"/>
    <n v="13.814368274212834"/>
    <x v="10"/>
    <n v="30108"/>
    <x v="1"/>
    <n v="0"/>
  </r>
  <r>
    <s v="T00696"/>
    <s v="2024-01-17"/>
    <x v="5"/>
    <s v="CC102"/>
    <x v="5"/>
    <s v="Travel related expense"/>
    <n v="412810"/>
    <n v="515273"/>
    <n v="102463"/>
    <s v="Cash"/>
    <x v="4"/>
    <x v="2"/>
    <s v="Capital Expense"/>
    <n v="4.0288689575749297"/>
    <x v="6"/>
    <n v="102463"/>
    <x v="1"/>
    <n v="0"/>
  </r>
  <r>
    <s v="T00697"/>
    <s v="2023-07-17"/>
    <x v="4"/>
    <s v="CC104"/>
    <x v="0"/>
    <s v="Utilities related expense"/>
    <n v="155582"/>
    <n v="172008"/>
    <n v="16426"/>
    <s v="Cash"/>
    <x v="1"/>
    <x v="2"/>
    <s v="Operating Expense"/>
    <n v="9.4716912212346287"/>
    <x v="8"/>
    <n v="16426"/>
    <x v="0"/>
    <n v="0"/>
  </r>
  <r>
    <s v="T00698"/>
    <s v="2024-07-21"/>
    <x v="4"/>
    <s v="CC101"/>
    <x v="3"/>
    <s v="Equipment related expense"/>
    <n v="444561"/>
    <n v="540848"/>
    <n v="96287"/>
    <s v="Card"/>
    <x v="1"/>
    <x v="1"/>
    <s v="Operating Expense"/>
    <n v="4.6170407220081628"/>
    <x v="8"/>
    <n v="96287"/>
    <x v="1"/>
    <n v="0"/>
  </r>
  <r>
    <s v="T00699"/>
    <s v="2023-05-27"/>
    <x v="3"/>
    <s v="CC102"/>
    <x v="2"/>
    <s v="Marketing related expense"/>
    <n v="127855"/>
    <n v="174456"/>
    <n v="46601"/>
    <s v="Card"/>
    <x v="4"/>
    <x v="0"/>
    <s v="Capital Expense"/>
    <n v="2.7436106521319283"/>
    <x v="11"/>
    <n v="46601"/>
    <x v="1"/>
    <n v="0"/>
  </r>
  <r>
    <s v="T00700"/>
    <s v="2024-02-19"/>
    <x v="4"/>
    <s v="CC105"/>
    <x v="4"/>
    <s v="Salary related expense"/>
    <n v="430505"/>
    <n v="478203"/>
    <n v="47698"/>
    <s v="Cash"/>
    <x v="3"/>
    <x v="2"/>
    <s v="Capital Expense"/>
    <n v="9.0256404880707795"/>
    <x v="4"/>
    <n v="47698"/>
    <x v="1"/>
    <n v="0"/>
  </r>
  <r>
    <s v="T00701"/>
    <s v="2023-10-10"/>
    <x v="0"/>
    <s v="CC104"/>
    <x v="4"/>
    <s v="Salary related expense"/>
    <n v="174987"/>
    <n v="157781"/>
    <n v="-17206"/>
    <s v="Bank Transfer"/>
    <x v="4"/>
    <x v="1"/>
    <s v="Operating Expense"/>
    <n v="-10.170115076136231"/>
    <x v="5"/>
    <n v="17206"/>
    <x v="1"/>
    <n v="0"/>
  </r>
  <r>
    <s v="T00702"/>
    <s v="2024-01-02"/>
    <x v="3"/>
    <s v="CC103"/>
    <x v="0"/>
    <s v="Utilities related expense"/>
    <n v="242721"/>
    <n v="210361"/>
    <n v="-32360"/>
    <s v="Card"/>
    <x v="2"/>
    <x v="0"/>
    <s v="Capital Expense"/>
    <n v="-7.5006489493201487"/>
    <x v="6"/>
    <n v="32360"/>
    <x v="1"/>
    <n v="0"/>
  </r>
  <r>
    <s v="T00703"/>
    <s v="2025-04-12"/>
    <x v="3"/>
    <s v="CC103"/>
    <x v="1"/>
    <s v="Maintenance related expense"/>
    <n v="195744"/>
    <n v="171036"/>
    <n v="-24708"/>
    <s v="Card"/>
    <x v="0"/>
    <x v="0"/>
    <s v="Capital Expense"/>
    <n v="-7.9222923749392908"/>
    <x v="9"/>
    <n v="24708"/>
    <x v="1"/>
    <n v="0"/>
  </r>
  <r>
    <s v="T00704"/>
    <s v="2025-05-01"/>
    <x v="5"/>
    <s v="CC105"/>
    <x v="0"/>
    <s v="Utilities related expense"/>
    <n v="298340"/>
    <n v="349924"/>
    <n v="51584"/>
    <s v="Cash"/>
    <x v="1"/>
    <x v="0"/>
    <s v="Operating Expense"/>
    <n v="5.7835763027295286"/>
    <x v="11"/>
    <n v="51584"/>
    <x v="1"/>
    <n v="0"/>
  </r>
  <r>
    <s v="T00705"/>
    <s v="2024-05-27"/>
    <x v="4"/>
    <s v="CC104"/>
    <x v="0"/>
    <s v="Utilities related expense"/>
    <n v="410880"/>
    <n v="559501"/>
    <n v="148621"/>
    <s v="Cash"/>
    <x v="1"/>
    <x v="2"/>
    <s v="Operating Expense"/>
    <n v="2.7646160367646564"/>
    <x v="11"/>
    <n v="148621"/>
    <x v="1"/>
    <n v="0"/>
  </r>
  <r>
    <s v="T00706"/>
    <s v="2024-05-21"/>
    <x v="2"/>
    <s v="CC102"/>
    <x v="2"/>
    <s v="Marketing related expense"/>
    <n v="291565"/>
    <n v="323697"/>
    <n v="32132"/>
    <s v="Card"/>
    <x v="1"/>
    <x v="1"/>
    <s v="Capital Expense"/>
    <n v="9.0739760985933025"/>
    <x v="11"/>
    <n v="32132"/>
    <x v="1"/>
    <n v="0"/>
  </r>
  <r>
    <s v="T00707"/>
    <s v="2024-03-22"/>
    <x v="1"/>
    <s v="CC101"/>
    <x v="2"/>
    <s v="Marketing related expense"/>
    <n v="268710"/>
    <n v="243658"/>
    <n v="-25052"/>
    <s v="Cash"/>
    <x v="4"/>
    <x v="2"/>
    <s v="Operating Expense"/>
    <n v="-10.726089733354623"/>
    <x v="7"/>
    <n v="25052"/>
    <x v="1"/>
    <n v="0"/>
  </r>
  <r>
    <s v="T00708"/>
    <s v="2024-02-24"/>
    <x v="2"/>
    <s v="CC103"/>
    <x v="3"/>
    <s v="Equipment related expense"/>
    <n v="351609"/>
    <n v="307661"/>
    <n v="-43948"/>
    <s v="Cash"/>
    <x v="3"/>
    <x v="2"/>
    <s v="Capital Expense"/>
    <n v="-8.0005688541003011"/>
    <x v="4"/>
    <n v="43948"/>
    <x v="1"/>
    <n v="0"/>
  </r>
  <r>
    <s v="T00709"/>
    <s v="2023-05-21"/>
    <x v="1"/>
    <s v="CC101"/>
    <x v="1"/>
    <s v="Maintenance related expense"/>
    <n v="288911"/>
    <n v="238310"/>
    <n v="-50601"/>
    <s v="Bank Transfer"/>
    <x v="0"/>
    <x v="0"/>
    <s v="Operating Expense"/>
    <n v="-5.709590719550997"/>
    <x v="11"/>
    <n v="50601"/>
    <x v="1"/>
    <n v="0"/>
  </r>
  <r>
    <s v="T00710"/>
    <s v="2023-04-25"/>
    <x v="3"/>
    <s v="CC102"/>
    <x v="4"/>
    <s v="Salary related expense"/>
    <n v="279562"/>
    <n v="240201"/>
    <n v="-39361"/>
    <s v="Cash"/>
    <x v="2"/>
    <x v="2"/>
    <s v="Capital Expense"/>
    <n v="-7.1025126394146492"/>
    <x v="9"/>
    <n v="39361"/>
    <x v="1"/>
    <n v="0"/>
  </r>
  <r>
    <s v="T00711"/>
    <s v="2023-08-13"/>
    <x v="5"/>
    <s v="CC102"/>
    <x v="5"/>
    <s v="Travel related expense"/>
    <n v="151501"/>
    <n v="130368"/>
    <n v="-21133"/>
    <s v="Card"/>
    <x v="3"/>
    <x v="0"/>
    <s v="Operating Expense"/>
    <n v="-7.168930109307718"/>
    <x v="3"/>
    <n v="21133"/>
    <x v="1"/>
    <n v="0"/>
  </r>
  <r>
    <s v="T00712"/>
    <s v="2024-03-08"/>
    <x v="1"/>
    <s v="CC103"/>
    <x v="5"/>
    <s v="Travel related expense"/>
    <n v="212343"/>
    <n v="155331"/>
    <n v="-57012"/>
    <s v="Bank Transfer"/>
    <x v="2"/>
    <x v="2"/>
    <s v="Operating Expense"/>
    <n v="-3.7245316775415702"/>
    <x v="7"/>
    <n v="57012"/>
    <x v="1"/>
    <n v="0"/>
  </r>
  <r>
    <s v="T00713"/>
    <s v="2023-07-11"/>
    <x v="1"/>
    <s v="CC102"/>
    <x v="1"/>
    <s v="Maintenance related expense"/>
    <n v="179480"/>
    <n v="236000"/>
    <n v="56520"/>
    <s v="Bank Transfer"/>
    <x v="0"/>
    <x v="3"/>
    <s v="Operating Expense"/>
    <n v="3.175513092710545"/>
    <x v="8"/>
    <n v="56520"/>
    <x v="1"/>
    <n v="0"/>
  </r>
  <r>
    <s v="T00714"/>
    <s v="2023-01-18"/>
    <x v="5"/>
    <s v="CC103"/>
    <x v="0"/>
    <s v="Utilities related expense"/>
    <n v="424130"/>
    <n v="480789"/>
    <n v="56659"/>
    <s v="Bank Transfer"/>
    <x v="2"/>
    <x v="2"/>
    <s v="Capital Expense"/>
    <n v="7.4856598245645003"/>
    <x v="6"/>
    <n v="56659"/>
    <x v="1"/>
    <n v="0"/>
  </r>
  <r>
    <s v="T00715"/>
    <s v="2024-01-08"/>
    <x v="0"/>
    <s v="CC101"/>
    <x v="5"/>
    <s v="Travel related expense"/>
    <n v="99410"/>
    <n v="74260"/>
    <n v="-25150"/>
    <s v="Cash"/>
    <x v="1"/>
    <x v="3"/>
    <s v="Operating Expense"/>
    <n v="-3.9526838966202784"/>
    <x v="6"/>
    <n v="25150"/>
    <x v="1"/>
    <n v="0"/>
  </r>
  <r>
    <s v="T00716"/>
    <s v="2023-12-17"/>
    <x v="4"/>
    <s v="CC104"/>
    <x v="2"/>
    <s v="Marketing related expense"/>
    <n v="58200"/>
    <n v="42019"/>
    <n v="-16181"/>
    <s v="Bank Transfer"/>
    <x v="4"/>
    <x v="0"/>
    <s v="Capital Expense"/>
    <n v="-3.596811074717261"/>
    <x v="10"/>
    <n v="16181"/>
    <x v="0"/>
    <n v="0"/>
  </r>
  <r>
    <s v="T00717"/>
    <s v="2024-10-03"/>
    <x v="5"/>
    <s v="CC105"/>
    <x v="3"/>
    <s v="Equipment related expense"/>
    <n v="91406"/>
    <n v="75799"/>
    <n v="-15607"/>
    <s v="Cash"/>
    <x v="0"/>
    <x v="2"/>
    <s v="Capital Expense"/>
    <n v="-5.856730954059076"/>
    <x v="5"/>
    <n v="15607"/>
    <x v="0"/>
    <n v="0"/>
  </r>
  <r>
    <s v="T00718"/>
    <s v="2023-03-24"/>
    <x v="2"/>
    <s v="CC102"/>
    <x v="2"/>
    <s v="Marketing related expense"/>
    <n v="321299"/>
    <n v="295282"/>
    <n v="-26017"/>
    <s v="Cash"/>
    <x v="4"/>
    <x v="2"/>
    <s v="Operating Expense"/>
    <n v="-12.349579121343737"/>
    <x v="7"/>
    <n v="26017"/>
    <x v="1"/>
    <n v="0"/>
  </r>
  <r>
    <s v="T00719"/>
    <s v="2025-01-27"/>
    <x v="3"/>
    <s v="CC102"/>
    <x v="4"/>
    <s v="Salary related expense"/>
    <n v="399441"/>
    <n v="404131"/>
    <n v="4690"/>
    <s v="Cash"/>
    <x v="2"/>
    <x v="0"/>
    <s v="Operating Expense"/>
    <n v="85.168656716417914"/>
    <x v="6"/>
    <n v="4690"/>
    <x v="0"/>
    <n v="0"/>
  </r>
  <r>
    <s v="T00720"/>
    <s v="2024-10-27"/>
    <x v="3"/>
    <s v="CC105"/>
    <x v="1"/>
    <s v="Maintenance related expense"/>
    <n v="311737"/>
    <n v="426079"/>
    <n v="114342"/>
    <s v="Bank Transfer"/>
    <x v="1"/>
    <x v="1"/>
    <s v="Operating Expense"/>
    <n v="2.7263560196603174"/>
    <x v="5"/>
    <n v="114342"/>
    <x v="1"/>
    <n v="0"/>
  </r>
  <r>
    <s v="T00721"/>
    <s v="2025-03-11"/>
    <x v="0"/>
    <s v="CC101"/>
    <x v="0"/>
    <s v="Utilities related expense"/>
    <n v="248465"/>
    <n v="226775"/>
    <n v="-21690"/>
    <s v="Card"/>
    <x v="4"/>
    <x v="1"/>
    <s v="Capital Expense"/>
    <n v="-11.455278930382665"/>
    <x v="7"/>
    <n v="21690"/>
    <x v="1"/>
    <n v="0"/>
  </r>
  <r>
    <s v="T00722"/>
    <s v="2023-09-30"/>
    <x v="1"/>
    <s v="CC101"/>
    <x v="3"/>
    <s v="Equipment related expense"/>
    <n v="402957"/>
    <n v="552299"/>
    <n v="149342"/>
    <s v="Cash"/>
    <x v="2"/>
    <x v="2"/>
    <s v="Operating Expense"/>
    <n v="2.698216174954132"/>
    <x v="2"/>
    <n v="149342"/>
    <x v="1"/>
    <n v="0"/>
  </r>
  <r>
    <s v="T00723"/>
    <s v="2024-04-07"/>
    <x v="2"/>
    <s v="CC105"/>
    <x v="3"/>
    <s v="Equipment related expense"/>
    <n v="272112"/>
    <n v="365822"/>
    <n v="93710"/>
    <s v="Bank Transfer"/>
    <x v="2"/>
    <x v="2"/>
    <s v="Capital Expense"/>
    <n v="2.9037669405613062"/>
    <x v="9"/>
    <n v="93710"/>
    <x v="1"/>
    <n v="0"/>
  </r>
  <r>
    <s v="T00724"/>
    <s v="2024-04-23"/>
    <x v="4"/>
    <s v="CC103"/>
    <x v="5"/>
    <s v="Travel related expense"/>
    <n v="65066"/>
    <n v="47814"/>
    <n v="-17252"/>
    <s v="Card"/>
    <x v="4"/>
    <x v="2"/>
    <s v="Operating Expense"/>
    <n v="-3.7715047530721075"/>
    <x v="9"/>
    <n v="17252"/>
    <x v="1"/>
    <n v="0"/>
  </r>
  <r>
    <s v="T00725"/>
    <s v="2024-04-09"/>
    <x v="0"/>
    <s v="CC101"/>
    <x v="3"/>
    <s v="Equipment related expense"/>
    <n v="78620"/>
    <n v="106979"/>
    <n v="28359"/>
    <s v="Bank Transfer"/>
    <x v="3"/>
    <x v="3"/>
    <s v="Capital Expense"/>
    <n v="2.7723121407665996"/>
    <x v="9"/>
    <n v="28359"/>
    <x v="1"/>
    <n v="0"/>
  </r>
  <r>
    <s v="T00726"/>
    <s v="2024-12-02"/>
    <x v="2"/>
    <s v="CC103"/>
    <x v="0"/>
    <s v="Utilities related expense"/>
    <n v="62645"/>
    <n v="54735"/>
    <n v="-7910"/>
    <s v="Bank Transfer"/>
    <x v="3"/>
    <x v="3"/>
    <s v="Operating Expense"/>
    <n v="-7.9197218710493047"/>
    <x v="10"/>
    <n v="7910"/>
    <x v="0"/>
    <n v="0"/>
  </r>
  <r>
    <s v="T00727"/>
    <s v="2023-02-04"/>
    <x v="1"/>
    <s v="CC102"/>
    <x v="5"/>
    <s v="Travel related expense"/>
    <n v="284955"/>
    <n v="360809"/>
    <n v="75854"/>
    <s v="Bank Transfer"/>
    <x v="0"/>
    <x v="1"/>
    <s v="Capital Expense"/>
    <n v="3.7566245682495318"/>
    <x v="4"/>
    <n v="75854"/>
    <x v="1"/>
    <n v="0"/>
  </r>
  <r>
    <s v="T00728"/>
    <s v="2023-08-29"/>
    <x v="0"/>
    <s v="CC105"/>
    <x v="1"/>
    <s v="Maintenance related expense"/>
    <n v="52814"/>
    <n v="59029"/>
    <n v="6215"/>
    <s v="Bank Transfer"/>
    <x v="4"/>
    <x v="3"/>
    <s v="Capital Expense"/>
    <n v="8.4978278358809334"/>
    <x v="3"/>
    <n v="6215"/>
    <x v="0"/>
    <n v="0"/>
  </r>
  <r>
    <s v="T00729"/>
    <s v="2025-05-11"/>
    <x v="0"/>
    <s v="CC101"/>
    <x v="3"/>
    <s v="Equipment related expense"/>
    <n v="424414"/>
    <n v="513062"/>
    <n v="88648"/>
    <s v="Bank Transfer"/>
    <x v="4"/>
    <x v="2"/>
    <s v="Capital Expense"/>
    <n v="4.7876319826730436"/>
    <x v="11"/>
    <n v="88648"/>
    <x v="1"/>
    <n v="0"/>
  </r>
  <r>
    <s v="T00730"/>
    <s v="2024-09-28"/>
    <x v="4"/>
    <s v="CC103"/>
    <x v="5"/>
    <s v="Travel related expense"/>
    <n v="133423"/>
    <n v="125184"/>
    <n v="-8239"/>
    <s v="Card"/>
    <x v="2"/>
    <x v="2"/>
    <s v="Capital Expense"/>
    <n v="-16.194076951086299"/>
    <x v="2"/>
    <n v="8239"/>
    <x v="0"/>
    <n v="0"/>
  </r>
  <r>
    <s v="T00731"/>
    <s v="2024-12-30"/>
    <x v="3"/>
    <s v="CC104"/>
    <x v="2"/>
    <s v="Marketing related expense"/>
    <n v="273673"/>
    <n v="290085"/>
    <n v="16412"/>
    <s v="Cash"/>
    <x v="3"/>
    <x v="1"/>
    <s v="Capital Expense"/>
    <n v="16.675176699975626"/>
    <x v="10"/>
    <n v="16412"/>
    <x v="0"/>
    <n v="0"/>
  </r>
  <r>
    <s v="T00732"/>
    <s v="2023-11-17"/>
    <x v="0"/>
    <s v="CC105"/>
    <x v="5"/>
    <s v="Travel related expense"/>
    <n v="463694"/>
    <n v="344222"/>
    <n v="-119472"/>
    <s v="Card"/>
    <x v="2"/>
    <x v="1"/>
    <s v="Capital Expense"/>
    <n v="-3.8811939199142897"/>
    <x v="0"/>
    <n v="119472"/>
    <x v="1"/>
    <n v="0"/>
  </r>
  <r>
    <s v="T00733"/>
    <s v="2024-06-13"/>
    <x v="4"/>
    <s v="CC101"/>
    <x v="2"/>
    <s v="Marketing related expense"/>
    <n v="313391"/>
    <n v="392800"/>
    <n v="79409"/>
    <s v="Cash"/>
    <x v="1"/>
    <x v="2"/>
    <s v="Capital Expense"/>
    <n v="3.9465425833343826"/>
    <x v="1"/>
    <n v="79409"/>
    <x v="1"/>
    <n v="0"/>
  </r>
  <r>
    <s v="T00734"/>
    <s v="2024-06-21"/>
    <x v="2"/>
    <s v="CC102"/>
    <x v="5"/>
    <s v="Travel related expense"/>
    <n v="415978"/>
    <n v="433898"/>
    <n v="17920"/>
    <s v="Bank Transfer"/>
    <x v="3"/>
    <x v="0"/>
    <s v="Operating Expense"/>
    <n v="23.213058035714287"/>
    <x v="1"/>
    <n v="17920"/>
    <x v="1"/>
    <n v="0"/>
  </r>
  <r>
    <s v="T00735"/>
    <s v="2024-07-18"/>
    <x v="4"/>
    <s v="CC101"/>
    <x v="1"/>
    <s v="Maintenance related expense"/>
    <n v="200197"/>
    <n v="226247"/>
    <n v="26050"/>
    <s v="Cash"/>
    <x v="3"/>
    <x v="0"/>
    <s v="Capital Expense"/>
    <n v="7.6851055662188097"/>
    <x v="8"/>
    <n v="26050"/>
    <x v="1"/>
    <n v="0"/>
  </r>
  <r>
    <s v="T00736"/>
    <s v="2023-08-05"/>
    <x v="3"/>
    <s v="CC103"/>
    <x v="5"/>
    <s v="Travel related expense"/>
    <n v="91049"/>
    <n v="101640"/>
    <n v="10591"/>
    <s v="Bank Transfer"/>
    <x v="3"/>
    <x v="2"/>
    <s v="Capital Expense"/>
    <n v="8.5968274950429606"/>
    <x v="3"/>
    <n v="10591"/>
    <x v="0"/>
    <n v="0"/>
  </r>
  <r>
    <s v="T00737"/>
    <s v="2023-02-21"/>
    <x v="4"/>
    <s v="CC104"/>
    <x v="2"/>
    <s v="Marketing related expense"/>
    <n v="313325"/>
    <n v="248058"/>
    <n v="-65267"/>
    <s v="Bank Transfer"/>
    <x v="3"/>
    <x v="1"/>
    <s v="Operating Expense"/>
    <n v="-4.8006649608531111"/>
    <x v="4"/>
    <n v="65267"/>
    <x v="1"/>
    <n v="0"/>
  </r>
  <r>
    <s v="T00738"/>
    <s v="2024-05-04"/>
    <x v="1"/>
    <s v="CC101"/>
    <x v="5"/>
    <s v="Travel related expense"/>
    <n v="93581"/>
    <n v="90158"/>
    <n v="-3423"/>
    <s v="Cash"/>
    <x v="0"/>
    <x v="1"/>
    <s v="Capital Expense"/>
    <n v="-27.338884019865613"/>
    <x v="11"/>
    <n v="3423"/>
    <x v="0"/>
    <n v="0"/>
  </r>
  <r>
    <s v="T00739"/>
    <s v="2023-05-08"/>
    <x v="0"/>
    <s v="CC103"/>
    <x v="5"/>
    <s v="Travel related expense"/>
    <n v="288929"/>
    <n v="389646"/>
    <n v="100717"/>
    <s v="Cash"/>
    <x v="4"/>
    <x v="1"/>
    <s v="Capital Expense"/>
    <n v="2.8687212685048205"/>
    <x v="11"/>
    <n v="100717"/>
    <x v="1"/>
    <n v="0"/>
  </r>
  <r>
    <s v="T00740"/>
    <s v="2024-01-03"/>
    <x v="0"/>
    <s v="CC102"/>
    <x v="4"/>
    <s v="Salary related expense"/>
    <n v="385360"/>
    <n v="279630"/>
    <n v="-105730"/>
    <s v="Cash"/>
    <x v="1"/>
    <x v="2"/>
    <s v="Capital Expense"/>
    <n v="-3.6447555093161825"/>
    <x v="6"/>
    <n v="105730"/>
    <x v="1"/>
    <n v="0"/>
  </r>
  <r>
    <s v="T00741"/>
    <s v="2024-04-21"/>
    <x v="5"/>
    <s v="CC103"/>
    <x v="3"/>
    <s v="Equipment related expense"/>
    <n v="245835"/>
    <n v="196412"/>
    <n v="-49423"/>
    <s v="Card"/>
    <x v="2"/>
    <x v="2"/>
    <s v="Capital Expense"/>
    <n v="-4.9741011270056452"/>
    <x v="9"/>
    <n v="49423"/>
    <x v="1"/>
    <n v="0"/>
  </r>
  <r>
    <s v="T00742"/>
    <s v="2024-05-21"/>
    <x v="4"/>
    <s v="CC104"/>
    <x v="3"/>
    <s v="Equipment related expense"/>
    <n v="498748"/>
    <n v="683888"/>
    <n v="185140"/>
    <s v="Cash"/>
    <x v="2"/>
    <x v="0"/>
    <s v="Operating Expense"/>
    <n v="2.6938965107486226"/>
    <x v="11"/>
    <n v="185140"/>
    <x v="1"/>
    <n v="0"/>
  </r>
  <r>
    <s v="T00743"/>
    <s v="2024-07-13"/>
    <x v="2"/>
    <s v="CC101"/>
    <x v="3"/>
    <s v="Equipment related expense"/>
    <n v="284357"/>
    <n v="374895"/>
    <n v="90538"/>
    <s v="Card"/>
    <x v="4"/>
    <x v="2"/>
    <s v="Capital Expense"/>
    <n v="3.1407475314232696"/>
    <x v="8"/>
    <n v="90538"/>
    <x v="1"/>
    <n v="0"/>
  </r>
  <r>
    <s v="T00744"/>
    <s v="2024-07-25"/>
    <x v="4"/>
    <s v="CC105"/>
    <x v="1"/>
    <s v="Maintenance related expense"/>
    <n v="278023"/>
    <n v="373489"/>
    <n v="95466"/>
    <s v="Card"/>
    <x v="2"/>
    <x v="3"/>
    <s v="Capital Expense"/>
    <n v="2.9122724320700564"/>
    <x v="8"/>
    <n v="95466"/>
    <x v="1"/>
    <n v="0"/>
  </r>
  <r>
    <s v="T00745"/>
    <s v="2023-06-09"/>
    <x v="4"/>
    <s v="CC101"/>
    <x v="3"/>
    <s v="Equipment related expense"/>
    <n v="63174"/>
    <n v="58343"/>
    <n v="-4831"/>
    <s v="Cash"/>
    <x v="1"/>
    <x v="3"/>
    <s v="Operating Expense"/>
    <n v="-13.076795694473194"/>
    <x v="1"/>
    <n v="4831"/>
    <x v="0"/>
    <n v="0"/>
  </r>
  <r>
    <s v="T00746"/>
    <s v="2024-10-09"/>
    <x v="0"/>
    <s v="CC105"/>
    <x v="2"/>
    <s v="Marketing related expense"/>
    <n v="324720"/>
    <n v="389189"/>
    <n v="64469"/>
    <s v="Card"/>
    <x v="3"/>
    <x v="2"/>
    <s v="Operating Expense"/>
    <n v="5.0368394111898738"/>
    <x v="5"/>
    <n v="64469"/>
    <x v="1"/>
    <n v="0"/>
  </r>
  <r>
    <s v="T00747"/>
    <s v="2024-03-04"/>
    <x v="4"/>
    <s v="CC101"/>
    <x v="4"/>
    <s v="Salary related expense"/>
    <n v="127192"/>
    <n v="111522"/>
    <n v="-15670"/>
    <s v="Card"/>
    <x v="3"/>
    <x v="2"/>
    <s v="Operating Expense"/>
    <n v="-8.1169112954690483"/>
    <x v="7"/>
    <n v="15670"/>
    <x v="0"/>
    <n v="0"/>
  </r>
  <r>
    <s v="T00748"/>
    <s v="2023-11-13"/>
    <x v="4"/>
    <s v="CC102"/>
    <x v="5"/>
    <s v="Travel related expense"/>
    <n v="447580"/>
    <n v="580083"/>
    <n v="132503"/>
    <s v="Bank Transfer"/>
    <x v="2"/>
    <x v="2"/>
    <s v="Capital Expense"/>
    <n v="3.3778857837181047"/>
    <x v="0"/>
    <n v="132503"/>
    <x v="1"/>
    <n v="0"/>
  </r>
  <r>
    <s v="T00749"/>
    <s v="2024-01-12"/>
    <x v="1"/>
    <s v="CC101"/>
    <x v="5"/>
    <s v="Travel related expense"/>
    <n v="496598"/>
    <n v="668995"/>
    <n v="172397"/>
    <s v="Cash"/>
    <x v="1"/>
    <x v="1"/>
    <s v="Capital Expense"/>
    <n v="2.8805489654692367"/>
    <x v="6"/>
    <n v="172397"/>
    <x v="1"/>
    <n v="0"/>
  </r>
  <r>
    <s v="T00750"/>
    <s v="2023-10-29"/>
    <x v="4"/>
    <s v="CC105"/>
    <x v="1"/>
    <s v="Maintenance related expense"/>
    <n v="468775"/>
    <n v="647257"/>
    <n v="178482"/>
    <s v="Bank Transfer"/>
    <x v="3"/>
    <x v="1"/>
    <s v="Capital Expense"/>
    <n v="2.6264553288286776"/>
    <x v="5"/>
    <n v="178482"/>
    <x v="1"/>
    <n v="0"/>
  </r>
  <r>
    <s v="T00751"/>
    <s v="2025-05-11"/>
    <x v="4"/>
    <s v="CC102"/>
    <x v="4"/>
    <s v="Salary related expense"/>
    <n v="424768"/>
    <n v="398413"/>
    <n v="-26355"/>
    <s v="Card"/>
    <x v="0"/>
    <x v="0"/>
    <s v="Capital Expense"/>
    <n v="-16.117169417567823"/>
    <x v="11"/>
    <n v="26355"/>
    <x v="1"/>
    <n v="0"/>
  </r>
  <r>
    <s v="T00752"/>
    <s v="2023-06-09"/>
    <x v="2"/>
    <s v="CC102"/>
    <x v="2"/>
    <s v="Marketing related expense"/>
    <n v="244286"/>
    <n v="201911"/>
    <n v="-42375"/>
    <s v="Bank Transfer"/>
    <x v="0"/>
    <x v="2"/>
    <s v="Capital Expense"/>
    <n v="-5.764861356932153"/>
    <x v="1"/>
    <n v="42375"/>
    <x v="1"/>
    <n v="0"/>
  </r>
  <r>
    <s v="T00753"/>
    <s v="2023-05-17"/>
    <x v="0"/>
    <s v="CC102"/>
    <x v="0"/>
    <s v="Utilities related expense"/>
    <n v="259633"/>
    <n v="324346"/>
    <n v="64713"/>
    <s v="Card"/>
    <x v="1"/>
    <x v="3"/>
    <s v="Operating Expense"/>
    <n v="4.0120686724460306"/>
    <x v="11"/>
    <n v="64713"/>
    <x v="1"/>
    <n v="0"/>
  </r>
  <r>
    <s v="T00754"/>
    <s v="2023-08-21"/>
    <x v="3"/>
    <s v="CC105"/>
    <x v="4"/>
    <s v="Salary related expense"/>
    <n v="455379"/>
    <n v="483604"/>
    <n v="28225"/>
    <s v="Bank Transfer"/>
    <x v="3"/>
    <x v="3"/>
    <s v="Capital Expense"/>
    <n v="16.133888396811336"/>
    <x v="3"/>
    <n v="28225"/>
    <x v="1"/>
    <n v="0"/>
  </r>
  <r>
    <s v="T00755"/>
    <s v="2025-06-05"/>
    <x v="3"/>
    <s v="CC103"/>
    <x v="2"/>
    <s v="Marketing related expense"/>
    <n v="368987"/>
    <n v="471691"/>
    <n v="102704"/>
    <s v="Card"/>
    <x v="1"/>
    <x v="0"/>
    <s v="Capital Expense"/>
    <n v="3.5927227761333542"/>
    <x v="1"/>
    <n v="102704"/>
    <x v="1"/>
    <n v="0"/>
  </r>
  <r>
    <s v="T00756"/>
    <s v="2023-02-09"/>
    <x v="0"/>
    <s v="CC101"/>
    <x v="4"/>
    <s v="Salary related expense"/>
    <n v="163269"/>
    <n v="174096"/>
    <n v="10827"/>
    <s v="Bank Transfer"/>
    <x v="1"/>
    <x v="3"/>
    <s v="Operating Expense"/>
    <n v="15.079800498753118"/>
    <x v="4"/>
    <n v="10827"/>
    <x v="0"/>
    <n v="0"/>
  </r>
  <r>
    <s v="T00757"/>
    <s v="2023-03-21"/>
    <x v="5"/>
    <s v="CC102"/>
    <x v="4"/>
    <s v="Salary related expense"/>
    <n v="105930"/>
    <n v="115283"/>
    <n v="9353"/>
    <s v="Bank Transfer"/>
    <x v="4"/>
    <x v="1"/>
    <s v="Operating Expense"/>
    <n v="11.325777825296695"/>
    <x v="7"/>
    <n v="9353"/>
    <x v="0"/>
    <n v="0"/>
  </r>
  <r>
    <s v="T00758"/>
    <s v="2025-05-06"/>
    <x v="0"/>
    <s v="CC101"/>
    <x v="3"/>
    <s v="Equipment related expense"/>
    <n v="128697"/>
    <n v="100676"/>
    <n v="-28021"/>
    <s v="Cash"/>
    <x v="0"/>
    <x v="0"/>
    <s v="Capital Expense"/>
    <n v="-4.5928767709931835"/>
    <x v="11"/>
    <n v="28021"/>
    <x v="1"/>
    <n v="0"/>
  </r>
  <r>
    <s v="T00759"/>
    <s v="2023-03-22"/>
    <x v="3"/>
    <s v="CC103"/>
    <x v="1"/>
    <s v="Maintenance related expense"/>
    <n v="52917"/>
    <n v="61640"/>
    <n v="8723"/>
    <s v="Card"/>
    <x v="0"/>
    <x v="0"/>
    <s v="Capital Expense"/>
    <n v="6.0663762467041158"/>
    <x v="7"/>
    <n v="8723"/>
    <x v="0"/>
    <n v="0"/>
  </r>
  <r>
    <s v="T00760"/>
    <s v="2024-04-16"/>
    <x v="4"/>
    <s v="CC105"/>
    <x v="0"/>
    <s v="Utilities related expense"/>
    <n v="378419"/>
    <n v="287884"/>
    <n v="-90535"/>
    <s v="Cash"/>
    <x v="2"/>
    <x v="0"/>
    <s v="Operating Expense"/>
    <n v="-4.1798089136797927"/>
    <x v="9"/>
    <n v="90535"/>
    <x v="1"/>
    <n v="0"/>
  </r>
  <r>
    <s v="T00761"/>
    <s v="2023-09-13"/>
    <x v="0"/>
    <s v="CC102"/>
    <x v="5"/>
    <s v="Travel related expense"/>
    <n v="406200"/>
    <n v="476411"/>
    <n v="70211"/>
    <s v="Bank Transfer"/>
    <x v="0"/>
    <x v="0"/>
    <s v="Operating Expense"/>
    <n v="5.7854182393072309"/>
    <x v="2"/>
    <n v="70211"/>
    <x v="1"/>
    <n v="0"/>
  </r>
  <r>
    <s v="T00762"/>
    <s v="2023-09-23"/>
    <x v="2"/>
    <s v="CC104"/>
    <x v="5"/>
    <s v="Travel related expense"/>
    <n v="256369"/>
    <n v="243644"/>
    <n v="-12725"/>
    <s v="Bank Transfer"/>
    <x v="0"/>
    <x v="2"/>
    <s v="Capital Expense"/>
    <n v="-20.146876227897838"/>
    <x v="2"/>
    <n v="12725"/>
    <x v="0"/>
    <n v="0"/>
  </r>
  <r>
    <s v="T00763"/>
    <s v="2024-03-17"/>
    <x v="3"/>
    <s v="CC105"/>
    <x v="5"/>
    <s v="Travel related expense"/>
    <n v="438565"/>
    <n v="476474"/>
    <n v="37909"/>
    <s v="Bank Transfer"/>
    <x v="1"/>
    <x v="2"/>
    <s v="Operating Expense"/>
    <n v="11.568888654409243"/>
    <x v="7"/>
    <n v="37909"/>
    <x v="1"/>
    <n v="0"/>
  </r>
  <r>
    <s v="T00764"/>
    <s v="2024-01-09"/>
    <x v="3"/>
    <s v="CC105"/>
    <x v="5"/>
    <s v="Travel related expense"/>
    <n v="383715"/>
    <n v="475035"/>
    <n v="91320"/>
    <s v="Bank Transfer"/>
    <x v="0"/>
    <x v="1"/>
    <s v="Operating Expense"/>
    <n v="4.201872536136662"/>
    <x v="6"/>
    <n v="91320"/>
    <x v="1"/>
    <n v="0"/>
  </r>
  <r>
    <s v="T00765"/>
    <s v="2023-02-06"/>
    <x v="4"/>
    <s v="CC102"/>
    <x v="3"/>
    <s v="Equipment related expense"/>
    <n v="282070"/>
    <n v="266202"/>
    <n v="-15868"/>
    <s v="Cash"/>
    <x v="3"/>
    <x v="3"/>
    <s v="Operating Expense"/>
    <n v="-17.776027224602974"/>
    <x v="4"/>
    <n v="15868"/>
    <x v="0"/>
    <n v="0"/>
  </r>
  <r>
    <s v="T00766"/>
    <s v="2023-03-07"/>
    <x v="3"/>
    <s v="CC102"/>
    <x v="0"/>
    <s v="Utilities related expense"/>
    <n v="289835"/>
    <n v="308767"/>
    <n v="18932"/>
    <s v="Card"/>
    <x v="0"/>
    <x v="0"/>
    <s v="Capital Expense"/>
    <n v="15.309264736953306"/>
    <x v="7"/>
    <n v="18932"/>
    <x v="1"/>
    <n v="0"/>
  </r>
  <r>
    <s v="T00767"/>
    <s v="2024-01-02"/>
    <x v="2"/>
    <s v="CC105"/>
    <x v="0"/>
    <s v="Utilities related expense"/>
    <n v="286931"/>
    <n v="226827"/>
    <n v="-60104"/>
    <s v="Bank Transfer"/>
    <x v="2"/>
    <x v="0"/>
    <s v="Capital Expense"/>
    <n v="-4.7739085584986025"/>
    <x v="6"/>
    <n v="60104"/>
    <x v="1"/>
    <n v="0"/>
  </r>
  <r>
    <s v="T00768"/>
    <s v="2023-09-26"/>
    <x v="3"/>
    <s v="CC104"/>
    <x v="0"/>
    <s v="Utilities related expense"/>
    <n v="427578"/>
    <n v="519951"/>
    <n v="92373"/>
    <s v="Cash"/>
    <x v="1"/>
    <x v="1"/>
    <s v="Capital Expense"/>
    <n v="4.6288201097723363"/>
    <x v="2"/>
    <n v="92373"/>
    <x v="1"/>
    <n v="0"/>
  </r>
  <r>
    <s v="T00769"/>
    <s v="2024-07-17"/>
    <x v="0"/>
    <s v="CC102"/>
    <x v="0"/>
    <s v="Utilities related expense"/>
    <n v="338035"/>
    <n v="471297"/>
    <n v="133262"/>
    <s v="Card"/>
    <x v="4"/>
    <x v="2"/>
    <s v="Capital Expense"/>
    <n v="2.5366195914814424"/>
    <x v="8"/>
    <n v="133262"/>
    <x v="1"/>
    <n v="0"/>
  </r>
  <r>
    <s v="T00770"/>
    <s v="2023-11-11"/>
    <x v="4"/>
    <s v="CC103"/>
    <x v="3"/>
    <s v="Equipment related expense"/>
    <n v="308239"/>
    <n v="294764"/>
    <n v="-13475"/>
    <s v="Cash"/>
    <x v="2"/>
    <x v="0"/>
    <s v="Capital Expense"/>
    <n v="-22.874879406307979"/>
    <x v="0"/>
    <n v="13475"/>
    <x v="0"/>
    <n v="0"/>
  </r>
  <r>
    <s v="T00771"/>
    <s v="2024-06-18"/>
    <x v="1"/>
    <s v="CC102"/>
    <x v="5"/>
    <s v="Travel related expense"/>
    <n v="311711"/>
    <n v="339747"/>
    <n v="28036"/>
    <s v="Card"/>
    <x v="3"/>
    <x v="3"/>
    <s v="Operating Expense"/>
    <n v="11.118240833214438"/>
    <x v="1"/>
    <n v="28036"/>
    <x v="1"/>
    <n v="0"/>
  </r>
  <r>
    <s v="T00772"/>
    <s v="2024-01-28"/>
    <x v="0"/>
    <s v="CC104"/>
    <x v="3"/>
    <s v="Equipment related expense"/>
    <n v="459163"/>
    <n v="341836"/>
    <n v="-117327"/>
    <s v="Card"/>
    <x v="3"/>
    <x v="3"/>
    <s v="Capital Expense"/>
    <n v="-3.9135322645256418"/>
    <x v="6"/>
    <n v="117327"/>
    <x v="1"/>
    <n v="0"/>
  </r>
  <r>
    <s v="T00773"/>
    <s v="2025-03-09"/>
    <x v="3"/>
    <s v="CC103"/>
    <x v="0"/>
    <s v="Utilities related expense"/>
    <n v="146959"/>
    <n v="143554"/>
    <n v="-3405"/>
    <s v="Bank Transfer"/>
    <x v="1"/>
    <x v="2"/>
    <s v="Operating Expense"/>
    <n v="-43.159765051395006"/>
    <x v="7"/>
    <n v="3405"/>
    <x v="0"/>
    <n v="0"/>
  </r>
  <r>
    <s v="T00774"/>
    <s v="2024-08-07"/>
    <x v="4"/>
    <s v="CC103"/>
    <x v="1"/>
    <s v="Maintenance related expense"/>
    <n v="453832"/>
    <n v="608191"/>
    <n v="154359"/>
    <s v="Bank Transfer"/>
    <x v="1"/>
    <x v="0"/>
    <s v="Operating Expense"/>
    <n v="2.9401071528061209"/>
    <x v="3"/>
    <n v="154359"/>
    <x v="1"/>
    <n v="0"/>
  </r>
  <r>
    <s v="T00775"/>
    <s v="2024-12-20"/>
    <x v="3"/>
    <s v="CC105"/>
    <x v="3"/>
    <s v="Equipment related expense"/>
    <n v="216965"/>
    <n v="271839"/>
    <n v="54874"/>
    <s v="Bank Transfer"/>
    <x v="2"/>
    <x v="0"/>
    <s v="Operating Expense"/>
    <n v="3.953876152640595"/>
    <x v="10"/>
    <n v="54874"/>
    <x v="1"/>
    <n v="0"/>
  </r>
  <r>
    <s v="T00776"/>
    <s v="2024-07-08"/>
    <x v="3"/>
    <s v="CC103"/>
    <x v="4"/>
    <s v="Salary related expense"/>
    <n v="300682"/>
    <n v="293477"/>
    <n v="-7205"/>
    <s v="Bank Transfer"/>
    <x v="2"/>
    <x v="2"/>
    <s v="Operating Expense"/>
    <n v="-41.732408049965301"/>
    <x v="8"/>
    <n v="7205"/>
    <x v="0"/>
    <n v="0"/>
  </r>
  <r>
    <s v="T00777"/>
    <s v="2025-04-17"/>
    <x v="2"/>
    <s v="CC104"/>
    <x v="4"/>
    <s v="Salary related expense"/>
    <n v="367226"/>
    <n v="483134"/>
    <n v="115908"/>
    <s v="Card"/>
    <x v="4"/>
    <x v="3"/>
    <s v="Operating Expense"/>
    <n v="3.1682541325879146"/>
    <x v="9"/>
    <n v="115908"/>
    <x v="1"/>
    <n v="0"/>
  </r>
  <r>
    <s v="T00778"/>
    <s v="2024-04-11"/>
    <x v="3"/>
    <s v="CC101"/>
    <x v="2"/>
    <s v="Marketing related expense"/>
    <n v="427360"/>
    <n v="482455"/>
    <n v="55095"/>
    <s v="Cash"/>
    <x v="0"/>
    <x v="2"/>
    <s v="Capital Expense"/>
    <n v="7.756783737181232"/>
    <x v="9"/>
    <n v="55095"/>
    <x v="1"/>
    <n v="0"/>
  </r>
  <r>
    <s v="T00779"/>
    <s v="2024-03-23"/>
    <x v="1"/>
    <s v="CC102"/>
    <x v="4"/>
    <s v="Salary related expense"/>
    <n v="444522"/>
    <n v="505149"/>
    <n v="60627"/>
    <s v="Bank Transfer"/>
    <x v="0"/>
    <x v="0"/>
    <s v="Capital Expense"/>
    <n v="7.3320797664406951"/>
    <x v="7"/>
    <n v="60627"/>
    <x v="1"/>
    <n v="0"/>
  </r>
  <r>
    <s v="T00780"/>
    <s v="2024-04-07"/>
    <x v="5"/>
    <s v="CC103"/>
    <x v="3"/>
    <s v="Equipment related expense"/>
    <n v="224903"/>
    <n v="272239"/>
    <n v="47336"/>
    <s v="Card"/>
    <x v="1"/>
    <x v="0"/>
    <s v="Capital Expense"/>
    <n v="4.7512041575122526"/>
    <x v="9"/>
    <n v="47336"/>
    <x v="1"/>
    <n v="0"/>
  </r>
  <r>
    <s v="T00781"/>
    <s v="2025-03-24"/>
    <x v="5"/>
    <s v="CC103"/>
    <x v="1"/>
    <s v="Maintenance related expense"/>
    <n v="150990"/>
    <n v="175937"/>
    <n v="24947"/>
    <s v="Card"/>
    <x v="1"/>
    <x v="0"/>
    <s v="Capital Expense"/>
    <n v="6.0524311540465785"/>
    <x v="7"/>
    <n v="24947"/>
    <x v="1"/>
    <n v="0"/>
  </r>
  <r>
    <s v="T00782"/>
    <s v="2023-01-02"/>
    <x v="2"/>
    <s v="CC102"/>
    <x v="5"/>
    <s v="Travel related expense"/>
    <n v="330732"/>
    <n v="363504"/>
    <n v="32772"/>
    <s v="Bank Transfer"/>
    <x v="1"/>
    <x v="2"/>
    <s v="Operating Expense"/>
    <n v="10.091907726107653"/>
    <x v="6"/>
    <n v="32772"/>
    <x v="1"/>
    <n v="0"/>
  </r>
  <r>
    <s v="T00783"/>
    <s v="2024-05-27"/>
    <x v="1"/>
    <s v="CC102"/>
    <x v="1"/>
    <s v="Maintenance related expense"/>
    <n v="371897"/>
    <n v="261479"/>
    <n v="-110418"/>
    <s v="Bank Transfer"/>
    <x v="0"/>
    <x v="3"/>
    <s v="Capital Expense"/>
    <n v="-3.3680831023927258"/>
    <x v="11"/>
    <n v="110418"/>
    <x v="1"/>
    <n v="0"/>
  </r>
  <r>
    <s v="T00784"/>
    <s v="2023-02-01"/>
    <x v="0"/>
    <s v="CC101"/>
    <x v="0"/>
    <s v="Utilities related expense"/>
    <n v="262775"/>
    <n v="321743"/>
    <n v="58968"/>
    <s v="Cash"/>
    <x v="3"/>
    <x v="3"/>
    <s v="Capital Expense"/>
    <n v="4.456230497897165"/>
    <x v="4"/>
    <n v="58968"/>
    <x v="1"/>
    <n v="0"/>
  </r>
  <r>
    <s v="T00785"/>
    <s v="2024-04-20"/>
    <x v="2"/>
    <s v="CC104"/>
    <x v="5"/>
    <s v="Travel related expense"/>
    <n v="201303"/>
    <n v="206655"/>
    <n v="5352"/>
    <s v="Bank Transfer"/>
    <x v="1"/>
    <x v="2"/>
    <s v="Capital Expense"/>
    <n v="37.612668161434975"/>
    <x v="9"/>
    <n v="5352"/>
    <x v="0"/>
    <n v="0"/>
  </r>
  <r>
    <s v="T00786"/>
    <s v="2024-12-07"/>
    <x v="2"/>
    <s v="CC103"/>
    <x v="0"/>
    <s v="Utilities related expense"/>
    <n v="387506"/>
    <n v="498952"/>
    <n v="111446"/>
    <s v="Card"/>
    <x v="1"/>
    <x v="3"/>
    <s v="Capital Expense"/>
    <n v="3.4770740986666189"/>
    <x v="10"/>
    <n v="111446"/>
    <x v="1"/>
    <n v="0"/>
  </r>
  <r>
    <s v="T00787"/>
    <s v="2025-01-19"/>
    <x v="2"/>
    <s v="CC105"/>
    <x v="2"/>
    <s v="Marketing related expense"/>
    <n v="181627"/>
    <n v="208101"/>
    <n v="26474"/>
    <s v="Cash"/>
    <x v="2"/>
    <x v="3"/>
    <s v="Operating Expense"/>
    <n v="6.8605801918863794"/>
    <x v="6"/>
    <n v="26474"/>
    <x v="1"/>
    <n v="0"/>
  </r>
  <r>
    <s v="T00788"/>
    <s v="2023-05-19"/>
    <x v="1"/>
    <s v="CC103"/>
    <x v="4"/>
    <s v="Salary related expense"/>
    <n v="470866"/>
    <n v="415557"/>
    <n v="-55309"/>
    <s v="Card"/>
    <x v="1"/>
    <x v="0"/>
    <s v="Operating Expense"/>
    <n v="-8.5133703375580829"/>
    <x v="11"/>
    <n v="55309"/>
    <x v="1"/>
    <n v="0"/>
  </r>
  <r>
    <s v="T00789"/>
    <s v="2024-12-03"/>
    <x v="4"/>
    <s v="CC102"/>
    <x v="5"/>
    <s v="Travel related expense"/>
    <n v="86035"/>
    <n v="114801"/>
    <n v="28766"/>
    <s v="Card"/>
    <x v="1"/>
    <x v="0"/>
    <s v="Capital Expense"/>
    <n v="2.9908572620454703"/>
    <x v="10"/>
    <n v="28766"/>
    <x v="1"/>
    <n v="0"/>
  </r>
  <r>
    <s v="T00790"/>
    <s v="2024-03-02"/>
    <x v="1"/>
    <s v="CC104"/>
    <x v="0"/>
    <s v="Utilities related expense"/>
    <n v="371110"/>
    <n v="481439"/>
    <n v="110329"/>
    <s v="Bank Transfer"/>
    <x v="4"/>
    <x v="1"/>
    <s v="Capital Expense"/>
    <n v="3.3636668509639351"/>
    <x v="7"/>
    <n v="110329"/>
    <x v="1"/>
    <n v="0"/>
  </r>
  <r>
    <s v="T00791"/>
    <s v="2023-12-15"/>
    <x v="4"/>
    <s v="CC103"/>
    <x v="4"/>
    <s v="Salary related expense"/>
    <n v="182312"/>
    <n v="192090"/>
    <n v="9778"/>
    <s v="Cash"/>
    <x v="3"/>
    <x v="0"/>
    <s v="Capital Expense"/>
    <n v="18.645121701779505"/>
    <x v="10"/>
    <n v="9778"/>
    <x v="0"/>
    <n v="0"/>
  </r>
  <r>
    <s v="T00792"/>
    <s v="2024-12-16"/>
    <x v="1"/>
    <s v="CC102"/>
    <x v="3"/>
    <s v="Equipment related expense"/>
    <n v="227124"/>
    <n v="201016"/>
    <n v="-26108"/>
    <s v="Cash"/>
    <x v="4"/>
    <x v="1"/>
    <s v="Capital Expense"/>
    <n v="-8.6994024819978559"/>
    <x v="10"/>
    <n v="26108"/>
    <x v="1"/>
    <n v="0"/>
  </r>
  <r>
    <s v="T00793"/>
    <s v="2024-01-14"/>
    <x v="1"/>
    <s v="CC102"/>
    <x v="5"/>
    <s v="Travel related expense"/>
    <n v="124419"/>
    <n v="165716"/>
    <n v="41297"/>
    <s v="Cash"/>
    <x v="1"/>
    <x v="0"/>
    <s v="Capital Expense"/>
    <n v="3.0127854323558614"/>
    <x v="6"/>
    <n v="41297"/>
    <x v="1"/>
    <n v="0"/>
  </r>
  <r>
    <s v="T00794"/>
    <s v="2025-02-09"/>
    <x v="5"/>
    <s v="CC104"/>
    <x v="5"/>
    <s v="Travel related expense"/>
    <n v="401688"/>
    <n v="383576"/>
    <n v="-18112"/>
    <s v="Cash"/>
    <x v="1"/>
    <x v="0"/>
    <s v="Operating Expense"/>
    <n v="-22.178003533568905"/>
    <x v="4"/>
    <n v="18112"/>
    <x v="1"/>
    <n v="0"/>
  </r>
  <r>
    <s v="T00795"/>
    <s v="2024-09-27"/>
    <x v="3"/>
    <s v="CC105"/>
    <x v="4"/>
    <s v="Salary related expense"/>
    <n v="50783"/>
    <n v="40107"/>
    <n v="-10676"/>
    <s v="Card"/>
    <x v="4"/>
    <x v="1"/>
    <s v="Capital Expense"/>
    <n v="-4.7567440989134511"/>
    <x v="2"/>
    <n v="10676"/>
    <x v="0"/>
    <n v="0"/>
  </r>
  <r>
    <s v="T00796"/>
    <s v="2025-01-26"/>
    <x v="2"/>
    <s v="CC105"/>
    <x v="2"/>
    <s v="Marketing related expense"/>
    <n v="281778"/>
    <n v="353377"/>
    <n v="71599"/>
    <s v="Bank Transfer"/>
    <x v="4"/>
    <x v="1"/>
    <s v="Capital Expense"/>
    <n v="3.935501892484532"/>
    <x v="6"/>
    <n v="71599"/>
    <x v="1"/>
    <n v="0"/>
  </r>
  <r>
    <s v="T00797"/>
    <s v="2024-04-23"/>
    <x v="1"/>
    <s v="CC102"/>
    <x v="5"/>
    <s v="Travel related expense"/>
    <n v="270837"/>
    <n v="358327"/>
    <n v="87490"/>
    <s v="Bank Transfer"/>
    <x v="0"/>
    <x v="1"/>
    <s v="Operating Expense"/>
    <n v="3.0956337867184822"/>
    <x v="9"/>
    <n v="87490"/>
    <x v="1"/>
    <n v="0"/>
  </r>
  <r>
    <s v="T00798"/>
    <s v="2025-04-29"/>
    <x v="3"/>
    <s v="CC102"/>
    <x v="0"/>
    <s v="Utilities related expense"/>
    <n v="458760"/>
    <n v="573194"/>
    <n v="114434"/>
    <s v="Bank Transfer"/>
    <x v="1"/>
    <x v="1"/>
    <s v="Capital Expense"/>
    <n v="4.0089483894646696"/>
    <x v="9"/>
    <n v="114434"/>
    <x v="1"/>
    <n v="0"/>
  </r>
  <r>
    <s v="T00799"/>
    <s v="2023-02-05"/>
    <x v="0"/>
    <s v="CC101"/>
    <x v="0"/>
    <s v="Utilities related expense"/>
    <n v="154712"/>
    <n v="124843"/>
    <n v="-29869"/>
    <s v="Cash"/>
    <x v="3"/>
    <x v="1"/>
    <s v="Capital Expense"/>
    <n v="-5.1796846228531255"/>
    <x v="4"/>
    <n v="29869"/>
    <x v="1"/>
    <n v="0"/>
  </r>
  <r>
    <s v="T00800"/>
    <s v="2025-03-19"/>
    <x v="5"/>
    <s v="CC103"/>
    <x v="3"/>
    <s v="Equipment related expense"/>
    <n v="295709"/>
    <n v="329812"/>
    <n v="34103"/>
    <s v="Card"/>
    <x v="2"/>
    <x v="2"/>
    <s v="Capital Expense"/>
    <n v="8.6710553323754507"/>
    <x v="7"/>
    <n v="34103"/>
    <x v="1"/>
    <n v="0"/>
  </r>
  <r>
    <s v="T00801"/>
    <s v="2024-05-06"/>
    <x v="5"/>
    <s v="CC102"/>
    <x v="2"/>
    <s v="Marketing related expense"/>
    <n v="89098"/>
    <n v="81850"/>
    <n v="-7248"/>
    <s v="Bank Transfer"/>
    <x v="1"/>
    <x v="2"/>
    <s v="Operating Expense"/>
    <n v="-12.292770419426049"/>
    <x v="11"/>
    <n v="7248"/>
    <x v="0"/>
    <n v="0"/>
  </r>
  <r>
    <s v="T00802"/>
    <s v="2025-01-10"/>
    <x v="1"/>
    <s v="CC101"/>
    <x v="2"/>
    <s v="Marketing related expense"/>
    <n v="260919"/>
    <n v="194992"/>
    <n v="-65927"/>
    <s v="Bank Transfer"/>
    <x v="2"/>
    <x v="2"/>
    <s v="Capital Expense"/>
    <n v="-3.957695633048675"/>
    <x v="6"/>
    <n v="65927"/>
    <x v="1"/>
    <n v="0"/>
  </r>
  <r>
    <s v="T00803"/>
    <s v="2025-04-15"/>
    <x v="4"/>
    <s v="CC105"/>
    <x v="2"/>
    <s v="Marketing related expense"/>
    <n v="303106"/>
    <n v="408204"/>
    <n v="105098"/>
    <s v="Card"/>
    <x v="1"/>
    <x v="3"/>
    <s v="Capital Expense"/>
    <n v="2.8840320462806144"/>
    <x v="9"/>
    <n v="105098"/>
    <x v="1"/>
    <n v="0"/>
  </r>
  <r>
    <s v="T00804"/>
    <s v="2023-08-02"/>
    <x v="0"/>
    <s v="CC105"/>
    <x v="3"/>
    <s v="Equipment related expense"/>
    <n v="492434"/>
    <n v="423216"/>
    <n v="-69218"/>
    <s v="Cash"/>
    <x v="0"/>
    <x v="2"/>
    <s v="Operating Expense"/>
    <n v="-7.1142477390274204"/>
    <x v="3"/>
    <n v="69218"/>
    <x v="1"/>
    <n v="0"/>
  </r>
  <r>
    <s v="T00805"/>
    <s v="2024-10-23"/>
    <x v="2"/>
    <s v="CC103"/>
    <x v="3"/>
    <s v="Equipment related expense"/>
    <n v="299784"/>
    <n v="388952"/>
    <n v="89168"/>
    <s v="Bank Transfer"/>
    <x v="4"/>
    <x v="3"/>
    <s v="Capital Expense"/>
    <n v="3.3620132783061187"/>
    <x v="5"/>
    <n v="89168"/>
    <x v="1"/>
    <n v="0"/>
  </r>
  <r>
    <s v="T00806"/>
    <s v="2024-05-29"/>
    <x v="1"/>
    <s v="CC101"/>
    <x v="2"/>
    <s v="Marketing related expense"/>
    <n v="422769"/>
    <n v="464646"/>
    <n v="41877"/>
    <s v="Cash"/>
    <x v="0"/>
    <x v="3"/>
    <s v="Capital Expense"/>
    <n v="10.095493946557776"/>
    <x v="11"/>
    <n v="41877"/>
    <x v="1"/>
    <n v="0"/>
  </r>
  <r>
    <s v="T00807"/>
    <s v="2024-05-15"/>
    <x v="3"/>
    <s v="CC105"/>
    <x v="4"/>
    <s v="Salary related expense"/>
    <n v="211489"/>
    <n v="164296"/>
    <n v="-47193"/>
    <s v="Bank Transfer"/>
    <x v="4"/>
    <x v="3"/>
    <s v="Capital Expense"/>
    <n v="-4.4813637615748094"/>
    <x v="11"/>
    <n v="47193"/>
    <x v="1"/>
    <n v="0"/>
  </r>
  <r>
    <s v="T00808"/>
    <s v="2023-12-05"/>
    <x v="4"/>
    <s v="CC105"/>
    <x v="1"/>
    <s v="Maintenance related expense"/>
    <n v="151657"/>
    <n v="194518"/>
    <n v="42861"/>
    <s v="Cash"/>
    <x v="2"/>
    <x v="2"/>
    <s v="Operating Expense"/>
    <n v="3.5383448822939267"/>
    <x v="10"/>
    <n v="42861"/>
    <x v="1"/>
    <n v="0"/>
  </r>
  <r>
    <s v="T00809"/>
    <s v="2024-11-22"/>
    <x v="4"/>
    <s v="CC102"/>
    <x v="5"/>
    <s v="Travel related expense"/>
    <n v="275135"/>
    <n v="290293"/>
    <n v="15158"/>
    <s v="Card"/>
    <x v="4"/>
    <x v="1"/>
    <s v="Operating Expense"/>
    <n v="18.151141311518671"/>
    <x v="0"/>
    <n v="15158"/>
    <x v="0"/>
    <n v="0"/>
  </r>
  <r>
    <s v="T00810"/>
    <s v="2023-12-03"/>
    <x v="0"/>
    <s v="CC102"/>
    <x v="4"/>
    <s v="Salary related expense"/>
    <n v="161080"/>
    <n v="114048"/>
    <n v="-47032"/>
    <s v="Cash"/>
    <x v="1"/>
    <x v="2"/>
    <s v="Operating Expense"/>
    <n v="-3.424902194250723"/>
    <x v="10"/>
    <n v="47032"/>
    <x v="1"/>
    <n v="0"/>
  </r>
  <r>
    <s v="T00811"/>
    <s v="2023-01-13"/>
    <x v="2"/>
    <s v="CC102"/>
    <x v="3"/>
    <s v="Equipment related expense"/>
    <n v="141394"/>
    <n v="120708"/>
    <n v="-20686"/>
    <s v="Cash"/>
    <x v="1"/>
    <x v="0"/>
    <s v="Operating Expense"/>
    <n v="-6.8352508943246644"/>
    <x v="6"/>
    <n v="20686"/>
    <x v="1"/>
    <n v="0"/>
  </r>
  <r>
    <s v="T00812"/>
    <s v="2023-06-10"/>
    <x v="5"/>
    <s v="CC104"/>
    <x v="0"/>
    <s v="Utilities related expense"/>
    <n v="161026"/>
    <n v="198086"/>
    <n v="37060"/>
    <s v="Bank Transfer"/>
    <x v="1"/>
    <x v="3"/>
    <s v="Capital Expense"/>
    <n v="4.3450080949811118"/>
    <x v="1"/>
    <n v="37060"/>
    <x v="1"/>
    <n v="0"/>
  </r>
  <r>
    <s v="T00813"/>
    <s v="2023-10-29"/>
    <x v="1"/>
    <s v="CC105"/>
    <x v="1"/>
    <s v="Maintenance related expense"/>
    <n v="185228"/>
    <n v="242726"/>
    <n v="57498"/>
    <s v="Cash"/>
    <x v="1"/>
    <x v="1"/>
    <s v="Capital Expense"/>
    <n v="3.2214685728199242"/>
    <x v="5"/>
    <n v="57498"/>
    <x v="1"/>
    <n v="0"/>
  </r>
  <r>
    <s v="T00814"/>
    <s v="2023-04-08"/>
    <x v="4"/>
    <s v="CC105"/>
    <x v="5"/>
    <s v="Travel related expense"/>
    <n v="230712"/>
    <n v="218699"/>
    <n v="-12013"/>
    <s v="Card"/>
    <x v="0"/>
    <x v="2"/>
    <s v="Capital Expense"/>
    <n v="-19.20519437276284"/>
    <x v="9"/>
    <n v="12013"/>
    <x v="0"/>
    <n v="0"/>
  </r>
  <r>
    <s v="T00815"/>
    <s v="2025-01-31"/>
    <x v="0"/>
    <s v="CC105"/>
    <x v="3"/>
    <s v="Equipment related expense"/>
    <n v="142637"/>
    <n v="193592"/>
    <n v="50955"/>
    <s v="Bank Transfer"/>
    <x v="3"/>
    <x v="0"/>
    <s v="Capital Expense"/>
    <n v="2.7992738691001864"/>
    <x v="6"/>
    <n v="50955"/>
    <x v="1"/>
    <n v="0"/>
  </r>
  <r>
    <s v="T00816"/>
    <s v="2023-03-16"/>
    <x v="0"/>
    <s v="CC104"/>
    <x v="2"/>
    <s v="Marketing related expense"/>
    <n v="54270"/>
    <n v="49728"/>
    <n v="-4542"/>
    <s v="Bank Transfer"/>
    <x v="3"/>
    <x v="0"/>
    <s v="Operating Expense"/>
    <n v="-11.948480845442536"/>
    <x v="7"/>
    <n v="4542"/>
    <x v="0"/>
    <n v="0"/>
  </r>
  <r>
    <s v="T00817"/>
    <s v="2024-11-10"/>
    <x v="4"/>
    <s v="CC104"/>
    <x v="2"/>
    <s v="Marketing related expense"/>
    <n v="487455"/>
    <n v="350990"/>
    <n v="-136465"/>
    <s v="Bank Transfer"/>
    <x v="1"/>
    <x v="2"/>
    <s v="Capital Expense"/>
    <n v="-3.5720148023302678"/>
    <x v="0"/>
    <n v="136465"/>
    <x v="1"/>
    <n v="0"/>
  </r>
  <r>
    <s v="T00818"/>
    <s v="2024-09-28"/>
    <x v="3"/>
    <s v="CC102"/>
    <x v="1"/>
    <s v="Maintenance related expense"/>
    <n v="488978"/>
    <n v="659405"/>
    <n v="170427"/>
    <s v="Card"/>
    <x v="3"/>
    <x v="1"/>
    <s v="Operating Expense"/>
    <n v="2.8691345854823473"/>
    <x v="2"/>
    <n v="170427"/>
    <x v="1"/>
    <n v="0"/>
  </r>
  <r>
    <s v="T00819"/>
    <s v="2024-02-14"/>
    <x v="4"/>
    <s v="CC105"/>
    <x v="1"/>
    <s v="Maintenance related expense"/>
    <n v="218051"/>
    <n v="221639"/>
    <n v="3588"/>
    <s v="Card"/>
    <x v="3"/>
    <x v="2"/>
    <s v="Operating Expense"/>
    <n v="60.772296544035676"/>
    <x v="4"/>
    <n v="3588"/>
    <x v="0"/>
    <n v="0"/>
  </r>
  <r>
    <s v="T00820"/>
    <s v="2023-03-22"/>
    <x v="3"/>
    <s v="CC103"/>
    <x v="1"/>
    <s v="Maintenance related expense"/>
    <n v="248455"/>
    <n v="177406"/>
    <n v="-71049"/>
    <s v="Card"/>
    <x v="4"/>
    <x v="3"/>
    <s v="Operating Expense"/>
    <n v="-3.496952807217554"/>
    <x v="7"/>
    <n v="71049"/>
    <x v="1"/>
    <n v="0"/>
  </r>
  <r>
    <s v="T00821"/>
    <s v="2025-03-15"/>
    <x v="5"/>
    <s v="CC102"/>
    <x v="4"/>
    <s v="Salary related expense"/>
    <n v="495756"/>
    <n v="671215"/>
    <n v="175459"/>
    <s v="Card"/>
    <x v="3"/>
    <x v="0"/>
    <s v="Operating Expense"/>
    <n v="2.8254805966066145"/>
    <x v="7"/>
    <n v="175459"/>
    <x v="1"/>
    <n v="0"/>
  </r>
  <r>
    <s v="T00822"/>
    <s v="2024-12-28"/>
    <x v="3"/>
    <s v="CC102"/>
    <x v="3"/>
    <s v="Equipment related expense"/>
    <n v="236727"/>
    <n v="283652"/>
    <n v="46925"/>
    <s v="Bank Transfer"/>
    <x v="3"/>
    <x v="1"/>
    <s v="Capital Expense"/>
    <n v="5.0447948854555138"/>
    <x v="10"/>
    <n v="46925"/>
    <x v="1"/>
    <n v="0"/>
  </r>
  <r>
    <s v="T00823"/>
    <s v="2023-09-08"/>
    <x v="2"/>
    <s v="CC103"/>
    <x v="2"/>
    <s v="Marketing related expense"/>
    <n v="334413"/>
    <n v="239028"/>
    <n v="-95385"/>
    <s v="Bank Transfer"/>
    <x v="4"/>
    <x v="0"/>
    <s v="Capital Expense"/>
    <n v="-3.5059286051265923"/>
    <x v="2"/>
    <n v="95385"/>
    <x v="1"/>
    <n v="0"/>
  </r>
  <r>
    <s v="T00824"/>
    <s v="2024-09-26"/>
    <x v="5"/>
    <s v="CC105"/>
    <x v="2"/>
    <s v="Marketing related expense"/>
    <n v="100362"/>
    <n v="85332"/>
    <n v="-15030"/>
    <s v="Cash"/>
    <x v="1"/>
    <x v="2"/>
    <s v="Capital Expense"/>
    <n v="-6.6774451097804395"/>
    <x v="2"/>
    <n v="15030"/>
    <x v="0"/>
    <n v="0"/>
  </r>
  <r>
    <s v="T00825"/>
    <s v="2024-08-11"/>
    <x v="0"/>
    <s v="CC103"/>
    <x v="5"/>
    <s v="Travel related expense"/>
    <n v="268508"/>
    <n v="251967"/>
    <n v="-16541"/>
    <s v="Bank Transfer"/>
    <x v="0"/>
    <x v="0"/>
    <s v="Capital Expense"/>
    <n v="-16.232875884166617"/>
    <x v="3"/>
    <n v="16541"/>
    <x v="0"/>
    <n v="0"/>
  </r>
  <r>
    <s v="T00826"/>
    <s v="2025-05-24"/>
    <x v="2"/>
    <s v="CC105"/>
    <x v="0"/>
    <s v="Utilities related expense"/>
    <n v="253337"/>
    <n v="336487"/>
    <n v="83150"/>
    <s v="Bank Transfer"/>
    <x v="1"/>
    <x v="2"/>
    <s v="Operating Expense"/>
    <n v="3.0467468430547204"/>
    <x v="11"/>
    <n v="83150"/>
    <x v="1"/>
    <n v="0"/>
  </r>
  <r>
    <s v="T00827"/>
    <s v="2024-01-01"/>
    <x v="0"/>
    <s v="CC103"/>
    <x v="2"/>
    <s v="Marketing related expense"/>
    <n v="473108"/>
    <n v="521259"/>
    <n v="48151"/>
    <s v="Cash"/>
    <x v="2"/>
    <x v="1"/>
    <s v="Operating Expense"/>
    <n v="9.8255072584162324"/>
    <x v="6"/>
    <n v="48151"/>
    <x v="1"/>
    <n v="0"/>
  </r>
  <r>
    <s v="T00828"/>
    <s v="2024-10-06"/>
    <x v="1"/>
    <s v="CC102"/>
    <x v="2"/>
    <s v="Marketing related expense"/>
    <n v="477257"/>
    <n v="512839"/>
    <n v="35582"/>
    <s v="Cash"/>
    <x v="4"/>
    <x v="2"/>
    <s v="Capital Expense"/>
    <n v="13.412877297509977"/>
    <x v="5"/>
    <n v="35582"/>
    <x v="1"/>
    <n v="0"/>
  </r>
  <r>
    <s v="T00829"/>
    <s v="2023-04-03"/>
    <x v="1"/>
    <s v="CC103"/>
    <x v="4"/>
    <s v="Salary related expense"/>
    <n v="96648"/>
    <n v="115848"/>
    <n v="19200"/>
    <s v="Cash"/>
    <x v="4"/>
    <x v="2"/>
    <s v="Capital Expense"/>
    <n v="5.0337500000000004"/>
    <x v="9"/>
    <n v="19200"/>
    <x v="1"/>
    <n v="0"/>
  </r>
  <r>
    <s v="T00830"/>
    <s v="2023-06-30"/>
    <x v="3"/>
    <s v="CC104"/>
    <x v="1"/>
    <s v="Maintenance related expense"/>
    <n v="432449"/>
    <n v="374333"/>
    <n v="-58116"/>
    <s v="Cash"/>
    <x v="2"/>
    <x v="1"/>
    <s v="Operating Expense"/>
    <n v="-7.4411349714364379"/>
    <x v="1"/>
    <n v="58116"/>
    <x v="1"/>
    <n v="0"/>
  </r>
  <r>
    <s v="T00831"/>
    <s v="2024-04-14"/>
    <x v="4"/>
    <s v="CC104"/>
    <x v="4"/>
    <s v="Salary related expense"/>
    <n v="295295"/>
    <n v="296361"/>
    <n v="1066"/>
    <s v="Card"/>
    <x v="2"/>
    <x v="1"/>
    <s v="Capital Expense"/>
    <n v="277.01219512195121"/>
    <x v="9"/>
    <n v="1066"/>
    <x v="0"/>
    <n v="0"/>
  </r>
  <r>
    <s v="T00832"/>
    <s v="2023-07-06"/>
    <x v="2"/>
    <s v="CC101"/>
    <x v="4"/>
    <s v="Salary related expense"/>
    <n v="305498"/>
    <n v="216761"/>
    <n v="-88737"/>
    <s v="Card"/>
    <x v="1"/>
    <x v="0"/>
    <s v="Operating Expense"/>
    <n v="-3.4427352738992756"/>
    <x v="8"/>
    <n v="88737"/>
    <x v="1"/>
    <n v="0"/>
  </r>
  <r>
    <s v="T00833"/>
    <s v="2024-12-21"/>
    <x v="1"/>
    <s v="CC105"/>
    <x v="5"/>
    <s v="Travel related expense"/>
    <n v="233185"/>
    <n v="288641"/>
    <n v="55456"/>
    <s v="Cash"/>
    <x v="3"/>
    <x v="2"/>
    <s v="Capital Expense"/>
    <n v="4.2048651182919796"/>
    <x v="10"/>
    <n v="55456"/>
    <x v="1"/>
    <n v="0"/>
  </r>
  <r>
    <s v="T00834"/>
    <s v="2023-10-20"/>
    <x v="3"/>
    <s v="CC105"/>
    <x v="2"/>
    <s v="Marketing related expense"/>
    <n v="64094"/>
    <n v="68510"/>
    <n v="4416"/>
    <s v="Cash"/>
    <x v="3"/>
    <x v="3"/>
    <s v="Capital Expense"/>
    <n v="14.514039855072463"/>
    <x v="5"/>
    <n v="4416"/>
    <x v="0"/>
    <n v="0"/>
  </r>
  <r>
    <s v="T00835"/>
    <s v="2023-08-31"/>
    <x v="4"/>
    <s v="CC105"/>
    <x v="1"/>
    <s v="Maintenance related expense"/>
    <n v="83743"/>
    <n v="71803"/>
    <n v="-11940"/>
    <s v="Cash"/>
    <x v="3"/>
    <x v="1"/>
    <s v="Operating Expense"/>
    <n v="-7.0136515912897819"/>
    <x v="3"/>
    <n v="11940"/>
    <x v="0"/>
    <n v="0"/>
  </r>
  <r>
    <s v="T00836"/>
    <s v="2025-05-05"/>
    <x v="2"/>
    <s v="CC102"/>
    <x v="1"/>
    <s v="Maintenance related expense"/>
    <n v="138279"/>
    <n v="136775"/>
    <n v="-1504"/>
    <s v="Bank Transfer"/>
    <x v="3"/>
    <x v="1"/>
    <s v="Operating Expense"/>
    <n v="-91.940824468085111"/>
    <x v="11"/>
    <n v="1504"/>
    <x v="0"/>
    <n v="0"/>
  </r>
  <r>
    <s v="T00837"/>
    <s v="2025-03-08"/>
    <x v="0"/>
    <s v="CC104"/>
    <x v="0"/>
    <s v="Utilities related expense"/>
    <n v="342919"/>
    <n v="268842"/>
    <n v="-74077"/>
    <s v="Card"/>
    <x v="4"/>
    <x v="1"/>
    <s v="Operating Expense"/>
    <n v="-4.6292236456659959"/>
    <x v="7"/>
    <n v="74077"/>
    <x v="1"/>
    <n v="0"/>
  </r>
  <r>
    <s v="T00838"/>
    <s v="2023-04-17"/>
    <x v="1"/>
    <s v="CC105"/>
    <x v="3"/>
    <s v="Equipment related expense"/>
    <n v="284884"/>
    <n v="311099"/>
    <n v="26215"/>
    <s v="Cash"/>
    <x v="2"/>
    <x v="1"/>
    <s v="Operating Expense"/>
    <n v="10.867213427427046"/>
    <x v="9"/>
    <n v="26215"/>
    <x v="1"/>
    <n v="0"/>
  </r>
  <r>
    <s v="T00839"/>
    <s v="2024-08-04"/>
    <x v="3"/>
    <s v="CC104"/>
    <x v="4"/>
    <s v="Salary related expense"/>
    <n v="294222"/>
    <n v="344945"/>
    <n v="50723"/>
    <s v="Bank Transfer"/>
    <x v="1"/>
    <x v="3"/>
    <s v="Capital Expense"/>
    <n v="5.8005638467756242"/>
    <x v="3"/>
    <n v="50723"/>
    <x v="1"/>
    <n v="0"/>
  </r>
  <r>
    <s v="T00840"/>
    <s v="2023-08-17"/>
    <x v="3"/>
    <s v="CC101"/>
    <x v="3"/>
    <s v="Equipment related expense"/>
    <n v="396798"/>
    <n v="442325"/>
    <n v="45527"/>
    <s v="Bank Transfer"/>
    <x v="1"/>
    <x v="0"/>
    <s v="Capital Expense"/>
    <n v="8.7156632328069055"/>
    <x v="3"/>
    <n v="45527"/>
    <x v="1"/>
    <n v="0"/>
  </r>
  <r>
    <s v="T00841"/>
    <s v="2023-05-16"/>
    <x v="3"/>
    <s v="CC102"/>
    <x v="2"/>
    <s v="Marketing related expense"/>
    <n v="451659"/>
    <n v="474720"/>
    <n v="23061"/>
    <s v="Card"/>
    <x v="0"/>
    <x v="3"/>
    <s v="Operating Expense"/>
    <n v="19.585403928710811"/>
    <x v="11"/>
    <n v="23061"/>
    <x v="1"/>
    <n v="0"/>
  </r>
  <r>
    <s v="T00842"/>
    <s v="2023-08-22"/>
    <x v="3"/>
    <s v="CC102"/>
    <x v="4"/>
    <s v="Salary related expense"/>
    <n v="444157"/>
    <n v="470918"/>
    <n v="26761"/>
    <s v="Card"/>
    <x v="4"/>
    <x v="3"/>
    <s v="Capital Expense"/>
    <n v="16.597174993460634"/>
    <x v="3"/>
    <n v="26761"/>
    <x v="1"/>
    <n v="0"/>
  </r>
  <r>
    <s v="T00843"/>
    <s v="2023-06-25"/>
    <x v="0"/>
    <s v="CC104"/>
    <x v="4"/>
    <s v="Salary related expense"/>
    <n v="281172"/>
    <n v="379832"/>
    <n v="98660"/>
    <s v="Card"/>
    <x v="2"/>
    <x v="0"/>
    <s v="Capital Expense"/>
    <n v="2.8499087776201093"/>
    <x v="1"/>
    <n v="98660"/>
    <x v="1"/>
    <n v="0"/>
  </r>
  <r>
    <s v="T00844"/>
    <s v="2023-07-11"/>
    <x v="1"/>
    <s v="CC101"/>
    <x v="5"/>
    <s v="Travel related expense"/>
    <n v="479260"/>
    <n v="339527"/>
    <n v="-139733"/>
    <s v="Bank Transfer"/>
    <x v="3"/>
    <x v="0"/>
    <s v="Operating Expense"/>
    <n v="-3.4298268841290174"/>
    <x v="8"/>
    <n v="139733"/>
    <x v="1"/>
    <n v="0"/>
  </r>
  <r>
    <s v="T00845"/>
    <s v="2024-02-04"/>
    <x v="4"/>
    <s v="CC105"/>
    <x v="4"/>
    <s v="Salary related expense"/>
    <n v="396012"/>
    <n v="491813"/>
    <n v="95801"/>
    <s v="Cash"/>
    <x v="1"/>
    <x v="2"/>
    <s v="Capital Expense"/>
    <n v="4.1336938027786765"/>
    <x v="4"/>
    <n v="95801"/>
    <x v="1"/>
    <n v="0"/>
  </r>
  <r>
    <s v="T00846"/>
    <s v="2023-11-12"/>
    <x v="1"/>
    <s v="CC104"/>
    <x v="3"/>
    <s v="Equipment related expense"/>
    <n v="77451"/>
    <n v="76683"/>
    <n v="-768"/>
    <s v="Bank Transfer"/>
    <x v="2"/>
    <x v="1"/>
    <s v="Capital Expense"/>
    <n v="-100.84765625"/>
    <x v="0"/>
    <n v="768"/>
    <x v="0"/>
    <n v="0"/>
  </r>
  <r>
    <s v="T00847"/>
    <s v="2024-08-08"/>
    <x v="0"/>
    <s v="CC103"/>
    <x v="3"/>
    <s v="Equipment related expense"/>
    <n v="130153"/>
    <n v="124014"/>
    <n v="-6139"/>
    <s v="Card"/>
    <x v="1"/>
    <x v="0"/>
    <s v="Capital Expense"/>
    <n v="-21.201009936471738"/>
    <x v="3"/>
    <n v="6139"/>
    <x v="0"/>
    <n v="0"/>
  </r>
  <r>
    <s v="T00848"/>
    <s v="2024-03-07"/>
    <x v="4"/>
    <s v="CC105"/>
    <x v="3"/>
    <s v="Equipment related expense"/>
    <n v="492981"/>
    <n v="500873"/>
    <n v="7892"/>
    <s v="Cash"/>
    <x v="0"/>
    <x v="0"/>
    <s v="Capital Expense"/>
    <n v="62.465914850481504"/>
    <x v="7"/>
    <n v="7892"/>
    <x v="0"/>
    <n v="0"/>
  </r>
  <r>
    <s v="T00849"/>
    <s v="2025-03-13"/>
    <x v="4"/>
    <s v="CC102"/>
    <x v="2"/>
    <s v="Marketing related expense"/>
    <n v="257048"/>
    <n v="210164"/>
    <n v="-46884"/>
    <s v="Cash"/>
    <x v="1"/>
    <x v="2"/>
    <s v="Operating Expense"/>
    <n v="-5.4826380001706339"/>
    <x v="7"/>
    <n v="46884"/>
    <x v="1"/>
    <n v="0"/>
  </r>
  <r>
    <s v="T00850"/>
    <s v="2023-03-15"/>
    <x v="4"/>
    <s v="CC105"/>
    <x v="0"/>
    <s v="Utilities related expense"/>
    <n v="228055"/>
    <n v="225033"/>
    <n v="-3022"/>
    <s v="Bank Transfer"/>
    <x v="0"/>
    <x v="1"/>
    <s v="Operating Expense"/>
    <n v="-75.464923891462604"/>
    <x v="7"/>
    <n v="3022"/>
    <x v="0"/>
    <n v="0"/>
  </r>
  <r>
    <s v="T00851"/>
    <s v="2024-09-08"/>
    <x v="2"/>
    <s v="CC103"/>
    <x v="2"/>
    <s v="Marketing related expense"/>
    <n v="430845"/>
    <n v="364387"/>
    <n v="-66458"/>
    <s v="Cash"/>
    <x v="1"/>
    <x v="1"/>
    <s v="Operating Expense"/>
    <n v="-6.4829666857263231"/>
    <x v="2"/>
    <n v="66458"/>
    <x v="1"/>
    <n v="0"/>
  </r>
  <r>
    <s v="T00852"/>
    <s v="2023-03-08"/>
    <x v="2"/>
    <s v="CC101"/>
    <x v="1"/>
    <s v="Maintenance related expense"/>
    <n v="422522"/>
    <n v="480576"/>
    <n v="58054"/>
    <s v="Card"/>
    <x v="1"/>
    <x v="2"/>
    <s v="Operating Expense"/>
    <n v="7.2780859200055117"/>
    <x v="7"/>
    <n v="58054"/>
    <x v="1"/>
    <n v="0"/>
  </r>
  <r>
    <s v="T00853"/>
    <s v="2024-08-31"/>
    <x v="0"/>
    <s v="CC102"/>
    <x v="1"/>
    <s v="Maintenance related expense"/>
    <n v="458540"/>
    <n v="623770"/>
    <n v="165230"/>
    <s v="Cash"/>
    <x v="3"/>
    <x v="2"/>
    <s v="Operating Expense"/>
    <n v="2.7751618955395507"/>
    <x v="3"/>
    <n v="165230"/>
    <x v="1"/>
    <n v="0"/>
  </r>
  <r>
    <s v="T00854"/>
    <s v="2025-01-02"/>
    <x v="3"/>
    <s v="CC101"/>
    <x v="2"/>
    <s v="Marketing related expense"/>
    <n v="336084"/>
    <n v="249325"/>
    <n v="-86759"/>
    <s v="Bank Transfer"/>
    <x v="2"/>
    <x v="1"/>
    <s v="Operating Expense"/>
    <n v="-3.8737652577830541"/>
    <x v="6"/>
    <n v="86759"/>
    <x v="1"/>
    <n v="0"/>
  </r>
  <r>
    <s v="T00855"/>
    <s v="2023-06-09"/>
    <x v="5"/>
    <s v="CC101"/>
    <x v="4"/>
    <s v="Salary related expense"/>
    <n v="116080"/>
    <n v="145913"/>
    <n v="29833"/>
    <s v="Bank Transfer"/>
    <x v="2"/>
    <x v="2"/>
    <s v="Operating Expense"/>
    <n v="3.8909931954546977"/>
    <x v="1"/>
    <n v="29833"/>
    <x v="1"/>
    <n v="0"/>
  </r>
  <r>
    <s v="T00856"/>
    <s v="2024-05-25"/>
    <x v="4"/>
    <s v="CC104"/>
    <x v="0"/>
    <s v="Utilities related expense"/>
    <n v="81635"/>
    <n v="57427"/>
    <n v="-24208"/>
    <s v="Card"/>
    <x v="2"/>
    <x v="0"/>
    <s v="Capital Expense"/>
    <n v="-3.3722323198942497"/>
    <x v="11"/>
    <n v="24208"/>
    <x v="1"/>
    <n v="0"/>
  </r>
  <r>
    <s v="T00857"/>
    <s v="2024-08-26"/>
    <x v="2"/>
    <s v="CC103"/>
    <x v="2"/>
    <s v="Marketing related expense"/>
    <n v="417132"/>
    <n v="378982"/>
    <n v="-38150"/>
    <s v="Card"/>
    <x v="1"/>
    <x v="3"/>
    <s v="Operating Expense"/>
    <n v="-10.933997378768021"/>
    <x v="3"/>
    <n v="38150"/>
    <x v="1"/>
    <n v="0"/>
  </r>
  <r>
    <s v="T00858"/>
    <s v="2024-09-14"/>
    <x v="5"/>
    <s v="CC103"/>
    <x v="0"/>
    <s v="Utilities related expense"/>
    <n v="337282"/>
    <n v="434365"/>
    <n v="97083"/>
    <s v="Cash"/>
    <x v="4"/>
    <x v="3"/>
    <s v="Capital Expense"/>
    <n v="3.4741612846739387"/>
    <x v="2"/>
    <n v="97083"/>
    <x v="1"/>
    <n v="0"/>
  </r>
  <r>
    <s v="T00859"/>
    <s v="2024-02-16"/>
    <x v="2"/>
    <s v="CC104"/>
    <x v="4"/>
    <s v="Salary related expense"/>
    <n v="118194"/>
    <n v="120150"/>
    <n v="1956"/>
    <s v="Card"/>
    <x v="0"/>
    <x v="1"/>
    <s v="Capital Expense"/>
    <n v="60.426380368098158"/>
    <x v="4"/>
    <n v="1956"/>
    <x v="0"/>
    <n v="0"/>
  </r>
  <r>
    <s v="T00860"/>
    <s v="2023-02-05"/>
    <x v="0"/>
    <s v="CC102"/>
    <x v="0"/>
    <s v="Utilities related expense"/>
    <n v="403396"/>
    <n v="381151"/>
    <n v="-22245"/>
    <s v="Bank Transfer"/>
    <x v="4"/>
    <x v="2"/>
    <s v="Capital Expense"/>
    <n v="-18.134232411777926"/>
    <x v="4"/>
    <n v="22245"/>
    <x v="1"/>
    <n v="0"/>
  </r>
  <r>
    <s v="T00861"/>
    <s v="2024-07-19"/>
    <x v="2"/>
    <s v="CC101"/>
    <x v="1"/>
    <s v="Maintenance related expense"/>
    <n v="352167"/>
    <n v="434860"/>
    <n v="82693"/>
    <s v="Card"/>
    <x v="2"/>
    <x v="1"/>
    <s v="Capital Expense"/>
    <n v="4.258728066462699"/>
    <x v="8"/>
    <n v="82693"/>
    <x v="1"/>
    <n v="0"/>
  </r>
  <r>
    <s v="T00862"/>
    <s v="2024-07-16"/>
    <x v="4"/>
    <s v="CC102"/>
    <x v="1"/>
    <s v="Maintenance related expense"/>
    <n v="237684"/>
    <n v="277052"/>
    <n v="39368"/>
    <s v="Cash"/>
    <x v="1"/>
    <x v="0"/>
    <s v="Capital Expense"/>
    <n v="6.0374923795976425"/>
    <x v="8"/>
    <n v="39368"/>
    <x v="1"/>
    <n v="0"/>
  </r>
  <r>
    <s v="T00863"/>
    <s v="2023-11-18"/>
    <x v="1"/>
    <s v="CC103"/>
    <x v="2"/>
    <s v="Marketing related expense"/>
    <n v="378661"/>
    <n v="326686"/>
    <n v="-51975"/>
    <s v="Card"/>
    <x v="1"/>
    <x v="3"/>
    <s v="Capital Expense"/>
    <n v="-7.2854449254449252"/>
    <x v="0"/>
    <n v="51975"/>
    <x v="1"/>
    <n v="0"/>
  </r>
  <r>
    <s v="T00864"/>
    <s v="2023-05-09"/>
    <x v="4"/>
    <s v="CC104"/>
    <x v="4"/>
    <s v="Salary related expense"/>
    <n v="443914"/>
    <n v="499575"/>
    <n v="55661"/>
    <s v="Cash"/>
    <x v="1"/>
    <x v="2"/>
    <s v="Operating Expense"/>
    <n v="7.9753148524101256"/>
    <x v="11"/>
    <n v="55661"/>
    <x v="1"/>
    <n v="0"/>
  </r>
  <r>
    <s v="T00865"/>
    <s v="2023-01-03"/>
    <x v="2"/>
    <s v="CC103"/>
    <x v="4"/>
    <s v="Salary related expense"/>
    <n v="230002"/>
    <n v="302534"/>
    <n v="72532"/>
    <s v="Card"/>
    <x v="3"/>
    <x v="3"/>
    <s v="Operating Expense"/>
    <n v="3.1710417470909391"/>
    <x v="6"/>
    <n v="72532"/>
    <x v="1"/>
    <n v="0"/>
  </r>
  <r>
    <s v="T00866"/>
    <s v="2024-08-17"/>
    <x v="1"/>
    <s v="CC104"/>
    <x v="3"/>
    <s v="Equipment related expense"/>
    <n v="496135"/>
    <n v="670335"/>
    <n v="174200"/>
    <s v="Bank Transfer"/>
    <x v="3"/>
    <x v="3"/>
    <s v="Capital Expense"/>
    <n v="2.8480769230769232"/>
    <x v="3"/>
    <n v="174200"/>
    <x v="1"/>
    <n v="0"/>
  </r>
  <r>
    <s v="T00867"/>
    <s v="2023-07-11"/>
    <x v="4"/>
    <s v="CC101"/>
    <x v="5"/>
    <s v="Travel related expense"/>
    <n v="476338"/>
    <n v="515534"/>
    <n v="39196"/>
    <s v="Card"/>
    <x v="1"/>
    <x v="2"/>
    <s v="Capital Expense"/>
    <n v="12.152719665271967"/>
    <x v="8"/>
    <n v="39196"/>
    <x v="1"/>
    <n v="0"/>
  </r>
  <r>
    <s v="T00868"/>
    <s v="2023-06-10"/>
    <x v="2"/>
    <s v="CC102"/>
    <x v="2"/>
    <s v="Marketing related expense"/>
    <n v="478158"/>
    <n v="364186"/>
    <n v="-113972"/>
    <s v="Bank Transfer"/>
    <x v="2"/>
    <x v="3"/>
    <s v="Capital Expense"/>
    <n v="-4.1953988698978693"/>
    <x v="1"/>
    <n v="113972"/>
    <x v="1"/>
    <n v="0"/>
  </r>
  <r>
    <s v="T00869"/>
    <s v="2023-02-24"/>
    <x v="1"/>
    <s v="CC101"/>
    <x v="1"/>
    <s v="Maintenance related expense"/>
    <n v="103645"/>
    <n v="105507"/>
    <n v="1862"/>
    <s v="Cash"/>
    <x v="3"/>
    <x v="2"/>
    <s v="Operating Expense"/>
    <n v="55.663265306122447"/>
    <x v="4"/>
    <n v="1862"/>
    <x v="0"/>
    <n v="0"/>
  </r>
  <r>
    <s v="T00870"/>
    <s v="2024-12-30"/>
    <x v="0"/>
    <s v="CC101"/>
    <x v="4"/>
    <s v="Salary related expense"/>
    <n v="82044"/>
    <n v="75183"/>
    <n v="-6861"/>
    <s v="Card"/>
    <x v="3"/>
    <x v="2"/>
    <s v="Operating Expense"/>
    <n v="-11.958023611718408"/>
    <x v="10"/>
    <n v="6861"/>
    <x v="0"/>
    <n v="0"/>
  </r>
  <r>
    <s v="T00871"/>
    <s v="2025-03-12"/>
    <x v="3"/>
    <s v="CC101"/>
    <x v="5"/>
    <s v="Travel related expense"/>
    <n v="273915"/>
    <n v="277638"/>
    <n v="3723"/>
    <s v="Cash"/>
    <x v="3"/>
    <x v="2"/>
    <s v="Capital Expense"/>
    <n v="73.573730862207896"/>
    <x v="7"/>
    <n v="3723"/>
    <x v="0"/>
    <n v="0"/>
  </r>
  <r>
    <s v="T00872"/>
    <s v="2023-06-29"/>
    <x v="1"/>
    <s v="CC103"/>
    <x v="2"/>
    <s v="Marketing related expense"/>
    <n v="386518"/>
    <n v="340815"/>
    <n v="-45703"/>
    <s v="Card"/>
    <x v="3"/>
    <x v="0"/>
    <s v="Operating Expense"/>
    <n v="-8.4571691136249267"/>
    <x v="1"/>
    <n v="45703"/>
    <x v="1"/>
    <n v="0"/>
  </r>
  <r>
    <s v="T00873"/>
    <s v="2024-03-07"/>
    <x v="1"/>
    <s v="CC105"/>
    <x v="4"/>
    <s v="Salary related expense"/>
    <n v="400816"/>
    <n v="497465"/>
    <n v="96649"/>
    <s v="Bank Transfer"/>
    <x v="0"/>
    <x v="2"/>
    <s v="Operating Expense"/>
    <n v="4.1471303376134259"/>
    <x v="7"/>
    <n v="96649"/>
    <x v="1"/>
    <n v="0"/>
  </r>
  <r>
    <s v="T00874"/>
    <s v="2024-02-05"/>
    <x v="3"/>
    <s v="CC104"/>
    <x v="0"/>
    <s v="Utilities related expense"/>
    <n v="235762"/>
    <n v="263961"/>
    <n v="28199"/>
    <s v="Cash"/>
    <x v="3"/>
    <x v="2"/>
    <s v="Capital Expense"/>
    <n v="8.3606510869179758"/>
    <x v="4"/>
    <n v="28199"/>
    <x v="1"/>
    <n v="0"/>
  </r>
  <r>
    <s v="T00875"/>
    <s v="2023-07-03"/>
    <x v="1"/>
    <s v="CC102"/>
    <x v="4"/>
    <s v="Salary related expense"/>
    <n v="233224"/>
    <n v="317883"/>
    <n v="84659"/>
    <s v="Cash"/>
    <x v="1"/>
    <x v="0"/>
    <s v="Capital Expense"/>
    <n v="2.7548636293837632"/>
    <x v="8"/>
    <n v="84659"/>
    <x v="1"/>
    <n v="0"/>
  </r>
  <r>
    <s v="T00876"/>
    <s v="2024-02-09"/>
    <x v="5"/>
    <s v="CC103"/>
    <x v="5"/>
    <s v="Travel related expense"/>
    <n v="285777"/>
    <n v="256977"/>
    <n v="-28800"/>
    <s v="Cash"/>
    <x v="4"/>
    <x v="2"/>
    <s v="Operating Expense"/>
    <n v="-9.9228124999999991"/>
    <x v="4"/>
    <n v="28800"/>
    <x v="1"/>
    <n v="0"/>
  </r>
  <r>
    <s v="T00877"/>
    <s v="2023-07-12"/>
    <x v="2"/>
    <s v="CC104"/>
    <x v="3"/>
    <s v="Equipment related expense"/>
    <n v="329781"/>
    <n v="246423"/>
    <n v="-83358"/>
    <s v="Bank Transfer"/>
    <x v="1"/>
    <x v="0"/>
    <s v="Capital Expense"/>
    <n v="-3.9562009645145038"/>
    <x v="8"/>
    <n v="83358"/>
    <x v="1"/>
    <n v="0"/>
  </r>
  <r>
    <s v="T00878"/>
    <s v="2023-11-23"/>
    <x v="2"/>
    <s v="CC104"/>
    <x v="1"/>
    <s v="Maintenance related expense"/>
    <n v="162885"/>
    <n v="218788"/>
    <n v="55903"/>
    <s v="Bank Transfer"/>
    <x v="4"/>
    <x v="0"/>
    <s v="Operating Expense"/>
    <n v="2.9137076722179489"/>
    <x v="0"/>
    <n v="55903"/>
    <x v="1"/>
    <n v="0"/>
  </r>
  <r>
    <s v="T00879"/>
    <s v="2025-02-12"/>
    <x v="0"/>
    <s v="CC102"/>
    <x v="3"/>
    <s v="Equipment related expense"/>
    <n v="142922"/>
    <n v="185025"/>
    <n v="42103"/>
    <s v="Cash"/>
    <x v="4"/>
    <x v="1"/>
    <s v="Capital Expense"/>
    <n v="3.3945799586727787"/>
    <x v="4"/>
    <n v="42103"/>
    <x v="1"/>
    <n v="0"/>
  </r>
  <r>
    <s v="T00880"/>
    <s v="2024-06-30"/>
    <x v="3"/>
    <s v="CC102"/>
    <x v="0"/>
    <s v="Utilities related expense"/>
    <n v="158544"/>
    <n v="214068"/>
    <n v="55524"/>
    <s v="Bank Transfer"/>
    <x v="2"/>
    <x v="1"/>
    <s v="Operating Expense"/>
    <n v="2.8554138750810458"/>
    <x v="1"/>
    <n v="55524"/>
    <x v="1"/>
    <n v="0"/>
  </r>
  <r>
    <s v="T00881"/>
    <s v="2023-09-04"/>
    <x v="2"/>
    <s v="CC104"/>
    <x v="5"/>
    <s v="Travel related expense"/>
    <n v="283815"/>
    <n v="341126"/>
    <n v="57311"/>
    <s v="Bank Transfer"/>
    <x v="0"/>
    <x v="2"/>
    <s v="Capital Expense"/>
    <n v="4.9521906789272565"/>
    <x v="2"/>
    <n v="57311"/>
    <x v="1"/>
    <n v="0"/>
  </r>
  <r>
    <s v="T00882"/>
    <s v="2025-02-17"/>
    <x v="1"/>
    <s v="CC104"/>
    <x v="3"/>
    <s v="Equipment related expense"/>
    <n v="82360"/>
    <n v="109745"/>
    <n v="27385"/>
    <s v="Card"/>
    <x v="4"/>
    <x v="2"/>
    <s v="Operating Expense"/>
    <n v="3.0074858499178383"/>
    <x v="4"/>
    <n v="27385"/>
    <x v="1"/>
    <n v="0"/>
  </r>
  <r>
    <s v="T00883"/>
    <s v="2024-07-15"/>
    <x v="3"/>
    <s v="CC104"/>
    <x v="0"/>
    <s v="Utilities related expense"/>
    <n v="96107"/>
    <n v="74522"/>
    <n v="-21585"/>
    <s v="Card"/>
    <x v="4"/>
    <x v="2"/>
    <s v="Operating Expense"/>
    <n v="-4.4524901552003708"/>
    <x v="8"/>
    <n v="21585"/>
    <x v="1"/>
    <n v="0"/>
  </r>
  <r>
    <s v="T00884"/>
    <s v="2024-10-22"/>
    <x v="1"/>
    <s v="CC101"/>
    <x v="4"/>
    <s v="Salary related expense"/>
    <n v="128623"/>
    <n v="141706"/>
    <n v="13083"/>
    <s v="Bank Transfer"/>
    <x v="3"/>
    <x v="1"/>
    <s v="Operating Expense"/>
    <n v="9.8313078040204847"/>
    <x v="5"/>
    <n v="13083"/>
    <x v="0"/>
    <n v="0"/>
  </r>
  <r>
    <s v="T00885"/>
    <s v="2025-03-15"/>
    <x v="4"/>
    <s v="CC103"/>
    <x v="3"/>
    <s v="Equipment related expense"/>
    <n v="100866"/>
    <n v="71056"/>
    <n v="-29810"/>
    <s v="Card"/>
    <x v="1"/>
    <x v="2"/>
    <s v="Capital Expense"/>
    <n v="-3.3836296544783631"/>
    <x v="7"/>
    <n v="29810"/>
    <x v="1"/>
    <n v="0"/>
  </r>
  <r>
    <s v="T00886"/>
    <s v="2024-11-28"/>
    <x v="0"/>
    <s v="CC104"/>
    <x v="2"/>
    <s v="Marketing related expense"/>
    <n v="111857"/>
    <n v="132329"/>
    <n v="20472"/>
    <s v="Card"/>
    <x v="1"/>
    <x v="0"/>
    <s v="Capital Expense"/>
    <n v="5.4639019148104726"/>
    <x v="0"/>
    <n v="20472"/>
    <x v="1"/>
    <n v="0"/>
  </r>
  <r>
    <s v="T00887"/>
    <s v="2025-02-27"/>
    <x v="1"/>
    <s v="CC104"/>
    <x v="4"/>
    <s v="Salary related expense"/>
    <n v="462726"/>
    <n v="468538"/>
    <n v="5812"/>
    <s v="Card"/>
    <x v="2"/>
    <x v="2"/>
    <s v="Capital Expense"/>
    <n v="79.615622849277358"/>
    <x v="4"/>
    <n v="5812"/>
    <x v="0"/>
    <n v="0"/>
  </r>
  <r>
    <s v="T00888"/>
    <s v="2024-05-02"/>
    <x v="4"/>
    <s v="CC105"/>
    <x v="1"/>
    <s v="Maintenance related expense"/>
    <n v="298009"/>
    <n v="290676"/>
    <n v="-7333"/>
    <s v="Cash"/>
    <x v="4"/>
    <x v="2"/>
    <s v="Capital Expense"/>
    <n v="-40.63943815627983"/>
    <x v="11"/>
    <n v="7333"/>
    <x v="0"/>
    <n v="0"/>
  </r>
  <r>
    <s v="T00889"/>
    <s v="2023-10-10"/>
    <x v="1"/>
    <s v="CC104"/>
    <x v="1"/>
    <s v="Maintenance related expense"/>
    <n v="427005"/>
    <n v="513556"/>
    <n v="86551"/>
    <s v="Cash"/>
    <x v="3"/>
    <x v="1"/>
    <s v="Operating Expense"/>
    <n v="4.9335651812226313"/>
    <x v="5"/>
    <n v="86551"/>
    <x v="1"/>
    <n v="0"/>
  </r>
  <r>
    <s v="T00890"/>
    <s v="2024-06-18"/>
    <x v="1"/>
    <s v="CC104"/>
    <x v="5"/>
    <s v="Travel related expense"/>
    <n v="181816"/>
    <n v="211617"/>
    <n v="29801"/>
    <s v="Bank Transfer"/>
    <x v="2"/>
    <x v="2"/>
    <s v="Capital Expense"/>
    <n v="6.1010033220361732"/>
    <x v="1"/>
    <n v="29801"/>
    <x v="1"/>
    <n v="0"/>
  </r>
  <r>
    <s v="T00891"/>
    <s v="2023-05-21"/>
    <x v="1"/>
    <s v="CC104"/>
    <x v="4"/>
    <s v="Salary related expense"/>
    <n v="493583"/>
    <n v="360764"/>
    <n v="-132819"/>
    <s v="Bank Transfer"/>
    <x v="4"/>
    <x v="2"/>
    <s v="Operating Expense"/>
    <n v="-3.7162077714784783"/>
    <x v="11"/>
    <n v="132819"/>
    <x v="1"/>
    <n v="0"/>
  </r>
  <r>
    <s v="T00892"/>
    <s v="2023-10-14"/>
    <x v="1"/>
    <s v="CC103"/>
    <x v="1"/>
    <s v="Maintenance related expense"/>
    <n v="141403"/>
    <n v="141088"/>
    <n v="-315"/>
    <s v="Cash"/>
    <x v="4"/>
    <x v="0"/>
    <s v="Operating Expense"/>
    <n v="-448.8984126984127"/>
    <x v="5"/>
    <n v="315"/>
    <x v="0"/>
    <n v="0"/>
  </r>
  <r>
    <s v="T00893"/>
    <s v="2024-01-23"/>
    <x v="4"/>
    <s v="CC103"/>
    <x v="0"/>
    <s v="Utilities related expense"/>
    <n v="63809"/>
    <n v="67603"/>
    <n v="3794"/>
    <s v="Card"/>
    <x v="0"/>
    <x v="2"/>
    <s v="Operating Expense"/>
    <n v="16.818397469688982"/>
    <x v="6"/>
    <n v="3794"/>
    <x v="0"/>
    <n v="0"/>
  </r>
  <r>
    <s v="T00894"/>
    <s v="2023-04-25"/>
    <x v="4"/>
    <s v="CC105"/>
    <x v="0"/>
    <s v="Utilities related expense"/>
    <n v="472771"/>
    <n v="562892"/>
    <n v="90121"/>
    <s v="Card"/>
    <x v="3"/>
    <x v="1"/>
    <s v="Operating Expense"/>
    <n v="5.2459582117375527"/>
    <x v="9"/>
    <n v="90121"/>
    <x v="1"/>
    <n v="0"/>
  </r>
  <r>
    <s v="T00895"/>
    <s v="2023-07-03"/>
    <x v="3"/>
    <s v="CC105"/>
    <x v="2"/>
    <s v="Marketing related expense"/>
    <n v="67361"/>
    <n v="77363"/>
    <n v="10002"/>
    <s v="Bank Transfer"/>
    <x v="0"/>
    <x v="0"/>
    <s v="Capital Expense"/>
    <n v="6.7347530493901218"/>
    <x v="8"/>
    <n v="10002"/>
    <x v="0"/>
    <n v="0"/>
  </r>
  <r>
    <s v="T00896"/>
    <s v="2023-10-26"/>
    <x v="5"/>
    <s v="CC102"/>
    <x v="0"/>
    <s v="Utilities related expense"/>
    <n v="61632"/>
    <n v="73916"/>
    <n v="12284"/>
    <s v="Bank Transfer"/>
    <x v="0"/>
    <x v="3"/>
    <s v="Capital Expense"/>
    <n v="5.0172582220774995"/>
    <x v="5"/>
    <n v="12284"/>
    <x v="0"/>
    <n v="0"/>
  </r>
  <r>
    <s v="T00897"/>
    <s v="2025-04-28"/>
    <x v="0"/>
    <s v="CC105"/>
    <x v="0"/>
    <s v="Utilities related expense"/>
    <n v="345355"/>
    <n v="349289"/>
    <n v="3934"/>
    <s v="Bank Transfer"/>
    <x v="2"/>
    <x v="3"/>
    <s v="Capital Expense"/>
    <n v="87.787239450940518"/>
    <x v="9"/>
    <n v="3934"/>
    <x v="0"/>
    <n v="0"/>
  </r>
  <r>
    <s v="T00898"/>
    <s v="2023-09-15"/>
    <x v="2"/>
    <s v="CC101"/>
    <x v="5"/>
    <s v="Travel related expense"/>
    <n v="58603"/>
    <n v="62672"/>
    <n v="4069"/>
    <s v="Card"/>
    <x v="1"/>
    <x v="2"/>
    <s v="Capital Expense"/>
    <n v="14.402310149913983"/>
    <x v="2"/>
    <n v="4069"/>
    <x v="0"/>
    <n v="0"/>
  </r>
  <r>
    <s v="T00899"/>
    <s v="2023-10-16"/>
    <x v="2"/>
    <s v="CC103"/>
    <x v="0"/>
    <s v="Utilities related expense"/>
    <n v="471147"/>
    <n v="507219"/>
    <n v="36072"/>
    <s v="Card"/>
    <x v="0"/>
    <x v="0"/>
    <s v="Capital Expense"/>
    <n v="13.061294078509647"/>
    <x v="5"/>
    <n v="36072"/>
    <x v="1"/>
    <n v="0"/>
  </r>
  <r>
    <s v="T00900"/>
    <s v="2023-12-08"/>
    <x v="0"/>
    <s v="CC103"/>
    <x v="1"/>
    <s v="Maintenance related expense"/>
    <n v="248860"/>
    <n v="202698"/>
    <n v="-46162"/>
    <s v="Cash"/>
    <x v="2"/>
    <x v="3"/>
    <s v="Capital Expense"/>
    <n v="-5.391014254148434"/>
    <x v="10"/>
    <n v="46162"/>
    <x v="1"/>
    <n v="0"/>
  </r>
  <r>
    <s v="T00901"/>
    <s v="2023-01-22"/>
    <x v="5"/>
    <s v="CC101"/>
    <x v="4"/>
    <s v="Salary related expense"/>
    <n v="74564"/>
    <n v="97425"/>
    <n v="22861"/>
    <s v="Card"/>
    <x v="2"/>
    <x v="1"/>
    <s v="Capital Expense"/>
    <n v="3.2616246008486067"/>
    <x v="6"/>
    <n v="22861"/>
    <x v="1"/>
    <n v="0"/>
  </r>
  <r>
    <s v="T00902"/>
    <s v="2024-08-04"/>
    <x v="0"/>
    <s v="CC103"/>
    <x v="3"/>
    <s v="Equipment related expense"/>
    <n v="444998"/>
    <n v="436743"/>
    <n v="-8255"/>
    <s v="Cash"/>
    <x v="0"/>
    <x v="1"/>
    <s v="Capital Expense"/>
    <n v="-53.906480920654147"/>
    <x v="3"/>
    <n v="8255"/>
    <x v="0"/>
    <n v="0"/>
  </r>
  <r>
    <s v="T00903"/>
    <s v="2023-06-22"/>
    <x v="4"/>
    <s v="CC101"/>
    <x v="1"/>
    <s v="Maintenance related expense"/>
    <n v="55460"/>
    <n v="52450"/>
    <n v="-3010"/>
    <s v="Cash"/>
    <x v="1"/>
    <x v="1"/>
    <s v="Operating Expense"/>
    <n v="-18.425249169435215"/>
    <x v="1"/>
    <n v="3010"/>
    <x v="0"/>
    <n v="0"/>
  </r>
  <r>
    <s v="T00904"/>
    <s v="2023-02-12"/>
    <x v="3"/>
    <s v="CC102"/>
    <x v="2"/>
    <s v="Marketing related expense"/>
    <n v="239104"/>
    <n v="176611"/>
    <n v="-62493"/>
    <s v="Cash"/>
    <x v="0"/>
    <x v="2"/>
    <s v="Capital Expense"/>
    <n v="-3.8260925223625044"/>
    <x v="4"/>
    <n v="62493"/>
    <x v="1"/>
    <n v="0"/>
  </r>
  <r>
    <s v="T00905"/>
    <s v="2023-07-29"/>
    <x v="1"/>
    <s v="CC103"/>
    <x v="3"/>
    <s v="Equipment related expense"/>
    <n v="495442"/>
    <n v="376931"/>
    <n v="-118511"/>
    <s v="Cash"/>
    <x v="0"/>
    <x v="1"/>
    <s v="Capital Expense"/>
    <n v="-4.1805570790897049"/>
    <x v="8"/>
    <n v="118511"/>
    <x v="1"/>
    <n v="0"/>
  </r>
  <r>
    <s v="T00906"/>
    <s v="2023-01-18"/>
    <x v="1"/>
    <s v="CC105"/>
    <x v="2"/>
    <s v="Marketing related expense"/>
    <n v="197965"/>
    <n v="219746"/>
    <n v="21781"/>
    <s v="Cash"/>
    <x v="1"/>
    <x v="0"/>
    <s v="Operating Expense"/>
    <n v="9.0888848078600617"/>
    <x v="6"/>
    <n v="21781"/>
    <x v="1"/>
    <n v="0"/>
  </r>
  <r>
    <s v="T00907"/>
    <s v="2023-07-25"/>
    <x v="2"/>
    <s v="CC102"/>
    <x v="1"/>
    <s v="Maintenance related expense"/>
    <n v="203541"/>
    <n v="192606"/>
    <n v="-10935"/>
    <s v="Cash"/>
    <x v="0"/>
    <x v="1"/>
    <s v="Capital Expense"/>
    <n v="-18.613717421124829"/>
    <x v="8"/>
    <n v="10935"/>
    <x v="0"/>
    <n v="0"/>
  </r>
  <r>
    <s v="T00908"/>
    <s v="2023-08-11"/>
    <x v="5"/>
    <s v="CC105"/>
    <x v="5"/>
    <s v="Travel related expense"/>
    <n v="81704"/>
    <n v="71342"/>
    <n v="-10362"/>
    <s v="Bank Transfer"/>
    <x v="4"/>
    <x v="1"/>
    <s v="Operating Expense"/>
    <n v="-7.8849642926076049"/>
    <x v="3"/>
    <n v="10362"/>
    <x v="0"/>
    <n v="0"/>
  </r>
  <r>
    <s v="T00909"/>
    <s v="2023-12-23"/>
    <x v="5"/>
    <s v="CC105"/>
    <x v="5"/>
    <s v="Travel related expense"/>
    <n v="426341"/>
    <n v="585945"/>
    <n v="159604"/>
    <s v="Bank Transfer"/>
    <x v="4"/>
    <x v="3"/>
    <s v="Operating Expense"/>
    <n v="2.671242575374051"/>
    <x v="10"/>
    <n v="159604"/>
    <x v="1"/>
    <n v="0"/>
  </r>
  <r>
    <s v="T00910"/>
    <s v="2023-10-25"/>
    <x v="1"/>
    <s v="CC104"/>
    <x v="3"/>
    <s v="Equipment related expense"/>
    <n v="330794"/>
    <n v="291079"/>
    <n v="-39715"/>
    <s v="Cash"/>
    <x v="4"/>
    <x v="0"/>
    <s v="Operating Expense"/>
    <n v="-8.3291955180662214"/>
    <x v="5"/>
    <n v="39715"/>
    <x v="1"/>
    <n v="0"/>
  </r>
  <r>
    <s v="T00911"/>
    <s v="2024-10-24"/>
    <x v="1"/>
    <s v="CC105"/>
    <x v="2"/>
    <s v="Marketing related expense"/>
    <n v="172671"/>
    <n v="186644"/>
    <n v="13973"/>
    <s v="Card"/>
    <x v="3"/>
    <x v="2"/>
    <s v="Capital Expense"/>
    <n v="12.357475130609032"/>
    <x v="5"/>
    <n v="13973"/>
    <x v="0"/>
    <n v="0"/>
  </r>
  <r>
    <s v="T00912"/>
    <s v="2024-02-24"/>
    <x v="5"/>
    <s v="CC102"/>
    <x v="3"/>
    <s v="Equipment related expense"/>
    <n v="499294"/>
    <n v="688346"/>
    <n v="189052"/>
    <s v="Cash"/>
    <x v="0"/>
    <x v="0"/>
    <s v="Capital Expense"/>
    <n v="2.6410405602691323"/>
    <x v="4"/>
    <n v="189052"/>
    <x v="1"/>
    <n v="0"/>
  </r>
  <r>
    <s v="T00913"/>
    <s v="2024-06-17"/>
    <x v="3"/>
    <s v="CC102"/>
    <x v="2"/>
    <s v="Marketing related expense"/>
    <n v="306540"/>
    <n v="367497"/>
    <n v="60957"/>
    <s v="Cash"/>
    <x v="0"/>
    <x v="2"/>
    <s v="Capital Expense"/>
    <n v="5.0287907869481767"/>
    <x v="1"/>
    <n v="60957"/>
    <x v="1"/>
    <n v="0"/>
  </r>
  <r>
    <s v="T00914"/>
    <s v="2024-08-24"/>
    <x v="2"/>
    <s v="CC104"/>
    <x v="0"/>
    <s v="Utilities related expense"/>
    <n v="74271"/>
    <n v="80614"/>
    <n v="6343"/>
    <s v="Cash"/>
    <x v="0"/>
    <x v="1"/>
    <s v="Operating Expense"/>
    <n v="11.709128172788901"/>
    <x v="3"/>
    <n v="6343"/>
    <x v="0"/>
    <n v="0"/>
  </r>
  <r>
    <s v="T00915"/>
    <s v="2025-05-05"/>
    <x v="2"/>
    <s v="CC105"/>
    <x v="0"/>
    <s v="Utilities related expense"/>
    <n v="442714"/>
    <n v="471831"/>
    <n v="29117"/>
    <s v="Bank Transfer"/>
    <x v="3"/>
    <x v="3"/>
    <s v="Capital Expense"/>
    <n v="15.204657073187485"/>
    <x v="11"/>
    <n v="29117"/>
    <x v="1"/>
    <n v="0"/>
  </r>
  <r>
    <s v="T00916"/>
    <s v="2023-07-20"/>
    <x v="1"/>
    <s v="CC105"/>
    <x v="2"/>
    <s v="Marketing related expense"/>
    <n v="345501"/>
    <n v="442852"/>
    <n v="97351"/>
    <s v="Cash"/>
    <x v="4"/>
    <x v="2"/>
    <s v="Operating Expense"/>
    <n v="3.5490236361208409"/>
    <x v="8"/>
    <n v="97351"/>
    <x v="1"/>
    <n v="0"/>
  </r>
  <r>
    <s v="T00917"/>
    <s v="2023-11-11"/>
    <x v="1"/>
    <s v="CC105"/>
    <x v="0"/>
    <s v="Utilities related expense"/>
    <n v="370063"/>
    <n v="289541"/>
    <n v="-80522"/>
    <s v="Card"/>
    <x v="4"/>
    <x v="0"/>
    <s v="Capital Expense"/>
    <n v="-4.5957999056158565"/>
    <x v="0"/>
    <n v="80522"/>
    <x v="1"/>
    <n v="0"/>
  </r>
  <r>
    <s v="T00918"/>
    <s v="2024-08-23"/>
    <x v="4"/>
    <s v="CC102"/>
    <x v="2"/>
    <s v="Marketing related expense"/>
    <n v="223099"/>
    <n v="206383"/>
    <n v="-16716"/>
    <s v="Bank Transfer"/>
    <x v="3"/>
    <x v="3"/>
    <s v="Capital Expense"/>
    <n v="-13.346434553720986"/>
    <x v="3"/>
    <n v="16716"/>
    <x v="0"/>
    <n v="0"/>
  </r>
  <r>
    <s v="T00919"/>
    <s v="2024-10-04"/>
    <x v="2"/>
    <s v="CC101"/>
    <x v="5"/>
    <s v="Travel related expense"/>
    <n v="489322"/>
    <n v="440854"/>
    <n v="-48468"/>
    <s v="Card"/>
    <x v="0"/>
    <x v="0"/>
    <s v="Capital Expense"/>
    <n v="-10.095774531649749"/>
    <x v="5"/>
    <n v="48468"/>
    <x v="1"/>
    <n v="0"/>
  </r>
  <r>
    <s v="T00920"/>
    <s v="2025-02-20"/>
    <x v="3"/>
    <s v="CC103"/>
    <x v="0"/>
    <s v="Utilities related expense"/>
    <n v="66995"/>
    <n v="81916"/>
    <n v="14921"/>
    <s v="Bank Transfer"/>
    <x v="3"/>
    <x v="1"/>
    <s v="Operating Expense"/>
    <n v="4.4899805643053412"/>
    <x v="4"/>
    <n v="14921"/>
    <x v="0"/>
    <n v="0"/>
  </r>
  <r>
    <s v="T00921"/>
    <s v="2025-05-25"/>
    <x v="4"/>
    <s v="CC104"/>
    <x v="1"/>
    <s v="Maintenance related expense"/>
    <n v="209491"/>
    <n v="228326"/>
    <n v="18835"/>
    <s v="Card"/>
    <x v="1"/>
    <x v="0"/>
    <s v="Capital Expense"/>
    <n v="11.122431643217414"/>
    <x v="11"/>
    <n v="18835"/>
    <x v="1"/>
    <n v="0"/>
  </r>
  <r>
    <s v="T00922"/>
    <s v="2025-01-06"/>
    <x v="0"/>
    <s v="CC102"/>
    <x v="0"/>
    <s v="Utilities related expense"/>
    <n v="172952"/>
    <n v="203359"/>
    <n v="30407"/>
    <s v="Card"/>
    <x v="1"/>
    <x v="3"/>
    <s v="Operating Expense"/>
    <n v="5.6879008123129546"/>
    <x v="6"/>
    <n v="30407"/>
    <x v="1"/>
    <n v="0"/>
  </r>
  <r>
    <s v="T00923"/>
    <s v="2023-10-07"/>
    <x v="1"/>
    <s v="CC103"/>
    <x v="0"/>
    <s v="Utilities related expense"/>
    <n v="432956"/>
    <n v="544202"/>
    <n v="111246"/>
    <s v="Card"/>
    <x v="0"/>
    <x v="0"/>
    <s v="Operating Expense"/>
    <n v="3.8918792585800839"/>
    <x v="5"/>
    <n v="111246"/>
    <x v="1"/>
    <n v="0"/>
  </r>
  <r>
    <s v="T00924"/>
    <s v="2023-08-22"/>
    <x v="5"/>
    <s v="CC105"/>
    <x v="1"/>
    <s v="Maintenance related expense"/>
    <n v="420803"/>
    <n v="429356"/>
    <n v="8553"/>
    <s v="Bank Transfer"/>
    <x v="2"/>
    <x v="1"/>
    <s v="Capital Expense"/>
    <n v="49.199462177013913"/>
    <x v="3"/>
    <n v="8553"/>
    <x v="0"/>
    <n v="0"/>
  </r>
  <r>
    <s v="T00925"/>
    <s v="2024-10-25"/>
    <x v="4"/>
    <s v="CC103"/>
    <x v="1"/>
    <s v="Maintenance related expense"/>
    <n v="307154"/>
    <n v="238636"/>
    <n v="-68518"/>
    <s v="Card"/>
    <x v="0"/>
    <x v="0"/>
    <s v="Capital Expense"/>
    <n v="-4.4828220321667303"/>
    <x v="5"/>
    <n v="68518"/>
    <x v="1"/>
    <n v="0"/>
  </r>
  <r>
    <s v="T00926"/>
    <s v="2023-07-27"/>
    <x v="3"/>
    <s v="CC104"/>
    <x v="0"/>
    <s v="Utilities related expense"/>
    <n v="276380"/>
    <n v="326551"/>
    <n v="50171"/>
    <s v="Card"/>
    <x v="1"/>
    <x v="3"/>
    <s v="Operating Expense"/>
    <n v="5.5087600406609392"/>
    <x v="8"/>
    <n v="50171"/>
    <x v="1"/>
    <n v="0"/>
  </r>
  <r>
    <s v="T00927"/>
    <s v="2023-10-17"/>
    <x v="3"/>
    <s v="CC101"/>
    <x v="5"/>
    <s v="Travel related expense"/>
    <n v="388046"/>
    <n v="529961"/>
    <n v="141915"/>
    <s v="Card"/>
    <x v="0"/>
    <x v="1"/>
    <s v="Capital Expense"/>
    <n v="2.7343550716978471"/>
    <x v="5"/>
    <n v="141915"/>
    <x v="1"/>
    <n v="0"/>
  </r>
  <r>
    <s v="T00928"/>
    <s v="2025-01-11"/>
    <x v="5"/>
    <s v="CC104"/>
    <x v="0"/>
    <s v="Utilities related expense"/>
    <n v="487640"/>
    <n v="514287"/>
    <n v="26647"/>
    <s v="Cash"/>
    <x v="2"/>
    <x v="2"/>
    <s v="Capital Expense"/>
    <n v="18.299996247232333"/>
    <x v="6"/>
    <n v="26647"/>
    <x v="1"/>
    <n v="0"/>
  </r>
  <r>
    <s v="T00929"/>
    <s v="2024-07-03"/>
    <x v="0"/>
    <s v="CC105"/>
    <x v="2"/>
    <s v="Marketing related expense"/>
    <n v="77385"/>
    <n v="102345"/>
    <n v="24960"/>
    <s v="Card"/>
    <x v="4"/>
    <x v="2"/>
    <s v="Capital Expense"/>
    <n v="3.1003605769230771"/>
    <x v="8"/>
    <n v="24960"/>
    <x v="1"/>
    <n v="0"/>
  </r>
  <r>
    <s v="T00930"/>
    <s v="2024-02-25"/>
    <x v="1"/>
    <s v="CC101"/>
    <x v="5"/>
    <s v="Travel related expense"/>
    <n v="77893"/>
    <n v="69847"/>
    <n v="-8046"/>
    <s v="Card"/>
    <x v="1"/>
    <x v="3"/>
    <s v="Capital Expense"/>
    <n v="-9.6809594829729058"/>
    <x v="4"/>
    <n v="8046"/>
    <x v="0"/>
    <n v="0"/>
  </r>
  <r>
    <s v="T00931"/>
    <s v="2023-01-28"/>
    <x v="1"/>
    <s v="CC105"/>
    <x v="1"/>
    <s v="Maintenance related expense"/>
    <n v="228530"/>
    <n v="233304"/>
    <n v="4774"/>
    <s v="Card"/>
    <x v="2"/>
    <x v="0"/>
    <s v="Capital Expense"/>
    <n v="47.869710934227065"/>
    <x v="6"/>
    <n v="4774"/>
    <x v="0"/>
    <n v="0"/>
  </r>
  <r>
    <s v="T00932"/>
    <s v="2023-09-26"/>
    <x v="2"/>
    <s v="CC104"/>
    <x v="2"/>
    <s v="Marketing related expense"/>
    <n v="84007"/>
    <n v="60127"/>
    <n v="-23880"/>
    <s v="Card"/>
    <x v="3"/>
    <x v="1"/>
    <s v="Operating Expense"/>
    <n v="-3.5178810720268006"/>
    <x v="2"/>
    <n v="23880"/>
    <x v="1"/>
    <n v="0"/>
  </r>
  <r>
    <s v="T00933"/>
    <s v="2023-09-14"/>
    <x v="0"/>
    <s v="CC103"/>
    <x v="0"/>
    <s v="Utilities related expense"/>
    <n v="161802"/>
    <n v="200900"/>
    <n v="39098"/>
    <s v="Bank Transfer"/>
    <x v="2"/>
    <x v="3"/>
    <s v="Capital Expense"/>
    <n v="4.1383702491176022"/>
    <x v="2"/>
    <n v="39098"/>
    <x v="1"/>
    <n v="0"/>
  </r>
  <r>
    <s v="T00934"/>
    <s v="2023-11-22"/>
    <x v="1"/>
    <s v="CC105"/>
    <x v="1"/>
    <s v="Maintenance related expense"/>
    <n v="74363"/>
    <n v="62646"/>
    <n v="-11717"/>
    <s v="Card"/>
    <x v="1"/>
    <x v="1"/>
    <s v="Capital Expense"/>
    <n v="-6.3465904241700093"/>
    <x v="0"/>
    <n v="11717"/>
    <x v="0"/>
    <n v="0"/>
  </r>
  <r>
    <s v="T00935"/>
    <s v="2023-06-24"/>
    <x v="1"/>
    <s v="CC103"/>
    <x v="3"/>
    <s v="Equipment related expense"/>
    <n v="463557"/>
    <n v="614164"/>
    <n v="150607"/>
    <s v="Bank Transfer"/>
    <x v="3"/>
    <x v="1"/>
    <s v="Capital Expense"/>
    <n v="3.0779246648562153"/>
    <x v="1"/>
    <n v="150607"/>
    <x v="1"/>
    <n v="0"/>
  </r>
  <r>
    <s v="T00936"/>
    <s v="2023-10-10"/>
    <x v="1"/>
    <s v="CC101"/>
    <x v="1"/>
    <s v="Maintenance related expense"/>
    <n v="376931"/>
    <n v="384686"/>
    <n v="7755"/>
    <s v="Bank Transfer"/>
    <x v="2"/>
    <x v="0"/>
    <s v="Capital Expense"/>
    <n v="48.604900064474535"/>
    <x v="5"/>
    <n v="7755"/>
    <x v="0"/>
    <n v="0"/>
  </r>
  <r>
    <s v="T00937"/>
    <s v="2023-06-19"/>
    <x v="0"/>
    <s v="CC102"/>
    <x v="1"/>
    <s v="Maintenance related expense"/>
    <n v="262345"/>
    <n v="190689"/>
    <n v="-71656"/>
    <s v="Bank Transfer"/>
    <x v="0"/>
    <x v="2"/>
    <s v="Capital Expense"/>
    <n v="-3.6611728257228981"/>
    <x v="1"/>
    <n v="71656"/>
    <x v="1"/>
    <n v="0"/>
  </r>
  <r>
    <s v="T00938"/>
    <s v="2024-11-05"/>
    <x v="2"/>
    <s v="CC103"/>
    <x v="5"/>
    <s v="Travel related expense"/>
    <n v="346623"/>
    <n v="364862"/>
    <n v="18239"/>
    <s v="Card"/>
    <x v="3"/>
    <x v="2"/>
    <s v="Capital Expense"/>
    <n v="19.00449586051867"/>
    <x v="0"/>
    <n v="18239"/>
    <x v="1"/>
    <n v="0"/>
  </r>
  <r>
    <s v="T00939"/>
    <s v="2024-08-18"/>
    <x v="3"/>
    <s v="CC103"/>
    <x v="4"/>
    <s v="Salary related expense"/>
    <n v="175700"/>
    <n v="242981"/>
    <n v="67281"/>
    <s v="Cash"/>
    <x v="1"/>
    <x v="1"/>
    <s v="Capital Expense"/>
    <n v="2.6114356207547451"/>
    <x v="3"/>
    <n v="67281"/>
    <x v="1"/>
    <n v="0"/>
  </r>
  <r>
    <s v="T00940"/>
    <s v="2025-06-16"/>
    <x v="2"/>
    <s v="CC102"/>
    <x v="5"/>
    <s v="Travel related expense"/>
    <n v="471243"/>
    <n v="618766"/>
    <n v="147523"/>
    <s v="Cash"/>
    <x v="0"/>
    <x v="3"/>
    <s v="Capital Expense"/>
    <n v="3.1943696915057314"/>
    <x v="1"/>
    <n v="147523"/>
    <x v="1"/>
    <n v="0"/>
  </r>
  <r>
    <s v="T00941"/>
    <s v="2023-05-29"/>
    <x v="5"/>
    <s v="CC103"/>
    <x v="4"/>
    <s v="Salary related expense"/>
    <n v="190326"/>
    <n v="173641"/>
    <n v="-16685"/>
    <s v="Bank Transfer"/>
    <x v="4"/>
    <x v="1"/>
    <s v="Operating Expense"/>
    <n v="-11.407012286484866"/>
    <x v="11"/>
    <n v="16685"/>
    <x v="0"/>
    <n v="0"/>
  </r>
  <r>
    <s v="T00942"/>
    <s v="2024-02-17"/>
    <x v="2"/>
    <s v="CC105"/>
    <x v="4"/>
    <s v="Salary related expense"/>
    <n v="274611"/>
    <n v="366957"/>
    <n v="92346"/>
    <s v="Card"/>
    <x v="2"/>
    <x v="2"/>
    <s v="Capital Expense"/>
    <n v="2.9737184068611526"/>
    <x v="4"/>
    <n v="92346"/>
    <x v="1"/>
    <n v="0"/>
  </r>
  <r>
    <s v="T00943"/>
    <s v="2023-10-21"/>
    <x v="1"/>
    <s v="CC105"/>
    <x v="4"/>
    <s v="Salary related expense"/>
    <n v="204555"/>
    <n v="169627"/>
    <n v="-34928"/>
    <s v="Card"/>
    <x v="2"/>
    <x v="3"/>
    <s v="Operating Expense"/>
    <n v="-5.8564761795694"/>
    <x v="5"/>
    <n v="34928"/>
    <x v="1"/>
    <n v="0"/>
  </r>
  <r>
    <s v="T00944"/>
    <s v="2025-04-03"/>
    <x v="1"/>
    <s v="CC103"/>
    <x v="0"/>
    <s v="Utilities related expense"/>
    <n v="350242"/>
    <n v="399002"/>
    <n v="48760"/>
    <s v="Cash"/>
    <x v="4"/>
    <x v="0"/>
    <s v="Capital Expense"/>
    <n v="7.1829778506972932"/>
    <x v="9"/>
    <n v="48760"/>
    <x v="1"/>
    <n v="0"/>
  </r>
  <r>
    <s v="T00945"/>
    <s v="2023-05-11"/>
    <x v="5"/>
    <s v="CC104"/>
    <x v="1"/>
    <s v="Maintenance related expense"/>
    <n v="329928"/>
    <n v="372054"/>
    <n v="42126"/>
    <s v="Bank Transfer"/>
    <x v="4"/>
    <x v="0"/>
    <s v="Operating Expense"/>
    <n v="7.8319327731092434"/>
    <x v="11"/>
    <n v="42126"/>
    <x v="1"/>
    <n v="0"/>
  </r>
  <r>
    <s v="T00946"/>
    <s v="2023-12-15"/>
    <x v="4"/>
    <s v="CC105"/>
    <x v="4"/>
    <s v="Salary related expense"/>
    <n v="497114"/>
    <n v="374241"/>
    <n v="-122873"/>
    <s v="Card"/>
    <x v="2"/>
    <x v="2"/>
    <s v="Operating Expense"/>
    <n v="-4.0457545595859141"/>
    <x v="10"/>
    <n v="122873"/>
    <x v="1"/>
    <n v="0"/>
  </r>
  <r>
    <s v="T00947"/>
    <s v="2025-01-08"/>
    <x v="3"/>
    <s v="CC103"/>
    <x v="2"/>
    <s v="Marketing related expense"/>
    <n v="264122"/>
    <n v="295903"/>
    <n v="31781"/>
    <s v="Bank Transfer"/>
    <x v="1"/>
    <x v="2"/>
    <s v="Operating Expense"/>
    <n v="8.310688776312892"/>
    <x v="6"/>
    <n v="31781"/>
    <x v="1"/>
    <n v="0"/>
  </r>
  <r>
    <s v="T00948"/>
    <s v="2023-08-17"/>
    <x v="4"/>
    <s v="CC101"/>
    <x v="1"/>
    <s v="Maintenance related expense"/>
    <n v="431534"/>
    <n v="367368"/>
    <n v="-64166"/>
    <s v="Card"/>
    <x v="3"/>
    <x v="1"/>
    <s v="Capital Expense"/>
    <n v="-6.7252750677929125"/>
    <x v="3"/>
    <n v="64166"/>
    <x v="1"/>
    <n v="0"/>
  </r>
  <r>
    <s v="T00949"/>
    <s v="2024-10-31"/>
    <x v="3"/>
    <s v="CC102"/>
    <x v="1"/>
    <s v="Maintenance related expense"/>
    <n v="407493"/>
    <n v="481080"/>
    <n v="73587"/>
    <s v="Bank Transfer"/>
    <x v="3"/>
    <x v="2"/>
    <s v="Operating Expense"/>
    <n v="5.5375677769171183"/>
    <x v="5"/>
    <n v="73587"/>
    <x v="1"/>
    <n v="0"/>
  </r>
  <r>
    <s v="T00950"/>
    <s v="2024-02-02"/>
    <x v="2"/>
    <s v="CC101"/>
    <x v="0"/>
    <s v="Utilities related expense"/>
    <n v="487815"/>
    <n v="677220"/>
    <n v="189405"/>
    <s v="Cash"/>
    <x v="0"/>
    <x v="0"/>
    <s v="Operating Expense"/>
    <n v="2.575512790053061"/>
    <x v="4"/>
    <n v="189405"/>
    <x v="1"/>
    <n v="0"/>
  </r>
  <r>
    <s v="T00951"/>
    <s v="2023-11-05"/>
    <x v="1"/>
    <s v="CC101"/>
    <x v="4"/>
    <s v="Salary related expense"/>
    <n v="180338"/>
    <n v="246905"/>
    <n v="66567"/>
    <s v="Bank Transfer"/>
    <x v="2"/>
    <x v="0"/>
    <s v="Capital Expense"/>
    <n v="2.7091201346012288"/>
    <x v="0"/>
    <n v="66567"/>
    <x v="1"/>
    <n v="0"/>
  </r>
  <r>
    <s v="T00952"/>
    <s v="2023-04-29"/>
    <x v="3"/>
    <s v="CC102"/>
    <x v="3"/>
    <s v="Equipment related expense"/>
    <n v="312047"/>
    <n v="270844"/>
    <n v="-41203"/>
    <s v="Bank Transfer"/>
    <x v="1"/>
    <x v="3"/>
    <s v="Capital Expense"/>
    <n v="-7.5734048491614692"/>
    <x v="9"/>
    <n v="41203"/>
    <x v="1"/>
    <n v="0"/>
  </r>
  <r>
    <s v="T00953"/>
    <s v="2024-05-08"/>
    <x v="2"/>
    <s v="CC105"/>
    <x v="3"/>
    <s v="Equipment related expense"/>
    <n v="155117"/>
    <n v="127788"/>
    <n v="-27329"/>
    <s v="Card"/>
    <x v="4"/>
    <x v="3"/>
    <s v="Capital Expense"/>
    <n v="-5.6759120348347905"/>
    <x v="11"/>
    <n v="27329"/>
    <x v="1"/>
    <n v="0"/>
  </r>
  <r>
    <s v="T00954"/>
    <s v="2025-05-20"/>
    <x v="5"/>
    <s v="CC102"/>
    <x v="3"/>
    <s v="Equipment related expense"/>
    <n v="480619"/>
    <n v="369428"/>
    <n v="-111191"/>
    <s v="Bank Transfer"/>
    <x v="1"/>
    <x v="0"/>
    <s v="Operating Expense"/>
    <n v="-4.3224631489958716"/>
    <x v="11"/>
    <n v="111191"/>
    <x v="1"/>
    <n v="0"/>
  </r>
  <r>
    <s v="T00955"/>
    <s v="2023-12-09"/>
    <x v="2"/>
    <s v="CC101"/>
    <x v="1"/>
    <s v="Maintenance related expense"/>
    <n v="308045"/>
    <n v="235839"/>
    <n v="-72206"/>
    <s v="Card"/>
    <x v="2"/>
    <x v="2"/>
    <s v="Operating Expense"/>
    <n v="-4.266196714954436"/>
    <x v="10"/>
    <n v="72206"/>
    <x v="1"/>
    <n v="0"/>
  </r>
  <r>
    <s v="T00956"/>
    <s v="2024-08-26"/>
    <x v="5"/>
    <s v="CC104"/>
    <x v="4"/>
    <s v="Salary related expense"/>
    <n v="398659"/>
    <n v="301074"/>
    <n v="-97585"/>
    <s v="Bank Transfer"/>
    <x v="4"/>
    <x v="2"/>
    <s v="Capital Expense"/>
    <n v="-4.0852487574934671"/>
    <x v="3"/>
    <n v="97585"/>
    <x v="1"/>
    <n v="0"/>
  </r>
  <r>
    <s v="T00957"/>
    <s v="2023-06-22"/>
    <x v="0"/>
    <s v="CC104"/>
    <x v="2"/>
    <s v="Marketing related expense"/>
    <n v="104223"/>
    <n v="122275"/>
    <n v="18052"/>
    <s v="Cash"/>
    <x v="0"/>
    <x v="0"/>
    <s v="Operating Expense"/>
    <n v="5.7734877021936626"/>
    <x v="1"/>
    <n v="18052"/>
    <x v="1"/>
    <n v="0"/>
  </r>
  <r>
    <s v="T00958"/>
    <s v="2023-11-01"/>
    <x v="3"/>
    <s v="CC103"/>
    <x v="0"/>
    <s v="Utilities related expense"/>
    <n v="470188"/>
    <n v="384195"/>
    <n v="-85993"/>
    <s v="Bank Transfer"/>
    <x v="1"/>
    <x v="3"/>
    <s v="Capital Expense"/>
    <n v="-5.4677473747863194"/>
    <x v="0"/>
    <n v="85993"/>
    <x v="1"/>
    <n v="0"/>
  </r>
  <r>
    <s v="T00959"/>
    <s v="2025-02-09"/>
    <x v="1"/>
    <s v="CC102"/>
    <x v="2"/>
    <s v="Marketing related expense"/>
    <n v="326593"/>
    <n v="304694"/>
    <n v="-21899"/>
    <s v="Card"/>
    <x v="0"/>
    <x v="3"/>
    <s v="Operating Expense"/>
    <n v="-14.913603360884059"/>
    <x v="4"/>
    <n v="21899"/>
    <x v="1"/>
    <n v="0"/>
  </r>
  <r>
    <s v="T00960"/>
    <s v="2025-03-01"/>
    <x v="2"/>
    <s v="CC104"/>
    <x v="0"/>
    <s v="Utilities related expense"/>
    <n v="365398"/>
    <n v="408265"/>
    <n v="42867"/>
    <s v="Cash"/>
    <x v="2"/>
    <x v="0"/>
    <s v="Capital Expense"/>
    <n v="8.5239928149858866"/>
    <x v="7"/>
    <n v="42867"/>
    <x v="1"/>
    <n v="0"/>
  </r>
  <r>
    <s v="T00961"/>
    <s v="2023-09-26"/>
    <x v="0"/>
    <s v="CC105"/>
    <x v="0"/>
    <s v="Utilities related expense"/>
    <n v="195334"/>
    <n v="165019"/>
    <n v="-30315"/>
    <s v="Bank Transfer"/>
    <x v="0"/>
    <x v="0"/>
    <s v="Capital Expense"/>
    <n v="-6.4434768266534723"/>
    <x v="2"/>
    <n v="30315"/>
    <x v="1"/>
    <n v="0"/>
  </r>
  <r>
    <s v="T00962"/>
    <s v="2024-10-04"/>
    <x v="2"/>
    <s v="CC101"/>
    <x v="0"/>
    <s v="Utilities related expense"/>
    <n v="147714"/>
    <n v="158806"/>
    <n v="11092"/>
    <s v="Bank Transfer"/>
    <x v="4"/>
    <x v="0"/>
    <s v="Capital Expense"/>
    <n v="13.317165524702489"/>
    <x v="5"/>
    <n v="11092"/>
    <x v="0"/>
    <n v="0"/>
  </r>
  <r>
    <s v="T00963"/>
    <s v="2024-06-09"/>
    <x v="5"/>
    <s v="CC103"/>
    <x v="5"/>
    <s v="Travel related expense"/>
    <n v="148598"/>
    <n v="147257"/>
    <n v="-1341"/>
    <s v="Bank Transfer"/>
    <x v="4"/>
    <x v="3"/>
    <s v="Capital Expense"/>
    <n v="-110.81133482475764"/>
    <x v="1"/>
    <n v="1341"/>
    <x v="0"/>
    <n v="0"/>
  </r>
  <r>
    <s v="T00964"/>
    <s v="2023-11-17"/>
    <x v="3"/>
    <s v="CC102"/>
    <x v="3"/>
    <s v="Equipment related expense"/>
    <n v="480087"/>
    <n v="557731"/>
    <n v="77644"/>
    <s v="Cash"/>
    <x v="0"/>
    <x v="3"/>
    <s v="Operating Expense"/>
    <n v="6.1831822162691257"/>
    <x v="0"/>
    <n v="77644"/>
    <x v="1"/>
    <n v="0"/>
  </r>
  <r>
    <s v="T00965"/>
    <s v="2024-08-30"/>
    <x v="2"/>
    <s v="CC104"/>
    <x v="4"/>
    <s v="Salary related expense"/>
    <n v="305840"/>
    <n v="331170"/>
    <n v="25330"/>
    <s v="Card"/>
    <x v="3"/>
    <x v="1"/>
    <s v="Capital Expense"/>
    <n v="12.074220292143703"/>
    <x v="3"/>
    <n v="25330"/>
    <x v="1"/>
    <n v="0"/>
  </r>
  <r>
    <s v="T00966"/>
    <s v="2024-10-09"/>
    <x v="1"/>
    <s v="CC105"/>
    <x v="1"/>
    <s v="Maintenance related expense"/>
    <n v="222393"/>
    <n v="162999"/>
    <n v="-59394"/>
    <s v="Card"/>
    <x v="3"/>
    <x v="3"/>
    <s v="Capital Expense"/>
    <n v="-3.7443681179917165"/>
    <x v="5"/>
    <n v="59394"/>
    <x v="1"/>
    <n v="0"/>
  </r>
  <r>
    <s v="T00967"/>
    <s v="2024-09-30"/>
    <x v="3"/>
    <s v="CC102"/>
    <x v="1"/>
    <s v="Maintenance related expense"/>
    <n v="109043"/>
    <n v="79893"/>
    <n v="-29150"/>
    <s v="Bank Transfer"/>
    <x v="4"/>
    <x v="2"/>
    <s v="Operating Expense"/>
    <n v="-3.7407547169811322"/>
    <x v="2"/>
    <n v="29150"/>
    <x v="1"/>
    <n v="0"/>
  </r>
  <r>
    <s v="T00968"/>
    <s v="2024-11-30"/>
    <x v="2"/>
    <s v="CC103"/>
    <x v="5"/>
    <s v="Travel related expense"/>
    <n v="480387"/>
    <n v="417416"/>
    <n v="-62971"/>
    <s v="Cash"/>
    <x v="2"/>
    <x v="0"/>
    <s v="Capital Expense"/>
    <n v="-7.6287021009671117"/>
    <x v="0"/>
    <n v="62971"/>
    <x v="1"/>
    <n v="0"/>
  </r>
  <r>
    <s v="T00969"/>
    <s v="2023-01-28"/>
    <x v="3"/>
    <s v="CC104"/>
    <x v="1"/>
    <s v="Maintenance related expense"/>
    <n v="273453"/>
    <n v="224888"/>
    <n v="-48565"/>
    <s v="Cash"/>
    <x v="0"/>
    <x v="2"/>
    <s v="Capital Expense"/>
    <n v="-5.6306599402862147"/>
    <x v="6"/>
    <n v="48565"/>
    <x v="1"/>
    <n v="0"/>
  </r>
  <r>
    <s v="T00970"/>
    <s v="2024-01-12"/>
    <x v="4"/>
    <s v="CC104"/>
    <x v="0"/>
    <s v="Utilities related expense"/>
    <n v="202075"/>
    <n v="204505"/>
    <n v="2430"/>
    <s v="Bank Transfer"/>
    <x v="0"/>
    <x v="2"/>
    <s v="Operating Expense"/>
    <n v="83.158436213991763"/>
    <x v="6"/>
    <n v="2430"/>
    <x v="0"/>
    <n v="0"/>
  </r>
  <r>
    <s v="T00971"/>
    <s v="2025-01-05"/>
    <x v="4"/>
    <s v="CC102"/>
    <x v="3"/>
    <s v="Equipment related expense"/>
    <n v="132613"/>
    <n v="106425"/>
    <n v="-26188"/>
    <s v="Cash"/>
    <x v="0"/>
    <x v="2"/>
    <s v="Capital Expense"/>
    <n v="-5.0638842217809685"/>
    <x v="6"/>
    <n v="26188"/>
    <x v="1"/>
    <n v="0"/>
  </r>
  <r>
    <s v="T00972"/>
    <s v="2023-06-12"/>
    <x v="0"/>
    <s v="CC105"/>
    <x v="0"/>
    <s v="Utilities related expense"/>
    <n v="303458"/>
    <n v="222813"/>
    <n v="-80645"/>
    <s v="Cash"/>
    <x v="1"/>
    <x v="3"/>
    <s v="Capital Expense"/>
    <n v="-3.7628867257734515"/>
    <x v="1"/>
    <n v="80645"/>
    <x v="1"/>
    <n v="0"/>
  </r>
  <r>
    <s v="T00973"/>
    <s v="2025-03-15"/>
    <x v="4"/>
    <s v="CC101"/>
    <x v="4"/>
    <s v="Salary related expense"/>
    <n v="123332"/>
    <n v="141728"/>
    <n v="18396"/>
    <s v="Bank Transfer"/>
    <x v="2"/>
    <x v="1"/>
    <s v="Operating Expense"/>
    <n v="6.7042835398999783"/>
    <x v="7"/>
    <n v="18396"/>
    <x v="1"/>
    <n v="0"/>
  </r>
  <r>
    <s v="T00974"/>
    <s v="2024-01-21"/>
    <x v="4"/>
    <s v="CC103"/>
    <x v="3"/>
    <s v="Equipment related expense"/>
    <n v="475266"/>
    <n v="391037"/>
    <n v="-84229"/>
    <s v="Card"/>
    <x v="4"/>
    <x v="2"/>
    <s v="Capital Expense"/>
    <n v="-5.6425459164895697"/>
    <x v="6"/>
    <n v="84229"/>
    <x v="1"/>
    <n v="0"/>
  </r>
  <r>
    <s v="T00975"/>
    <s v="2023-08-26"/>
    <x v="5"/>
    <s v="CC102"/>
    <x v="4"/>
    <s v="Salary related expense"/>
    <n v="219970"/>
    <n v="196255"/>
    <n v="-23715"/>
    <s v="Bank Transfer"/>
    <x v="4"/>
    <x v="1"/>
    <s v="Operating Expense"/>
    <n v="-9.2755639890364741"/>
    <x v="3"/>
    <n v="23715"/>
    <x v="1"/>
    <n v="0"/>
  </r>
  <r>
    <s v="T00976"/>
    <s v="2024-05-06"/>
    <x v="1"/>
    <s v="CC103"/>
    <x v="4"/>
    <s v="Salary related expense"/>
    <n v="92857"/>
    <n v="114384"/>
    <n v="21527"/>
    <s v="Cash"/>
    <x v="0"/>
    <x v="0"/>
    <s v="Operating Expense"/>
    <n v="4.3135132624146424"/>
    <x v="11"/>
    <n v="21527"/>
    <x v="1"/>
    <n v="0"/>
  </r>
  <r>
    <s v="T00977"/>
    <s v="2024-08-10"/>
    <x v="0"/>
    <s v="CC105"/>
    <x v="5"/>
    <s v="Travel related expense"/>
    <n v="119292"/>
    <n v="83995"/>
    <n v="-35297"/>
    <s v="Cash"/>
    <x v="0"/>
    <x v="3"/>
    <s v="Operating Expense"/>
    <n v="-3.379663994107148"/>
    <x v="3"/>
    <n v="35297"/>
    <x v="1"/>
    <n v="0"/>
  </r>
  <r>
    <s v="T00978"/>
    <s v="2024-08-23"/>
    <x v="2"/>
    <s v="CC103"/>
    <x v="3"/>
    <s v="Equipment related expense"/>
    <n v="117751"/>
    <n v="90281"/>
    <n v="-27470"/>
    <s v="Card"/>
    <x v="0"/>
    <x v="2"/>
    <s v="Operating Expense"/>
    <n v="-4.2865307608299963"/>
    <x v="3"/>
    <n v="27470"/>
    <x v="1"/>
    <n v="0"/>
  </r>
  <r>
    <s v="T00979"/>
    <s v="2023-10-15"/>
    <x v="0"/>
    <s v="CC105"/>
    <x v="0"/>
    <s v="Utilities related expense"/>
    <n v="317386"/>
    <n v="272614"/>
    <n v="-44772"/>
    <s v="Cash"/>
    <x v="2"/>
    <x v="2"/>
    <s v="Operating Expense"/>
    <n v="-7.088939515768784"/>
    <x v="5"/>
    <n v="44772"/>
    <x v="1"/>
    <n v="0"/>
  </r>
  <r>
    <s v="T00980"/>
    <s v="2025-01-15"/>
    <x v="5"/>
    <s v="CC101"/>
    <x v="3"/>
    <s v="Equipment related expense"/>
    <n v="390183"/>
    <n v="521674"/>
    <n v="131491"/>
    <s v="Card"/>
    <x v="0"/>
    <x v="0"/>
    <s v="Operating Expense"/>
    <n v="2.9673741929105413"/>
    <x v="6"/>
    <n v="131491"/>
    <x v="1"/>
    <n v="0"/>
  </r>
  <r>
    <s v="T00981"/>
    <s v="2024-05-25"/>
    <x v="3"/>
    <s v="CC105"/>
    <x v="1"/>
    <s v="Maintenance related expense"/>
    <n v="460916"/>
    <n v="430623"/>
    <n v="-30293"/>
    <s v="Cash"/>
    <x v="4"/>
    <x v="3"/>
    <s v="Operating Expense"/>
    <n v="-15.215264252467566"/>
    <x v="11"/>
    <n v="30293"/>
    <x v="1"/>
    <n v="0"/>
  </r>
  <r>
    <s v="T00982"/>
    <s v="2023-01-13"/>
    <x v="4"/>
    <s v="CC104"/>
    <x v="0"/>
    <s v="Utilities related expense"/>
    <n v="439254"/>
    <n v="494196"/>
    <n v="54942"/>
    <s v="Cash"/>
    <x v="3"/>
    <x v="2"/>
    <s v="Operating Expense"/>
    <n v="7.9948673146226934"/>
    <x v="6"/>
    <n v="54942"/>
    <x v="1"/>
    <n v="0"/>
  </r>
  <r>
    <s v="T00983"/>
    <s v="2023-07-28"/>
    <x v="3"/>
    <s v="CC103"/>
    <x v="2"/>
    <s v="Marketing related expense"/>
    <n v="451386"/>
    <n v="318173"/>
    <n v="-133213"/>
    <s v="Bank Transfer"/>
    <x v="2"/>
    <x v="2"/>
    <s v="Operating Expense"/>
    <n v="-3.3884530789037104"/>
    <x v="8"/>
    <n v="133213"/>
    <x v="1"/>
    <n v="0"/>
  </r>
  <r>
    <s v="T00984"/>
    <s v="2023-04-21"/>
    <x v="0"/>
    <s v="CC102"/>
    <x v="5"/>
    <s v="Travel related expense"/>
    <n v="219173"/>
    <n v="293572"/>
    <n v="74399"/>
    <s v="Bank Transfer"/>
    <x v="1"/>
    <x v="2"/>
    <s v="Capital Expense"/>
    <n v="2.9459132515221977"/>
    <x v="9"/>
    <n v="74399"/>
    <x v="1"/>
    <n v="0"/>
  </r>
  <r>
    <s v="T00985"/>
    <s v="2024-11-06"/>
    <x v="2"/>
    <s v="CC101"/>
    <x v="4"/>
    <s v="Salary related expense"/>
    <n v="153447"/>
    <n v="124113"/>
    <n v="-29334"/>
    <s v="Cash"/>
    <x v="2"/>
    <x v="2"/>
    <s v="Capital Expense"/>
    <n v="-5.2310288402536305"/>
    <x v="0"/>
    <n v="29334"/>
    <x v="1"/>
    <n v="0"/>
  </r>
  <r>
    <s v="T00986"/>
    <s v="2024-02-22"/>
    <x v="0"/>
    <s v="CC103"/>
    <x v="5"/>
    <s v="Travel related expense"/>
    <n v="468900"/>
    <n v="638586"/>
    <n v="169686"/>
    <s v="Card"/>
    <x v="2"/>
    <x v="2"/>
    <s v="Operating Expense"/>
    <n v="2.763339344436194"/>
    <x v="4"/>
    <n v="169686"/>
    <x v="1"/>
    <n v="0"/>
  </r>
  <r>
    <s v="T00987"/>
    <s v="2023-05-28"/>
    <x v="4"/>
    <s v="CC105"/>
    <x v="0"/>
    <s v="Utilities related expense"/>
    <n v="455872"/>
    <n v="635430"/>
    <n v="179558"/>
    <s v="Card"/>
    <x v="4"/>
    <x v="2"/>
    <s v="Operating Expense"/>
    <n v="2.5388565254680939"/>
    <x v="11"/>
    <n v="179558"/>
    <x v="1"/>
    <n v="0"/>
  </r>
  <r>
    <s v="T00988"/>
    <s v="2024-03-29"/>
    <x v="3"/>
    <s v="CC104"/>
    <x v="0"/>
    <s v="Utilities related expense"/>
    <n v="488298"/>
    <n v="643859"/>
    <n v="155561"/>
    <s v="Cash"/>
    <x v="1"/>
    <x v="2"/>
    <s v="Capital Expense"/>
    <n v="3.1389487082237837"/>
    <x v="7"/>
    <n v="155561"/>
    <x v="1"/>
    <n v="0"/>
  </r>
  <r>
    <s v="T00989"/>
    <s v="2024-05-27"/>
    <x v="0"/>
    <s v="CC103"/>
    <x v="5"/>
    <s v="Travel related expense"/>
    <n v="360849"/>
    <n v="322031"/>
    <n v="-38818"/>
    <s v="Card"/>
    <x v="2"/>
    <x v="1"/>
    <s v="Operating Expense"/>
    <n v="-9.2959194188263172"/>
    <x v="11"/>
    <n v="38818"/>
    <x v="1"/>
    <n v="0"/>
  </r>
  <r>
    <s v="T00990"/>
    <s v="2023-08-14"/>
    <x v="5"/>
    <s v="CC101"/>
    <x v="5"/>
    <s v="Travel related expense"/>
    <n v="301535"/>
    <n v="409038"/>
    <n v="107503"/>
    <s v="Card"/>
    <x v="4"/>
    <x v="1"/>
    <s v="Capital Expense"/>
    <n v="2.8048984679497315"/>
    <x v="3"/>
    <n v="107503"/>
    <x v="1"/>
    <n v="0"/>
  </r>
  <r>
    <s v="T00991"/>
    <s v="2024-08-13"/>
    <x v="0"/>
    <s v="CC104"/>
    <x v="3"/>
    <s v="Equipment related expense"/>
    <n v="194220"/>
    <n v="245240"/>
    <n v="51020"/>
    <s v="Bank Transfer"/>
    <x v="1"/>
    <x v="1"/>
    <s v="Operating Expense"/>
    <n v="3.8067424539396315"/>
    <x v="3"/>
    <n v="51020"/>
    <x v="1"/>
    <n v="0"/>
  </r>
  <r>
    <s v="T00992"/>
    <s v="2023-09-09"/>
    <x v="1"/>
    <s v="CC101"/>
    <x v="3"/>
    <s v="Equipment related expense"/>
    <n v="399257"/>
    <n v="544880"/>
    <n v="145623"/>
    <s v="Cash"/>
    <x v="2"/>
    <x v="1"/>
    <s v="Operating Expense"/>
    <n v="2.7417166244343272"/>
    <x v="2"/>
    <n v="145623"/>
    <x v="1"/>
    <n v="0"/>
  </r>
  <r>
    <s v="T00993"/>
    <s v="2024-02-19"/>
    <x v="5"/>
    <s v="CC103"/>
    <x v="5"/>
    <s v="Travel related expense"/>
    <n v="121457"/>
    <n v="163582"/>
    <n v="42125"/>
    <s v="Card"/>
    <x v="0"/>
    <x v="3"/>
    <s v="Capital Expense"/>
    <n v="2.8832522255192878"/>
    <x v="4"/>
    <n v="42125"/>
    <x v="1"/>
    <n v="0"/>
  </r>
  <r>
    <s v="T00994"/>
    <s v="2023-04-28"/>
    <x v="5"/>
    <s v="CC102"/>
    <x v="3"/>
    <s v="Equipment related expense"/>
    <n v="81310"/>
    <n v="63441"/>
    <n v="-17869"/>
    <s v="Bank Transfer"/>
    <x v="4"/>
    <x v="2"/>
    <s v="Operating Expense"/>
    <n v="-4.5503385751860765"/>
    <x v="9"/>
    <n v="17869"/>
    <x v="1"/>
    <n v="0"/>
  </r>
  <r>
    <s v="T00995"/>
    <s v="2024-11-02"/>
    <x v="3"/>
    <s v="CC105"/>
    <x v="3"/>
    <s v="Equipment related expense"/>
    <n v="461923"/>
    <n v="620763"/>
    <n v="158840"/>
    <s v="Card"/>
    <x v="1"/>
    <x v="1"/>
    <s v="Operating Expense"/>
    <n v="2.9081024930747921"/>
    <x v="0"/>
    <n v="158840"/>
    <x v="1"/>
    <n v="0"/>
  </r>
  <r>
    <s v="T00996"/>
    <s v="2024-01-09"/>
    <x v="2"/>
    <s v="CC104"/>
    <x v="4"/>
    <s v="Salary related expense"/>
    <n v="57036"/>
    <n v="52575"/>
    <n v="-4461"/>
    <s v="Bank Transfer"/>
    <x v="4"/>
    <x v="0"/>
    <s v="Operating Expense"/>
    <n v="-12.785474108944182"/>
    <x v="6"/>
    <n v="4461"/>
    <x v="0"/>
    <n v="0"/>
  </r>
  <r>
    <s v="T00997"/>
    <s v="2024-11-11"/>
    <x v="3"/>
    <s v="CC105"/>
    <x v="4"/>
    <s v="Salary related expense"/>
    <n v="253727"/>
    <n v="354629"/>
    <n v="100902"/>
    <s v="Cash"/>
    <x v="4"/>
    <x v="3"/>
    <s v="Capital Expense"/>
    <n v="2.5145884125190778"/>
    <x v="0"/>
    <n v="100902"/>
    <x v="1"/>
    <n v="0"/>
  </r>
  <r>
    <s v="T00998"/>
    <s v="2024-01-08"/>
    <x v="1"/>
    <s v="CC104"/>
    <x v="2"/>
    <s v="Marketing related expense"/>
    <n v="376566"/>
    <n v="274960"/>
    <n v="-101606"/>
    <s v="Bank Transfer"/>
    <x v="0"/>
    <x v="3"/>
    <s v="Capital Expense"/>
    <n v="-3.7061394012164635"/>
    <x v="6"/>
    <n v="101606"/>
    <x v="1"/>
    <n v="0"/>
  </r>
  <r>
    <s v="T00999"/>
    <s v="2024-04-03"/>
    <x v="4"/>
    <s v="CC104"/>
    <x v="0"/>
    <s v="Utilities related expense"/>
    <n v="149003"/>
    <n v="184501"/>
    <n v="35498"/>
    <s v="Card"/>
    <x v="0"/>
    <x v="2"/>
    <s v="Capital Expense"/>
    <n v="4.1975040847371679"/>
    <x v="9"/>
    <n v="35498"/>
    <x v="1"/>
    <n v="0"/>
  </r>
  <r>
    <s v="T01000"/>
    <s v="2024-02-23"/>
    <x v="3"/>
    <s v="CC103"/>
    <x v="4"/>
    <s v="Salary related expense"/>
    <n v="318918"/>
    <n v="256034"/>
    <n v="-62884"/>
    <s v="Bank Transfer"/>
    <x v="4"/>
    <x v="0"/>
    <s v="Capital Expense"/>
    <n v="-5.0715285287195471"/>
    <x v="4"/>
    <n v="62884"/>
    <x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74242C-43DF-4430-B0C9-1196892C7CBE}" name="PivotTable2" cacheId="6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5">
  <location ref="A3:B9" firstHeaderRow="1" firstDataRow="1" firstDataCol="1"/>
  <pivotFields count="18">
    <pivotField compact="0" outline="0" showAll="0"/>
    <pivotField compact="0" outline="0" showAll="0"/>
    <pivotField axis="axisRow" compact="0" outline="0" showAll="0" sortType="descending">
      <items count="7">
        <item x="1"/>
        <item x="2"/>
        <item x="0"/>
        <item x="4"/>
        <item x="3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numFmtId="165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numFmtId="166" outline="0" showAll="0"/>
    <pivotField compact="0" outline="0" showAll="0"/>
    <pivotField compact="0" numFmtId="166" outline="0" showAll="0"/>
    <pivotField compact="0" outline="0" showAll="0"/>
    <pivotField compact="0" numFmtId="166" outline="0" showAll="0"/>
  </pivotFields>
  <rowFields count="1">
    <field x="2"/>
  </rowFields>
  <rowItems count="6">
    <i>
      <x v="4"/>
    </i>
    <i>
      <x v="2"/>
    </i>
    <i>
      <x/>
    </i>
    <i>
      <x v="1"/>
    </i>
    <i>
      <x v="3"/>
    </i>
    <i>
      <x v="5"/>
    </i>
  </rowItems>
  <colItems count="1">
    <i/>
  </colItems>
  <dataFields count="1">
    <dataField name="Sum of ActualExpense" fld="7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AB89D8-C583-4681-9F38-448F58A14151}" name="PivotTable4" cacheId="6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5">
  <location ref="A3:B9" firstHeaderRow="1" firstDataRow="1" firstDataCol="1"/>
  <pivotFields count="18">
    <pivotField compact="0" outline="0" showAll="0"/>
    <pivotField compact="0" outline="0" showAll="0"/>
    <pivotField compact="0" outline="0" showAll="0">
      <items count="7">
        <item x="1"/>
        <item x="2"/>
        <item x="0"/>
        <item x="4"/>
        <item x="3"/>
        <item x="5"/>
        <item t="default"/>
      </items>
    </pivotField>
    <pivotField compact="0" outline="0" showAll="0"/>
    <pivotField axis="axisRow" compact="0" outline="0" showAll="0" sortType="descending">
      <items count="7">
        <item x="3"/>
        <item x="1"/>
        <item x="2"/>
        <item x="4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65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numFmtId="166" outline="0" showAll="0"/>
    <pivotField compact="0" outline="0" showAll="0"/>
    <pivotField compact="0" numFmtId="166" outline="0" showAll="0"/>
    <pivotField compact="0" outline="0" showAll="0"/>
    <pivotField compact="0" numFmtId="166" outline="0" showAll="0"/>
  </pivotFields>
  <rowFields count="1">
    <field x="4"/>
  </rowFields>
  <rowItems count="6">
    <i>
      <x v="5"/>
    </i>
    <i>
      <x v="4"/>
    </i>
    <i>
      <x/>
    </i>
    <i>
      <x v="1"/>
    </i>
    <i>
      <x v="3"/>
    </i>
    <i>
      <x v="2"/>
    </i>
  </rowItems>
  <colItems count="1">
    <i/>
  </colItems>
  <dataFields count="1">
    <dataField name="Sum of ActualExpense" fld="7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chartFormats count="3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9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4" format="30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4" format="3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3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33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4" format="3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F738AC-657C-4E4C-A8BD-1A0394E43DA7}" name="PivotTable1" cacheId="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9" firstHeaderRow="1" firstDataRow="1" firstDataCol="1" rowPageCount="1" colPageCount="1"/>
  <pivotFields count="1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dataField="1" compact="0" numFmtId="164" outline="0" showAll="0"/>
    <pivotField compact="0" outline="0" showAll="0"/>
    <pivotField compact="0" outline="0" showAll="0"/>
    <pivotField axis="axisRow" compact="0" outline="0" showAll="0">
      <items count="6">
        <item x="3"/>
        <item x="1"/>
        <item x="2"/>
        <item x="4"/>
        <item x="0"/>
        <item t="default"/>
      </items>
    </pivotField>
    <pivotField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numFmtId="166" outline="0" showAll="0"/>
    <pivotField compact="0" outline="0" showAll="0"/>
    <pivotField compact="0" numFmtId="166" outline="0" showAll="0"/>
    <pivotField axis="axisPage" compact="0" outline="0" showAll="0">
      <items count="3">
        <item x="1"/>
        <item h="1" x="0"/>
        <item t="default"/>
      </items>
    </pivotField>
    <pivotField compact="0" numFmtId="166" outline="0"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6" item="0" hier="-1"/>
  </pageFields>
  <dataFields count="1">
    <dataField name="Sum of ActualExpense" fld="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944EEE-44F7-4F5A-A1CB-62C10C6DDDFF}" name="PivotTable2" cacheId="6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5">
  <location ref="A3:B7" firstHeaderRow="1" firstDataRow="1" firstDataCol="1"/>
  <pivotFields count="1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5"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66" outline="0" showAll="0"/>
    <pivotField compact="0" outline="0" showAll="0"/>
    <pivotField compact="0" numFmtId="166" outline="0" showAll="0"/>
    <pivotField compact="0" outline="0" showAll="0"/>
    <pivotField compact="0" numFmtId="166" outline="0" showAll="0"/>
  </pivotFields>
  <rowFields count="1">
    <field x="11"/>
  </rowFields>
  <rowItems count="4">
    <i>
      <x/>
    </i>
    <i>
      <x v="3"/>
    </i>
    <i>
      <x v="1"/>
    </i>
    <i>
      <x v="2"/>
    </i>
  </rowItems>
  <colItems count="1">
    <i/>
  </colItems>
  <dataFields count="1">
    <dataField name="Sum of ActualExpense" fld="7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943DB2-3071-4A27-BB5F-DDAA202EE829}" name="PivotTable3" cacheId="6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9">
  <location ref="A3:B8" firstHeaderRow="1" firstDataRow="1" firstDataCol="1"/>
  <pivotFields count="1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numFmtId="164" outline="0" showAll="0"/>
    <pivotField dataField="1" compact="0" outline="0" showAll="0"/>
    <pivotField compact="0" outline="0" showAll="0"/>
    <pivotField axis="axisRow" compact="0" outline="0" showAll="0" sortType="descending">
      <items count="6">
        <item x="3"/>
        <item x="1"/>
        <item x="2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numFmtId="166" outline="0" showAll="0"/>
    <pivotField compact="0" outline="0" showAll="0"/>
    <pivotField compact="0" numFmtId="166" outline="0" showAll="0"/>
    <pivotField compact="0" outline="0" showAll="0"/>
    <pivotField compact="0" numFmtId="166" outline="0" showAll="0"/>
  </pivotFields>
  <rowFields count="1">
    <field x="10"/>
  </rowFields>
  <rowItems count="5">
    <i>
      <x/>
    </i>
    <i>
      <x v="3"/>
    </i>
    <i>
      <x v="2"/>
    </i>
    <i>
      <x v="1"/>
    </i>
    <i>
      <x v="4"/>
    </i>
  </rowItems>
  <colItems count="1">
    <i/>
  </colItems>
  <dataFields count="1">
    <dataField name="Sum of Variance" fld="8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E5B245-7DC5-400F-9FA8-CED8DCB6204D}" name="PivotTable5" cacheId="6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5">
  <location ref="A3:B15" firstHeaderRow="1" firstDataRow="1" firstDataCol="1"/>
  <pivotFields count="1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numFmtId="166" outline="0" showAll="0"/>
    <pivotField axis="axisRow" compact="0" outline="0" showAll="0">
      <items count="44">
        <item x="6"/>
        <item x="4"/>
        <item x="7"/>
        <item x="9"/>
        <item x="11"/>
        <item x="1"/>
        <item x="8"/>
        <item x="3"/>
        <item x="2"/>
        <item x="5"/>
        <item x="0"/>
        <item x="10"/>
        <item m="1" x="12"/>
        <item m="1" x="36"/>
        <item m="1" x="25"/>
        <item m="1" x="41"/>
        <item m="1" x="15"/>
        <item m="1" x="21"/>
        <item m="1" x="28"/>
        <item m="1" x="30"/>
        <item m="1" x="34"/>
        <item m="1" x="16"/>
        <item m="1" x="26"/>
        <item m="1" x="18"/>
        <item m="1" x="24"/>
        <item m="1" x="38"/>
        <item m="1" x="22"/>
        <item m="1" x="23"/>
        <item m="1" x="42"/>
        <item m="1" x="13"/>
        <item m="1" x="31"/>
        <item m="1" x="27"/>
        <item m="1" x="37"/>
        <item m="1" x="20"/>
        <item m="1" x="32"/>
        <item m="1" x="40"/>
        <item m="1" x="33"/>
        <item m="1" x="35"/>
        <item m="1" x="19"/>
        <item m="1" x="17"/>
        <item m="1" x="39"/>
        <item m="1" x="29"/>
        <item m="1" x="14"/>
        <item t="default"/>
      </items>
    </pivotField>
    <pivotField compact="0" numFmtId="166" outline="0" showAll="0"/>
    <pivotField compact="0" outline="0" showAll="0"/>
    <pivotField compact="0" numFmtId="166" outline="0" showAll="0"/>
  </pivotFields>
  <rowFields count="1">
    <field x="1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Sum of ActualExpense" fld="7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chartFormats count="1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6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14" count="1" selected="0">
            <x v="7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14" count="1" selected="0">
            <x v="8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14" count="1" selected="0">
            <x v="9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14" count="1" selected="0">
            <x v="10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14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2C9719BC-681D-4912-A621-4F14569623BD}" sourceName="Region">
  <pivotTables>
    <pivotTable tabId="6" name="PivotTable4"/>
    <pivotTable tabId="5" name="PivotTable2"/>
    <pivotTable tabId="7" name="PivotTable1"/>
    <pivotTable tabId="9" name="PivotTable2"/>
    <pivotTable tabId="10" name="PivotTable3"/>
    <pivotTable tabId="11" name="PivotTable5"/>
  </pivotTables>
  <data>
    <tabular pivotCacheId="1082186539">
      <items count="4">
        <i x="2" s="1"/>
        <i x="0" s="1"/>
        <i x="1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8F358DC0-1550-4267-9BB1-579AD95A05B9}" cache="Slicer_Region" caption="Region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DEBE01-D4D1-45A4-9940-A072006CB670}" name="Table4" displayName="Table4" ref="A1:R1002" totalsRowCount="1">
  <autoFilter ref="A1:R1001" xr:uid="{A389CF47-1FA4-4E15-95E6-5E7E170A376B}"/>
  <tableColumns count="18">
    <tableColumn id="1" xr3:uid="{7FC0E799-CB80-4BE4-A11E-D1CB5F8C8F85}" name="TransactionID"/>
    <tableColumn id="2" xr3:uid="{88FF8918-C19B-4640-AD58-8DAF2081C690}" name="Date"/>
    <tableColumn id="3" xr3:uid="{50B7B55D-5958-4F63-ABB5-370736FD1F13}" name="Department"/>
    <tableColumn id="4" xr3:uid="{CEFBB21C-1D84-4280-BA71-CD05FFCE1A14}" name="CostCenter"/>
    <tableColumn id="5" xr3:uid="{C7CFA44F-060B-4036-BD9E-E8467B01C373}" name="ExpenseCategory"/>
    <tableColumn id="6" xr3:uid="{4FE6E678-0C62-48B2-A9CC-4EB16177A7BD}" name="Description"/>
    <tableColumn id="7" xr3:uid="{388CE4A5-622B-41E7-96E2-B3728ED8A4A6}" name="BudgetAmount" totalsRowFunction="custom" dataDxfId="11" totalsRowDxfId="12">
      <totalsRowFormula>SUM(G2:G1001)</totalsRowFormula>
    </tableColumn>
    <tableColumn id="8" xr3:uid="{E2C11AA5-F43E-4384-A599-75C35B21CF93}" name="ActualExpense" totalsRowFunction="custom" dataDxfId="9" totalsRowDxfId="10">
      <totalsRowFormula>SUM(H2:H1001)</totalsRowFormula>
    </tableColumn>
    <tableColumn id="9" xr3:uid="{2030B876-C341-4BF3-BC62-74EA5AEB190C}" name="Variance" totalsRowFunction="custom">
      <totalsRowFormula>SUM(I2:I1001)</totalsRowFormula>
    </tableColumn>
    <tableColumn id="10" xr3:uid="{731D946E-0C72-48D6-A2BC-AD0AD29623C1}" name="PaymentMethod"/>
    <tableColumn id="11" xr3:uid="{34142BF0-3A83-44BE-A3FD-A6E8AE0A8E4F}" name="Vendor"/>
    <tableColumn id="12" xr3:uid="{5F9B5367-B769-461D-A735-EF3EAE7B6625}" name="Region"/>
    <tableColumn id="13" xr3:uid="{42E2AD24-209E-4378-A5AE-754F7780EE0B}" name="CashFlowType"/>
    <tableColumn id="14" xr3:uid="{88A97056-10F3-4319-87B3-6CB4B3154FE8}" name="Variance %" dataDxfId="7" totalsRowDxfId="8">
      <calculatedColumnFormula>Table4[[#This Row],[BudgetAmount]]/Table4[[#This Row],[Variance]]</calculatedColumnFormula>
    </tableColumn>
    <tableColumn id="16" xr3:uid="{465055D5-BD14-4D0D-8433-C6A869E51C27}" name="Month" dataDxfId="5" totalsRowDxfId="6">
      <calculatedColumnFormula>TEXT(Table4[[#This Row],[Date]],"mmm")</calculatedColumnFormula>
    </tableColumn>
    <tableColumn id="15" xr3:uid="{EE4837B0-1F9F-4424-B2A8-DACB2F6945BC}" name="AB Variances " dataDxfId="3" totalsRowDxfId="4">
      <calculatedColumnFormula>ABS(Table4[[#This Row],[Variance]])</calculatedColumnFormula>
    </tableColumn>
    <tableColumn id="17" xr3:uid="{14B5A2FC-C2BB-43E3-855D-7DA2A76B6C37}" name="Normal /Anomaly " dataDxfId="1" totalsRowDxfId="2">
      <calculatedColumnFormula>IF(Table4[[#This Row],[AB Variances ]]&gt;$P$2,"Anomaly","Normal")</calculatedColumnFormula>
    </tableColumn>
    <tableColumn id="19" xr3:uid="{9A0CFCF3-1FCC-47DC-8961-5F08C2F33FBC}" name="Column1" dataDxfId="0">
      <calculatedColumnFormula>SUMIFS(Table4[BudgetAmount],Table4[ActualExpense],"pending")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workbookViewId="0">
      <selection activeCell="B1" sqref="B1:B1048576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126731</v>
      </c>
      <c r="H2">
        <v>109566</v>
      </c>
      <c r="I2">
        <v>-17165</v>
      </c>
      <c r="J2" t="s">
        <v>19</v>
      </c>
      <c r="K2" t="s">
        <v>20</v>
      </c>
      <c r="L2" t="s">
        <v>21</v>
      </c>
      <c r="M2" t="s">
        <v>22</v>
      </c>
    </row>
    <row r="3" spans="1:1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206590</v>
      </c>
      <c r="H3">
        <v>283320</v>
      </c>
      <c r="I3">
        <v>76730</v>
      </c>
      <c r="J3" t="s">
        <v>19</v>
      </c>
      <c r="K3" t="s">
        <v>29</v>
      </c>
      <c r="L3" t="s">
        <v>30</v>
      </c>
      <c r="M3" t="s">
        <v>22</v>
      </c>
    </row>
    <row r="4" spans="1:13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325305</v>
      </c>
      <c r="H4">
        <v>250255</v>
      </c>
      <c r="I4">
        <v>-75050</v>
      </c>
      <c r="J4" t="s">
        <v>37</v>
      </c>
      <c r="K4" t="s">
        <v>29</v>
      </c>
      <c r="L4" t="s">
        <v>30</v>
      </c>
      <c r="M4" t="s">
        <v>22</v>
      </c>
    </row>
    <row r="5" spans="1:13">
      <c r="A5" t="s">
        <v>38</v>
      </c>
      <c r="B5" t="s">
        <v>39</v>
      </c>
      <c r="C5" t="s">
        <v>25</v>
      </c>
      <c r="D5" t="s">
        <v>40</v>
      </c>
      <c r="E5" t="s">
        <v>17</v>
      </c>
      <c r="F5" t="s">
        <v>18</v>
      </c>
      <c r="G5">
        <v>380071</v>
      </c>
      <c r="H5">
        <v>448489</v>
      </c>
      <c r="I5">
        <v>68418</v>
      </c>
      <c r="J5" t="s">
        <v>19</v>
      </c>
      <c r="K5" t="s">
        <v>41</v>
      </c>
      <c r="L5" t="s">
        <v>30</v>
      </c>
      <c r="M5" t="s">
        <v>42</v>
      </c>
    </row>
    <row r="6" spans="1:13">
      <c r="A6" t="s">
        <v>43</v>
      </c>
      <c r="B6" t="s">
        <v>44</v>
      </c>
      <c r="C6" t="s">
        <v>45</v>
      </c>
      <c r="D6" t="s">
        <v>26</v>
      </c>
      <c r="E6" t="s">
        <v>46</v>
      </c>
      <c r="F6" t="s">
        <v>47</v>
      </c>
      <c r="G6">
        <v>115281</v>
      </c>
      <c r="H6">
        <v>135813</v>
      </c>
      <c r="I6">
        <v>20532</v>
      </c>
      <c r="J6" t="s">
        <v>37</v>
      </c>
      <c r="K6" t="s">
        <v>48</v>
      </c>
      <c r="L6" t="s">
        <v>49</v>
      </c>
      <c r="M6" t="s">
        <v>22</v>
      </c>
    </row>
    <row r="7" spans="1:13">
      <c r="A7" t="s">
        <v>50</v>
      </c>
      <c r="B7" t="s">
        <v>51</v>
      </c>
      <c r="C7" t="s">
        <v>35</v>
      </c>
      <c r="D7" t="s">
        <v>26</v>
      </c>
      <c r="E7" t="s">
        <v>35</v>
      </c>
      <c r="F7" t="s">
        <v>36</v>
      </c>
      <c r="G7">
        <v>376321</v>
      </c>
      <c r="H7">
        <v>428097</v>
      </c>
      <c r="I7">
        <v>51776</v>
      </c>
      <c r="J7" t="s">
        <v>37</v>
      </c>
      <c r="K7" t="s">
        <v>29</v>
      </c>
      <c r="L7" t="s">
        <v>21</v>
      </c>
      <c r="M7" t="s">
        <v>22</v>
      </c>
    </row>
    <row r="8" spans="1:13">
      <c r="A8" t="s">
        <v>52</v>
      </c>
      <c r="B8" t="s">
        <v>53</v>
      </c>
      <c r="C8" t="s">
        <v>45</v>
      </c>
      <c r="D8" t="s">
        <v>26</v>
      </c>
      <c r="E8" t="s">
        <v>17</v>
      </c>
      <c r="F8" t="s">
        <v>18</v>
      </c>
      <c r="G8">
        <v>473965</v>
      </c>
      <c r="H8">
        <v>613281</v>
      </c>
      <c r="I8">
        <v>139316</v>
      </c>
      <c r="J8" t="s">
        <v>54</v>
      </c>
      <c r="K8" t="s">
        <v>41</v>
      </c>
      <c r="L8" t="s">
        <v>49</v>
      </c>
      <c r="M8" t="s">
        <v>42</v>
      </c>
    </row>
    <row r="9" spans="1:13">
      <c r="A9" t="s">
        <v>55</v>
      </c>
      <c r="B9" t="s">
        <v>56</v>
      </c>
      <c r="C9" t="s">
        <v>35</v>
      </c>
      <c r="D9" t="s">
        <v>26</v>
      </c>
      <c r="E9" t="s">
        <v>35</v>
      </c>
      <c r="F9" t="s">
        <v>36</v>
      </c>
      <c r="G9">
        <v>240245</v>
      </c>
      <c r="H9">
        <v>228424</v>
      </c>
      <c r="I9">
        <v>-11821</v>
      </c>
      <c r="J9" t="s">
        <v>54</v>
      </c>
      <c r="K9" t="s">
        <v>29</v>
      </c>
      <c r="L9" t="s">
        <v>21</v>
      </c>
      <c r="M9" t="s">
        <v>42</v>
      </c>
    </row>
    <row r="10" spans="1:13">
      <c r="A10" t="s">
        <v>57</v>
      </c>
      <c r="B10" t="s">
        <v>58</v>
      </c>
      <c r="C10" t="s">
        <v>25</v>
      </c>
      <c r="D10" t="s">
        <v>26</v>
      </c>
      <c r="E10" t="s">
        <v>27</v>
      </c>
      <c r="F10" t="s">
        <v>28</v>
      </c>
      <c r="G10">
        <v>475470</v>
      </c>
      <c r="H10">
        <v>579486</v>
      </c>
      <c r="I10">
        <v>104016</v>
      </c>
      <c r="J10" t="s">
        <v>37</v>
      </c>
      <c r="K10" t="s">
        <v>41</v>
      </c>
      <c r="L10" t="s">
        <v>21</v>
      </c>
      <c r="M10" t="s">
        <v>22</v>
      </c>
    </row>
    <row r="11" spans="1:13">
      <c r="A11" t="s">
        <v>59</v>
      </c>
      <c r="B11" t="s">
        <v>60</v>
      </c>
      <c r="C11" t="s">
        <v>33</v>
      </c>
      <c r="D11" t="s">
        <v>61</v>
      </c>
      <c r="E11" t="s">
        <v>27</v>
      </c>
      <c r="F11" t="s">
        <v>28</v>
      </c>
      <c r="G11">
        <v>276688</v>
      </c>
      <c r="H11">
        <v>292383</v>
      </c>
      <c r="I11">
        <v>15695</v>
      </c>
      <c r="J11" t="s">
        <v>19</v>
      </c>
      <c r="K11" t="s">
        <v>20</v>
      </c>
      <c r="L11" t="s">
        <v>21</v>
      </c>
      <c r="M11" t="s">
        <v>22</v>
      </c>
    </row>
    <row r="12" spans="1:13">
      <c r="A12" t="s">
        <v>62</v>
      </c>
      <c r="B12" t="s">
        <v>63</v>
      </c>
      <c r="C12" t="s">
        <v>64</v>
      </c>
      <c r="D12" t="s">
        <v>34</v>
      </c>
      <c r="E12" t="s">
        <v>46</v>
      </c>
      <c r="F12" t="s">
        <v>47</v>
      </c>
      <c r="G12">
        <v>280920</v>
      </c>
      <c r="H12">
        <v>256002</v>
      </c>
      <c r="I12">
        <v>-24918</v>
      </c>
      <c r="J12" t="s">
        <v>19</v>
      </c>
      <c r="K12" t="s">
        <v>29</v>
      </c>
      <c r="L12" t="s">
        <v>49</v>
      </c>
      <c r="M12" t="s">
        <v>42</v>
      </c>
    </row>
    <row r="13" spans="1:13">
      <c r="A13" t="s">
        <v>65</v>
      </c>
      <c r="B13" t="s">
        <v>66</v>
      </c>
      <c r="C13" t="s">
        <v>33</v>
      </c>
      <c r="D13" t="s">
        <v>16</v>
      </c>
      <c r="E13" t="s">
        <v>27</v>
      </c>
      <c r="F13" t="s">
        <v>28</v>
      </c>
      <c r="G13">
        <v>497550</v>
      </c>
      <c r="H13">
        <v>650434</v>
      </c>
      <c r="I13">
        <v>152884</v>
      </c>
      <c r="J13" t="s">
        <v>54</v>
      </c>
      <c r="K13" t="s">
        <v>67</v>
      </c>
      <c r="L13" t="s">
        <v>68</v>
      </c>
      <c r="M13" t="s">
        <v>22</v>
      </c>
    </row>
    <row r="14" spans="1:13">
      <c r="A14" t="s">
        <v>69</v>
      </c>
      <c r="B14" t="s">
        <v>70</v>
      </c>
      <c r="C14" t="s">
        <v>45</v>
      </c>
      <c r="D14" t="s">
        <v>61</v>
      </c>
      <c r="E14" t="s">
        <v>71</v>
      </c>
      <c r="F14" t="s">
        <v>72</v>
      </c>
      <c r="G14">
        <v>255672</v>
      </c>
      <c r="H14">
        <v>348686</v>
      </c>
      <c r="I14">
        <v>93014</v>
      </c>
      <c r="J14" t="s">
        <v>54</v>
      </c>
      <c r="K14" t="s">
        <v>29</v>
      </c>
      <c r="L14" t="s">
        <v>68</v>
      </c>
      <c r="M14" t="s">
        <v>42</v>
      </c>
    </row>
    <row r="15" spans="1:13">
      <c r="A15" t="s">
        <v>73</v>
      </c>
      <c r="B15" t="s">
        <v>74</v>
      </c>
      <c r="C15" t="s">
        <v>45</v>
      </c>
      <c r="D15" t="s">
        <v>26</v>
      </c>
      <c r="E15" t="s">
        <v>27</v>
      </c>
      <c r="F15" t="s">
        <v>28</v>
      </c>
      <c r="G15">
        <v>388871</v>
      </c>
      <c r="H15">
        <v>533554</v>
      </c>
      <c r="I15">
        <v>144683</v>
      </c>
      <c r="J15" t="s">
        <v>54</v>
      </c>
      <c r="K15" t="s">
        <v>20</v>
      </c>
      <c r="L15" t="s">
        <v>21</v>
      </c>
      <c r="M15" t="s">
        <v>42</v>
      </c>
    </row>
    <row r="16" spans="1:13">
      <c r="A16" t="s">
        <v>75</v>
      </c>
      <c r="B16" t="s">
        <v>76</v>
      </c>
      <c r="C16" t="s">
        <v>15</v>
      </c>
      <c r="D16" t="s">
        <v>26</v>
      </c>
      <c r="E16" t="s">
        <v>17</v>
      </c>
      <c r="F16" t="s">
        <v>18</v>
      </c>
      <c r="G16">
        <v>411459</v>
      </c>
      <c r="H16">
        <v>515202</v>
      </c>
      <c r="I16">
        <v>103743</v>
      </c>
      <c r="J16" t="s">
        <v>37</v>
      </c>
      <c r="K16" t="s">
        <v>67</v>
      </c>
      <c r="L16" t="s">
        <v>68</v>
      </c>
      <c r="M16" t="s">
        <v>22</v>
      </c>
    </row>
    <row r="17" spans="1:13">
      <c r="A17" t="s">
        <v>77</v>
      </c>
      <c r="B17" t="s">
        <v>78</v>
      </c>
      <c r="C17" t="s">
        <v>45</v>
      </c>
      <c r="D17" t="s">
        <v>61</v>
      </c>
      <c r="E17" t="s">
        <v>27</v>
      </c>
      <c r="F17" t="s">
        <v>28</v>
      </c>
      <c r="G17">
        <v>57569</v>
      </c>
      <c r="H17">
        <v>70119</v>
      </c>
      <c r="I17">
        <v>12550</v>
      </c>
      <c r="J17" t="s">
        <v>54</v>
      </c>
      <c r="K17" t="s">
        <v>41</v>
      </c>
      <c r="L17" t="s">
        <v>49</v>
      </c>
      <c r="M17" t="s">
        <v>22</v>
      </c>
    </row>
    <row r="18" spans="1:13">
      <c r="A18" t="s">
        <v>79</v>
      </c>
      <c r="B18" t="s">
        <v>80</v>
      </c>
      <c r="C18" t="s">
        <v>15</v>
      </c>
      <c r="D18" t="s">
        <v>61</v>
      </c>
      <c r="E18" t="s">
        <v>17</v>
      </c>
      <c r="F18" t="s">
        <v>18</v>
      </c>
      <c r="G18">
        <v>305062</v>
      </c>
      <c r="H18">
        <v>373202</v>
      </c>
      <c r="I18">
        <v>68140</v>
      </c>
      <c r="J18" t="s">
        <v>37</v>
      </c>
      <c r="K18" t="s">
        <v>48</v>
      </c>
      <c r="L18" t="s">
        <v>30</v>
      </c>
      <c r="M18" t="s">
        <v>22</v>
      </c>
    </row>
    <row r="19" spans="1:13">
      <c r="A19" t="s">
        <v>81</v>
      </c>
      <c r="B19" t="s">
        <v>82</v>
      </c>
      <c r="C19" t="s">
        <v>15</v>
      </c>
      <c r="D19" t="s">
        <v>26</v>
      </c>
      <c r="E19" t="s">
        <v>46</v>
      </c>
      <c r="F19" t="s">
        <v>47</v>
      </c>
      <c r="G19">
        <v>419149</v>
      </c>
      <c r="H19">
        <v>428882</v>
      </c>
      <c r="I19">
        <v>9733</v>
      </c>
      <c r="J19" t="s">
        <v>37</v>
      </c>
      <c r="K19" t="s">
        <v>48</v>
      </c>
      <c r="L19" t="s">
        <v>49</v>
      </c>
      <c r="M19" t="s">
        <v>42</v>
      </c>
    </row>
    <row r="20" spans="1:13">
      <c r="A20" t="s">
        <v>83</v>
      </c>
      <c r="B20" t="s">
        <v>84</v>
      </c>
      <c r="C20" t="s">
        <v>25</v>
      </c>
      <c r="D20" t="s">
        <v>26</v>
      </c>
      <c r="E20" t="s">
        <v>85</v>
      </c>
      <c r="F20" t="s">
        <v>86</v>
      </c>
      <c r="G20">
        <v>429978</v>
      </c>
      <c r="H20">
        <v>436843</v>
      </c>
      <c r="I20">
        <v>6865</v>
      </c>
      <c r="J20" t="s">
        <v>54</v>
      </c>
      <c r="K20" t="s">
        <v>41</v>
      </c>
      <c r="L20" t="s">
        <v>49</v>
      </c>
      <c r="M20" t="s">
        <v>42</v>
      </c>
    </row>
    <row r="21" spans="1:13">
      <c r="A21" t="s">
        <v>87</v>
      </c>
      <c r="B21" t="s">
        <v>88</v>
      </c>
      <c r="C21" t="s">
        <v>35</v>
      </c>
      <c r="D21" t="s">
        <v>40</v>
      </c>
      <c r="E21" t="s">
        <v>71</v>
      </c>
      <c r="F21" t="s">
        <v>72</v>
      </c>
      <c r="G21">
        <v>414568</v>
      </c>
      <c r="H21">
        <v>430721</v>
      </c>
      <c r="I21">
        <v>16153</v>
      </c>
      <c r="J21" t="s">
        <v>19</v>
      </c>
      <c r="K21" t="s">
        <v>29</v>
      </c>
      <c r="L21" t="s">
        <v>49</v>
      </c>
      <c r="M21" t="s">
        <v>22</v>
      </c>
    </row>
    <row r="22" spans="1:13">
      <c r="A22" t="s">
        <v>89</v>
      </c>
      <c r="B22" t="s">
        <v>90</v>
      </c>
      <c r="C22" t="s">
        <v>15</v>
      </c>
      <c r="D22" t="s">
        <v>34</v>
      </c>
      <c r="E22" t="s">
        <v>27</v>
      </c>
      <c r="F22" t="s">
        <v>28</v>
      </c>
      <c r="G22">
        <v>312794</v>
      </c>
      <c r="H22">
        <v>232908</v>
      </c>
      <c r="I22">
        <v>-79886</v>
      </c>
      <c r="J22" t="s">
        <v>37</v>
      </c>
      <c r="K22" t="s">
        <v>67</v>
      </c>
      <c r="L22" t="s">
        <v>49</v>
      </c>
      <c r="M22" t="s">
        <v>22</v>
      </c>
    </row>
    <row r="23" spans="1:13">
      <c r="A23" t="s">
        <v>91</v>
      </c>
      <c r="B23" t="s">
        <v>92</v>
      </c>
      <c r="C23" t="s">
        <v>15</v>
      </c>
      <c r="D23" t="s">
        <v>61</v>
      </c>
      <c r="E23" t="s">
        <v>85</v>
      </c>
      <c r="F23" t="s">
        <v>86</v>
      </c>
      <c r="G23">
        <v>479744</v>
      </c>
      <c r="H23">
        <v>643000</v>
      </c>
      <c r="I23">
        <v>163256</v>
      </c>
      <c r="J23" t="s">
        <v>19</v>
      </c>
      <c r="K23" t="s">
        <v>20</v>
      </c>
      <c r="L23" t="s">
        <v>49</v>
      </c>
      <c r="M23" t="s">
        <v>22</v>
      </c>
    </row>
    <row r="24" spans="1:13">
      <c r="A24" t="s">
        <v>93</v>
      </c>
      <c r="B24" t="s">
        <v>94</v>
      </c>
      <c r="C24" t="s">
        <v>64</v>
      </c>
      <c r="D24" t="s">
        <v>26</v>
      </c>
      <c r="E24" t="s">
        <v>46</v>
      </c>
      <c r="F24" t="s">
        <v>47</v>
      </c>
      <c r="G24">
        <v>314882</v>
      </c>
      <c r="H24">
        <v>416714</v>
      </c>
      <c r="I24">
        <v>101832</v>
      </c>
      <c r="J24" t="s">
        <v>54</v>
      </c>
      <c r="K24" t="s">
        <v>48</v>
      </c>
      <c r="L24" t="s">
        <v>30</v>
      </c>
      <c r="M24" t="s">
        <v>42</v>
      </c>
    </row>
    <row r="25" spans="1:13">
      <c r="A25" t="s">
        <v>95</v>
      </c>
      <c r="B25" t="s">
        <v>96</v>
      </c>
      <c r="C25" t="s">
        <v>25</v>
      </c>
      <c r="D25" t="s">
        <v>34</v>
      </c>
      <c r="E25" t="s">
        <v>17</v>
      </c>
      <c r="F25" t="s">
        <v>18</v>
      </c>
      <c r="G25">
        <v>57397</v>
      </c>
      <c r="H25">
        <v>41986</v>
      </c>
      <c r="I25">
        <v>-15411</v>
      </c>
      <c r="J25" t="s">
        <v>54</v>
      </c>
      <c r="K25" t="s">
        <v>20</v>
      </c>
      <c r="L25" t="s">
        <v>30</v>
      </c>
      <c r="M25" t="s">
        <v>22</v>
      </c>
    </row>
    <row r="26" spans="1:13">
      <c r="A26" t="s">
        <v>97</v>
      </c>
      <c r="B26" t="s">
        <v>98</v>
      </c>
      <c r="C26" t="s">
        <v>64</v>
      </c>
      <c r="D26" t="s">
        <v>34</v>
      </c>
      <c r="E26" t="s">
        <v>85</v>
      </c>
      <c r="F26" t="s">
        <v>86</v>
      </c>
      <c r="G26">
        <v>164797</v>
      </c>
      <c r="H26">
        <v>209561</v>
      </c>
      <c r="I26">
        <v>44764</v>
      </c>
      <c r="J26" t="s">
        <v>37</v>
      </c>
      <c r="K26" t="s">
        <v>29</v>
      </c>
      <c r="L26" t="s">
        <v>21</v>
      </c>
      <c r="M26" t="s">
        <v>42</v>
      </c>
    </row>
    <row r="27" spans="1:13">
      <c r="A27" t="s">
        <v>99</v>
      </c>
      <c r="B27" t="s">
        <v>100</v>
      </c>
      <c r="C27" t="s">
        <v>35</v>
      </c>
      <c r="D27" t="s">
        <v>61</v>
      </c>
      <c r="E27" t="s">
        <v>85</v>
      </c>
      <c r="F27" t="s">
        <v>86</v>
      </c>
      <c r="G27">
        <v>288727</v>
      </c>
      <c r="H27">
        <v>269826</v>
      </c>
      <c r="I27">
        <v>-18901</v>
      </c>
      <c r="J27" t="s">
        <v>37</v>
      </c>
      <c r="K27" t="s">
        <v>41</v>
      </c>
      <c r="L27" t="s">
        <v>30</v>
      </c>
      <c r="M27" t="s">
        <v>22</v>
      </c>
    </row>
    <row r="28" spans="1:13">
      <c r="A28" t="s">
        <v>101</v>
      </c>
      <c r="B28" t="s">
        <v>102</v>
      </c>
      <c r="C28" t="s">
        <v>33</v>
      </c>
      <c r="D28" t="s">
        <v>26</v>
      </c>
      <c r="E28" t="s">
        <v>35</v>
      </c>
      <c r="F28" t="s">
        <v>36</v>
      </c>
      <c r="G28">
        <v>346029</v>
      </c>
      <c r="H28">
        <v>433856</v>
      </c>
      <c r="I28">
        <v>87827</v>
      </c>
      <c r="J28" t="s">
        <v>54</v>
      </c>
      <c r="K28" t="s">
        <v>41</v>
      </c>
      <c r="L28" t="s">
        <v>21</v>
      </c>
      <c r="M28" t="s">
        <v>22</v>
      </c>
    </row>
    <row r="29" spans="1:13">
      <c r="A29" t="s">
        <v>103</v>
      </c>
      <c r="B29" t="s">
        <v>104</v>
      </c>
      <c r="C29" t="s">
        <v>64</v>
      </c>
      <c r="D29" t="s">
        <v>61</v>
      </c>
      <c r="E29" t="s">
        <v>71</v>
      </c>
      <c r="F29" t="s">
        <v>72</v>
      </c>
      <c r="G29">
        <v>178133</v>
      </c>
      <c r="H29">
        <v>176779</v>
      </c>
      <c r="I29">
        <v>-1354</v>
      </c>
      <c r="J29" t="s">
        <v>19</v>
      </c>
      <c r="K29" t="s">
        <v>67</v>
      </c>
      <c r="L29" t="s">
        <v>30</v>
      </c>
      <c r="M29" t="s">
        <v>22</v>
      </c>
    </row>
    <row r="30" spans="1:13">
      <c r="A30" t="s">
        <v>105</v>
      </c>
      <c r="B30" t="s">
        <v>106</v>
      </c>
      <c r="C30" t="s">
        <v>25</v>
      </c>
      <c r="D30" t="s">
        <v>26</v>
      </c>
      <c r="E30" t="s">
        <v>46</v>
      </c>
      <c r="F30" t="s">
        <v>47</v>
      </c>
      <c r="G30">
        <v>248978</v>
      </c>
      <c r="H30">
        <v>222411</v>
      </c>
      <c r="I30">
        <v>-26567</v>
      </c>
      <c r="J30" t="s">
        <v>54</v>
      </c>
      <c r="K30" t="s">
        <v>41</v>
      </c>
      <c r="L30" t="s">
        <v>49</v>
      </c>
      <c r="M30" t="s">
        <v>42</v>
      </c>
    </row>
    <row r="31" spans="1:13">
      <c r="A31" t="s">
        <v>107</v>
      </c>
      <c r="B31" t="s">
        <v>108</v>
      </c>
      <c r="C31" t="s">
        <v>15</v>
      </c>
      <c r="D31" t="s">
        <v>16</v>
      </c>
      <c r="E31" t="s">
        <v>27</v>
      </c>
      <c r="F31" t="s">
        <v>28</v>
      </c>
      <c r="G31">
        <v>469478</v>
      </c>
      <c r="H31">
        <v>376333</v>
      </c>
      <c r="I31">
        <v>-93145</v>
      </c>
      <c r="J31" t="s">
        <v>37</v>
      </c>
      <c r="K31" t="s">
        <v>41</v>
      </c>
      <c r="L31" t="s">
        <v>68</v>
      </c>
      <c r="M31" t="s">
        <v>42</v>
      </c>
    </row>
    <row r="32" spans="1:13">
      <c r="A32" t="s">
        <v>109</v>
      </c>
      <c r="B32" t="s">
        <v>110</v>
      </c>
      <c r="C32" t="s">
        <v>33</v>
      </c>
      <c r="D32" t="s">
        <v>16</v>
      </c>
      <c r="E32" t="s">
        <v>85</v>
      </c>
      <c r="F32" t="s">
        <v>86</v>
      </c>
      <c r="G32">
        <v>252767</v>
      </c>
      <c r="H32">
        <v>235650</v>
      </c>
      <c r="I32">
        <v>-17117</v>
      </c>
      <c r="J32" t="s">
        <v>54</v>
      </c>
      <c r="K32" t="s">
        <v>29</v>
      </c>
      <c r="L32" t="s">
        <v>68</v>
      </c>
      <c r="M32" t="s">
        <v>42</v>
      </c>
    </row>
    <row r="33" spans="1:13">
      <c r="A33" t="s">
        <v>111</v>
      </c>
      <c r="B33" t="s">
        <v>112</v>
      </c>
      <c r="C33" t="s">
        <v>33</v>
      </c>
      <c r="D33" t="s">
        <v>16</v>
      </c>
      <c r="E33" t="s">
        <v>35</v>
      </c>
      <c r="F33" t="s">
        <v>36</v>
      </c>
      <c r="G33">
        <v>465075</v>
      </c>
      <c r="H33">
        <v>407244</v>
      </c>
      <c r="I33">
        <v>-57831</v>
      </c>
      <c r="J33" t="s">
        <v>54</v>
      </c>
      <c r="K33" t="s">
        <v>67</v>
      </c>
      <c r="L33" t="s">
        <v>68</v>
      </c>
      <c r="M33" t="s">
        <v>42</v>
      </c>
    </row>
    <row r="34" spans="1:13">
      <c r="A34" t="s">
        <v>113</v>
      </c>
      <c r="B34" t="s">
        <v>114</v>
      </c>
      <c r="C34" t="s">
        <v>35</v>
      </c>
      <c r="D34" t="s">
        <v>40</v>
      </c>
      <c r="E34" t="s">
        <v>71</v>
      </c>
      <c r="F34" t="s">
        <v>72</v>
      </c>
      <c r="G34">
        <v>389251</v>
      </c>
      <c r="H34">
        <v>411785</v>
      </c>
      <c r="I34">
        <v>22534</v>
      </c>
      <c r="J34" t="s">
        <v>19</v>
      </c>
      <c r="K34" t="s">
        <v>67</v>
      </c>
      <c r="L34" t="s">
        <v>21</v>
      </c>
      <c r="M34" t="s">
        <v>22</v>
      </c>
    </row>
    <row r="35" spans="1:13">
      <c r="A35" t="s">
        <v>115</v>
      </c>
      <c r="B35" t="s">
        <v>116</v>
      </c>
      <c r="C35" t="s">
        <v>45</v>
      </c>
      <c r="D35" t="s">
        <v>34</v>
      </c>
      <c r="E35" t="s">
        <v>35</v>
      </c>
      <c r="F35" t="s">
        <v>36</v>
      </c>
      <c r="G35">
        <v>287652</v>
      </c>
      <c r="H35">
        <v>366656</v>
      </c>
      <c r="I35">
        <v>79004</v>
      </c>
      <c r="J35" t="s">
        <v>54</v>
      </c>
      <c r="K35" t="s">
        <v>67</v>
      </c>
      <c r="L35" t="s">
        <v>49</v>
      </c>
      <c r="M35" t="s">
        <v>22</v>
      </c>
    </row>
    <row r="36" spans="1:13">
      <c r="A36" t="s">
        <v>117</v>
      </c>
      <c r="B36" t="s">
        <v>118</v>
      </c>
      <c r="C36" t="s">
        <v>15</v>
      </c>
      <c r="D36" t="s">
        <v>16</v>
      </c>
      <c r="E36" t="s">
        <v>85</v>
      </c>
      <c r="F36" t="s">
        <v>86</v>
      </c>
      <c r="G36">
        <v>142455</v>
      </c>
      <c r="H36">
        <v>168897</v>
      </c>
      <c r="I36">
        <v>26442</v>
      </c>
      <c r="J36" t="s">
        <v>19</v>
      </c>
      <c r="K36" t="s">
        <v>41</v>
      </c>
      <c r="L36" t="s">
        <v>21</v>
      </c>
      <c r="M36" t="s">
        <v>42</v>
      </c>
    </row>
    <row r="37" spans="1:13">
      <c r="A37" t="s">
        <v>119</v>
      </c>
      <c r="B37" t="s">
        <v>120</v>
      </c>
      <c r="C37" t="s">
        <v>25</v>
      </c>
      <c r="D37" t="s">
        <v>16</v>
      </c>
      <c r="E37" t="s">
        <v>85</v>
      </c>
      <c r="F37" t="s">
        <v>86</v>
      </c>
      <c r="G37">
        <v>294173</v>
      </c>
      <c r="H37">
        <v>351730</v>
      </c>
      <c r="I37">
        <v>57557</v>
      </c>
      <c r="J37" t="s">
        <v>19</v>
      </c>
      <c r="K37" t="s">
        <v>41</v>
      </c>
      <c r="L37" t="s">
        <v>30</v>
      </c>
      <c r="M37" t="s">
        <v>22</v>
      </c>
    </row>
    <row r="38" spans="1:13">
      <c r="A38" t="s">
        <v>121</v>
      </c>
      <c r="B38" t="s">
        <v>122</v>
      </c>
      <c r="C38" t="s">
        <v>64</v>
      </c>
      <c r="D38" t="s">
        <v>26</v>
      </c>
      <c r="E38" t="s">
        <v>85</v>
      </c>
      <c r="F38" t="s">
        <v>86</v>
      </c>
      <c r="G38">
        <v>324101</v>
      </c>
      <c r="H38">
        <v>378020</v>
      </c>
      <c r="I38">
        <v>53919</v>
      </c>
      <c r="J38" t="s">
        <v>19</v>
      </c>
      <c r="K38" t="s">
        <v>48</v>
      </c>
      <c r="L38" t="s">
        <v>21</v>
      </c>
      <c r="M38" t="s">
        <v>22</v>
      </c>
    </row>
    <row r="39" spans="1:13">
      <c r="A39" t="s">
        <v>123</v>
      </c>
      <c r="B39" t="s">
        <v>124</v>
      </c>
      <c r="C39" t="s">
        <v>45</v>
      </c>
      <c r="D39" t="s">
        <v>16</v>
      </c>
      <c r="E39" t="s">
        <v>85</v>
      </c>
      <c r="F39" t="s">
        <v>86</v>
      </c>
      <c r="G39">
        <v>261167</v>
      </c>
      <c r="H39">
        <v>283565</v>
      </c>
      <c r="I39">
        <v>22398</v>
      </c>
      <c r="J39" t="s">
        <v>37</v>
      </c>
      <c r="K39" t="s">
        <v>41</v>
      </c>
      <c r="L39" t="s">
        <v>30</v>
      </c>
      <c r="M39" t="s">
        <v>22</v>
      </c>
    </row>
    <row r="40" spans="1:13">
      <c r="A40" t="s">
        <v>125</v>
      </c>
      <c r="B40" t="s">
        <v>126</v>
      </c>
      <c r="C40" t="s">
        <v>35</v>
      </c>
      <c r="D40" t="s">
        <v>34</v>
      </c>
      <c r="E40" t="s">
        <v>17</v>
      </c>
      <c r="F40" t="s">
        <v>18</v>
      </c>
      <c r="G40">
        <v>219027</v>
      </c>
      <c r="H40">
        <v>297016</v>
      </c>
      <c r="I40">
        <v>77989</v>
      </c>
      <c r="J40" t="s">
        <v>37</v>
      </c>
      <c r="K40" t="s">
        <v>67</v>
      </c>
      <c r="L40" t="s">
        <v>68</v>
      </c>
      <c r="M40" t="s">
        <v>22</v>
      </c>
    </row>
    <row r="41" spans="1:13">
      <c r="A41" t="s">
        <v>127</v>
      </c>
      <c r="B41" t="s">
        <v>128</v>
      </c>
      <c r="C41" t="s">
        <v>25</v>
      </c>
      <c r="D41" t="s">
        <v>34</v>
      </c>
      <c r="E41" t="s">
        <v>71</v>
      </c>
      <c r="F41" t="s">
        <v>72</v>
      </c>
      <c r="G41">
        <v>188396</v>
      </c>
      <c r="H41">
        <v>201574</v>
      </c>
      <c r="I41">
        <v>13178</v>
      </c>
      <c r="J41" t="s">
        <v>37</v>
      </c>
      <c r="K41" t="s">
        <v>29</v>
      </c>
      <c r="L41" t="s">
        <v>30</v>
      </c>
      <c r="M41" t="s">
        <v>22</v>
      </c>
    </row>
    <row r="42" spans="1:13">
      <c r="A42" t="s">
        <v>129</v>
      </c>
      <c r="B42" t="s">
        <v>130</v>
      </c>
      <c r="C42" t="s">
        <v>64</v>
      </c>
      <c r="D42" t="s">
        <v>61</v>
      </c>
      <c r="E42" t="s">
        <v>17</v>
      </c>
      <c r="F42" t="s">
        <v>18</v>
      </c>
      <c r="G42">
        <v>329087</v>
      </c>
      <c r="H42">
        <v>436751</v>
      </c>
      <c r="I42">
        <v>107664</v>
      </c>
      <c r="J42" t="s">
        <v>54</v>
      </c>
      <c r="K42" t="s">
        <v>41</v>
      </c>
      <c r="L42" t="s">
        <v>21</v>
      </c>
      <c r="M42" t="s">
        <v>42</v>
      </c>
    </row>
    <row r="43" spans="1:13">
      <c r="A43" t="s">
        <v>131</v>
      </c>
      <c r="B43" t="s">
        <v>132</v>
      </c>
      <c r="C43" t="s">
        <v>64</v>
      </c>
      <c r="D43" t="s">
        <v>26</v>
      </c>
      <c r="E43" t="s">
        <v>27</v>
      </c>
      <c r="F43" t="s">
        <v>28</v>
      </c>
      <c r="G43">
        <v>276122</v>
      </c>
      <c r="H43">
        <v>235480</v>
      </c>
      <c r="I43">
        <v>-40642</v>
      </c>
      <c r="J43" t="s">
        <v>54</v>
      </c>
      <c r="K43" t="s">
        <v>67</v>
      </c>
      <c r="L43" t="s">
        <v>68</v>
      </c>
      <c r="M43" t="s">
        <v>22</v>
      </c>
    </row>
    <row r="44" spans="1:13">
      <c r="A44" t="s">
        <v>133</v>
      </c>
      <c r="B44" t="s">
        <v>134</v>
      </c>
      <c r="C44" t="s">
        <v>35</v>
      </c>
      <c r="D44" t="s">
        <v>61</v>
      </c>
      <c r="E44" t="s">
        <v>85</v>
      </c>
      <c r="F44" t="s">
        <v>86</v>
      </c>
      <c r="G44">
        <v>209503</v>
      </c>
      <c r="H44">
        <v>264294</v>
      </c>
      <c r="I44">
        <v>54791</v>
      </c>
      <c r="J44" t="s">
        <v>54</v>
      </c>
      <c r="K44" t="s">
        <v>29</v>
      </c>
      <c r="L44" t="s">
        <v>21</v>
      </c>
      <c r="M44" t="s">
        <v>22</v>
      </c>
    </row>
    <row r="45" spans="1:13">
      <c r="A45" t="s">
        <v>135</v>
      </c>
      <c r="B45" t="s">
        <v>136</v>
      </c>
      <c r="C45" t="s">
        <v>64</v>
      </c>
      <c r="D45" t="s">
        <v>34</v>
      </c>
      <c r="E45" t="s">
        <v>85</v>
      </c>
      <c r="F45" t="s">
        <v>86</v>
      </c>
      <c r="G45">
        <v>300196</v>
      </c>
      <c r="H45">
        <v>342233</v>
      </c>
      <c r="I45">
        <v>42037</v>
      </c>
      <c r="J45" t="s">
        <v>54</v>
      </c>
      <c r="K45" t="s">
        <v>48</v>
      </c>
      <c r="L45" t="s">
        <v>68</v>
      </c>
      <c r="M45" t="s">
        <v>42</v>
      </c>
    </row>
    <row r="46" spans="1:13">
      <c r="A46" t="s">
        <v>137</v>
      </c>
      <c r="B46" t="s">
        <v>138</v>
      </c>
      <c r="C46" t="s">
        <v>15</v>
      </c>
      <c r="D46" t="s">
        <v>16</v>
      </c>
      <c r="E46" t="s">
        <v>17</v>
      </c>
      <c r="F46" t="s">
        <v>18</v>
      </c>
      <c r="G46">
        <v>465382</v>
      </c>
      <c r="H46">
        <v>607591</v>
      </c>
      <c r="I46">
        <v>142209</v>
      </c>
      <c r="J46" t="s">
        <v>37</v>
      </c>
      <c r="K46" t="s">
        <v>67</v>
      </c>
      <c r="L46" t="s">
        <v>21</v>
      </c>
      <c r="M46" t="s">
        <v>22</v>
      </c>
    </row>
    <row r="47" spans="1:13">
      <c r="A47" t="s">
        <v>139</v>
      </c>
      <c r="B47" t="s">
        <v>140</v>
      </c>
      <c r="C47" t="s">
        <v>33</v>
      </c>
      <c r="D47" t="s">
        <v>61</v>
      </c>
      <c r="E47" t="s">
        <v>27</v>
      </c>
      <c r="F47" t="s">
        <v>28</v>
      </c>
      <c r="G47">
        <v>331877</v>
      </c>
      <c r="H47">
        <v>320916</v>
      </c>
      <c r="I47">
        <v>-10961</v>
      </c>
      <c r="J47" t="s">
        <v>54</v>
      </c>
      <c r="K47" t="s">
        <v>20</v>
      </c>
      <c r="L47" t="s">
        <v>30</v>
      </c>
      <c r="M47" t="s">
        <v>42</v>
      </c>
    </row>
    <row r="48" spans="1:13">
      <c r="A48" t="s">
        <v>141</v>
      </c>
      <c r="B48" t="s">
        <v>142</v>
      </c>
      <c r="C48" t="s">
        <v>33</v>
      </c>
      <c r="D48" t="s">
        <v>34</v>
      </c>
      <c r="E48" t="s">
        <v>71</v>
      </c>
      <c r="F48" t="s">
        <v>72</v>
      </c>
      <c r="G48">
        <v>446536</v>
      </c>
      <c r="H48">
        <v>375249</v>
      </c>
      <c r="I48">
        <v>-71287</v>
      </c>
      <c r="J48" t="s">
        <v>37</v>
      </c>
      <c r="K48" t="s">
        <v>41</v>
      </c>
      <c r="L48" t="s">
        <v>68</v>
      </c>
      <c r="M48" t="s">
        <v>22</v>
      </c>
    </row>
    <row r="49" spans="1:13">
      <c r="A49" t="s">
        <v>143</v>
      </c>
      <c r="B49" t="s">
        <v>144</v>
      </c>
      <c r="C49" t="s">
        <v>15</v>
      </c>
      <c r="D49" t="s">
        <v>16</v>
      </c>
      <c r="E49" t="s">
        <v>85</v>
      </c>
      <c r="F49" t="s">
        <v>86</v>
      </c>
      <c r="G49">
        <v>394609</v>
      </c>
      <c r="H49">
        <v>377928</v>
      </c>
      <c r="I49">
        <v>-16681</v>
      </c>
      <c r="J49" t="s">
        <v>19</v>
      </c>
      <c r="K49" t="s">
        <v>67</v>
      </c>
      <c r="L49" t="s">
        <v>68</v>
      </c>
      <c r="M49" t="s">
        <v>22</v>
      </c>
    </row>
    <row r="50" spans="1:13">
      <c r="A50" t="s">
        <v>145</v>
      </c>
      <c r="B50" t="s">
        <v>146</v>
      </c>
      <c r="C50" t="s">
        <v>64</v>
      </c>
      <c r="D50" t="s">
        <v>61</v>
      </c>
      <c r="E50" t="s">
        <v>17</v>
      </c>
      <c r="F50" t="s">
        <v>18</v>
      </c>
      <c r="G50">
        <v>204123</v>
      </c>
      <c r="H50">
        <v>197966</v>
      </c>
      <c r="I50">
        <v>-6157</v>
      </c>
      <c r="J50" t="s">
        <v>37</v>
      </c>
      <c r="K50" t="s">
        <v>41</v>
      </c>
      <c r="L50" t="s">
        <v>68</v>
      </c>
      <c r="M50" t="s">
        <v>42</v>
      </c>
    </row>
    <row r="51" spans="1:13">
      <c r="A51" t="s">
        <v>147</v>
      </c>
      <c r="B51" t="s">
        <v>148</v>
      </c>
      <c r="C51" t="s">
        <v>25</v>
      </c>
      <c r="D51" t="s">
        <v>40</v>
      </c>
      <c r="E51" t="s">
        <v>17</v>
      </c>
      <c r="F51" t="s">
        <v>18</v>
      </c>
      <c r="G51">
        <v>178911</v>
      </c>
      <c r="H51">
        <v>147607</v>
      </c>
      <c r="I51">
        <v>-31304</v>
      </c>
      <c r="J51" t="s">
        <v>19</v>
      </c>
      <c r="K51" t="s">
        <v>48</v>
      </c>
      <c r="L51" t="s">
        <v>21</v>
      </c>
      <c r="M51" t="s">
        <v>22</v>
      </c>
    </row>
    <row r="52" spans="1:13">
      <c r="A52" t="s">
        <v>149</v>
      </c>
      <c r="B52" t="s">
        <v>150</v>
      </c>
      <c r="C52" t="s">
        <v>15</v>
      </c>
      <c r="D52" t="s">
        <v>26</v>
      </c>
      <c r="E52" t="s">
        <v>71</v>
      </c>
      <c r="F52" t="s">
        <v>72</v>
      </c>
      <c r="G52">
        <v>482161</v>
      </c>
      <c r="H52">
        <v>644311</v>
      </c>
      <c r="I52">
        <v>162150</v>
      </c>
      <c r="J52" t="s">
        <v>54</v>
      </c>
      <c r="K52" t="s">
        <v>48</v>
      </c>
      <c r="L52" t="s">
        <v>68</v>
      </c>
      <c r="M52" t="s">
        <v>42</v>
      </c>
    </row>
    <row r="53" spans="1:13">
      <c r="A53" t="s">
        <v>151</v>
      </c>
      <c r="B53" t="s">
        <v>152</v>
      </c>
      <c r="C53" t="s">
        <v>64</v>
      </c>
      <c r="D53" t="s">
        <v>34</v>
      </c>
      <c r="E53" t="s">
        <v>71</v>
      </c>
      <c r="F53" t="s">
        <v>72</v>
      </c>
      <c r="G53">
        <v>108826</v>
      </c>
      <c r="H53">
        <v>105940</v>
      </c>
      <c r="I53">
        <v>-2886</v>
      </c>
      <c r="J53" t="s">
        <v>37</v>
      </c>
      <c r="K53" t="s">
        <v>67</v>
      </c>
      <c r="L53" t="s">
        <v>30</v>
      </c>
      <c r="M53" t="s">
        <v>22</v>
      </c>
    </row>
    <row r="54" spans="1:13">
      <c r="A54" t="s">
        <v>153</v>
      </c>
      <c r="B54" t="s">
        <v>154</v>
      </c>
      <c r="C54" t="s">
        <v>15</v>
      </c>
      <c r="D54" t="s">
        <v>34</v>
      </c>
      <c r="E54" t="s">
        <v>27</v>
      </c>
      <c r="F54" t="s">
        <v>28</v>
      </c>
      <c r="G54">
        <v>493612</v>
      </c>
      <c r="H54">
        <v>666368</v>
      </c>
      <c r="I54">
        <v>172756</v>
      </c>
      <c r="J54" t="s">
        <v>54</v>
      </c>
      <c r="K54" t="s">
        <v>48</v>
      </c>
      <c r="L54" t="s">
        <v>21</v>
      </c>
      <c r="M54" t="s">
        <v>42</v>
      </c>
    </row>
    <row r="55" spans="1:13">
      <c r="A55" t="s">
        <v>155</v>
      </c>
      <c r="B55" t="s">
        <v>156</v>
      </c>
      <c r="C55" t="s">
        <v>45</v>
      </c>
      <c r="D55" t="s">
        <v>34</v>
      </c>
      <c r="E55" t="s">
        <v>85</v>
      </c>
      <c r="F55" t="s">
        <v>86</v>
      </c>
      <c r="G55">
        <v>388037</v>
      </c>
      <c r="H55">
        <v>451681</v>
      </c>
      <c r="I55">
        <v>63644</v>
      </c>
      <c r="J55" t="s">
        <v>37</v>
      </c>
      <c r="K55" t="s">
        <v>48</v>
      </c>
      <c r="L55" t="s">
        <v>68</v>
      </c>
      <c r="M55" t="s">
        <v>22</v>
      </c>
    </row>
    <row r="56" spans="1:13">
      <c r="A56" t="s">
        <v>157</v>
      </c>
      <c r="B56" t="s">
        <v>158</v>
      </c>
      <c r="C56" t="s">
        <v>15</v>
      </c>
      <c r="D56" t="s">
        <v>40</v>
      </c>
      <c r="E56" t="s">
        <v>27</v>
      </c>
      <c r="F56" t="s">
        <v>28</v>
      </c>
      <c r="G56">
        <v>64332</v>
      </c>
      <c r="H56">
        <v>80324</v>
      </c>
      <c r="I56">
        <v>15992</v>
      </c>
      <c r="J56" t="s">
        <v>19</v>
      </c>
      <c r="K56" t="s">
        <v>48</v>
      </c>
      <c r="L56" t="s">
        <v>30</v>
      </c>
      <c r="M56" t="s">
        <v>42</v>
      </c>
    </row>
    <row r="57" spans="1:13">
      <c r="A57" t="s">
        <v>159</v>
      </c>
      <c r="B57" t="s">
        <v>160</v>
      </c>
      <c r="C57" t="s">
        <v>33</v>
      </c>
      <c r="D57" t="s">
        <v>61</v>
      </c>
      <c r="E57" t="s">
        <v>46</v>
      </c>
      <c r="F57" t="s">
        <v>47</v>
      </c>
      <c r="G57">
        <v>74606</v>
      </c>
      <c r="H57">
        <v>59304</v>
      </c>
      <c r="I57">
        <v>-15302</v>
      </c>
      <c r="J57" t="s">
        <v>19</v>
      </c>
      <c r="K57" t="s">
        <v>29</v>
      </c>
      <c r="L57" t="s">
        <v>68</v>
      </c>
      <c r="M57" t="s">
        <v>22</v>
      </c>
    </row>
    <row r="58" spans="1:13">
      <c r="A58" t="s">
        <v>161</v>
      </c>
      <c r="B58" t="s">
        <v>162</v>
      </c>
      <c r="C58" t="s">
        <v>25</v>
      </c>
      <c r="D58" t="s">
        <v>34</v>
      </c>
      <c r="E58" t="s">
        <v>71</v>
      </c>
      <c r="F58" t="s">
        <v>72</v>
      </c>
      <c r="G58">
        <v>216724</v>
      </c>
      <c r="H58">
        <v>220524</v>
      </c>
      <c r="I58">
        <v>3800</v>
      </c>
      <c r="J58" t="s">
        <v>19</v>
      </c>
      <c r="K58" t="s">
        <v>29</v>
      </c>
      <c r="L58" t="s">
        <v>21</v>
      </c>
      <c r="M58" t="s">
        <v>42</v>
      </c>
    </row>
    <row r="59" spans="1:13">
      <c r="A59" t="s">
        <v>163</v>
      </c>
      <c r="B59" t="s">
        <v>164</v>
      </c>
      <c r="C59" t="s">
        <v>33</v>
      </c>
      <c r="D59" t="s">
        <v>16</v>
      </c>
      <c r="E59" t="s">
        <v>17</v>
      </c>
      <c r="F59" t="s">
        <v>18</v>
      </c>
      <c r="G59">
        <v>482261</v>
      </c>
      <c r="H59">
        <v>373116</v>
      </c>
      <c r="I59">
        <v>-109145</v>
      </c>
      <c r="J59" t="s">
        <v>54</v>
      </c>
      <c r="K59" t="s">
        <v>20</v>
      </c>
      <c r="L59" t="s">
        <v>49</v>
      </c>
      <c r="M59" t="s">
        <v>42</v>
      </c>
    </row>
    <row r="60" spans="1:13">
      <c r="A60" t="s">
        <v>165</v>
      </c>
      <c r="B60" t="s">
        <v>166</v>
      </c>
      <c r="C60" t="s">
        <v>35</v>
      </c>
      <c r="D60" t="s">
        <v>26</v>
      </c>
      <c r="E60" t="s">
        <v>17</v>
      </c>
      <c r="F60" t="s">
        <v>18</v>
      </c>
      <c r="G60">
        <v>497732</v>
      </c>
      <c r="H60">
        <v>349050</v>
      </c>
      <c r="I60">
        <v>-148682</v>
      </c>
      <c r="J60" t="s">
        <v>37</v>
      </c>
      <c r="K60" t="s">
        <v>20</v>
      </c>
      <c r="L60" t="s">
        <v>68</v>
      </c>
      <c r="M60" t="s">
        <v>42</v>
      </c>
    </row>
    <row r="61" spans="1:13">
      <c r="A61" t="s">
        <v>167</v>
      </c>
      <c r="B61" t="s">
        <v>168</v>
      </c>
      <c r="C61" t="s">
        <v>45</v>
      </c>
      <c r="D61" t="s">
        <v>26</v>
      </c>
      <c r="E61" t="s">
        <v>85</v>
      </c>
      <c r="F61" t="s">
        <v>86</v>
      </c>
      <c r="G61">
        <v>237897</v>
      </c>
      <c r="H61">
        <v>218818</v>
      </c>
      <c r="I61">
        <v>-19079</v>
      </c>
      <c r="J61" t="s">
        <v>54</v>
      </c>
      <c r="K61" t="s">
        <v>48</v>
      </c>
      <c r="L61" t="s">
        <v>21</v>
      </c>
      <c r="M61" t="s">
        <v>42</v>
      </c>
    </row>
    <row r="62" spans="1:13">
      <c r="A62" t="s">
        <v>169</v>
      </c>
      <c r="B62" t="s">
        <v>170</v>
      </c>
      <c r="C62" t="s">
        <v>45</v>
      </c>
      <c r="D62" t="s">
        <v>26</v>
      </c>
      <c r="E62" t="s">
        <v>27</v>
      </c>
      <c r="F62" t="s">
        <v>28</v>
      </c>
      <c r="G62">
        <v>402605</v>
      </c>
      <c r="H62">
        <v>405427</v>
      </c>
      <c r="I62">
        <v>2822</v>
      </c>
      <c r="J62" t="s">
        <v>19</v>
      </c>
      <c r="K62" t="s">
        <v>48</v>
      </c>
      <c r="L62" t="s">
        <v>21</v>
      </c>
      <c r="M62" t="s">
        <v>22</v>
      </c>
    </row>
    <row r="63" spans="1:13">
      <c r="A63" t="s">
        <v>171</v>
      </c>
      <c r="B63" t="s">
        <v>172</v>
      </c>
      <c r="C63" t="s">
        <v>45</v>
      </c>
      <c r="D63" t="s">
        <v>40</v>
      </c>
      <c r="E63" t="s">
        <v>85</v>
      </c>
      <c r="F63" t="s">
        <v>86</v>
      </c>
      <c r="G63">
        <v>133707</v>
      </c>
      <c r="H63">
        <v>154006</v>
      </c>
      <c r="I63">
        <v>20299</v>
      </c>
      <c r="J63" t="s">
        <v>54</v>
      </c>
      <c r="K63" t="s">
        <v>29</v>
      </c>
      <c r="L63" t="s">
        <v>30</v>
      </c>
      <c r="M63" t="s">
        <v>42</v>
      </c>
    </row>
    <row r="64" spans="1:13">
      <c r="A64" t="s">
        <v>173</v>
      </c>
      <c r="B64" t="s">
        <v>174</v>
      </c>
      <c r="C64" t="s">
        <v>15</v>
      </c>
      <c r="D64" t="s">
        <v>34</v>
      </c>
      <c r="E64" t="s">
        <v>71</v>
      </c>
      <c r="F64" t="s">
        <v>72</v>
      </c>
      <c r="G64">
        <v>82292</v>
      </c>
      <c r="H64">
        <v>79722</v>
      </c>
      <c r="I64">
        <v>-2570</v>
      </c>
      <c r="J64" t="s">
        <v>19</v>
      </c>
      <c r="K64" t="s">
        <v>67</v>
      </c>
      <c r="L64" t="s">
        <v>21</v>
      </c>
      <c r="M64" t="s">
        <v>22</v>
      </c>
    </row>
    <row r="65" spans="1:13">
      <c r="A65" t="s">
        <v>175</v>
      </c>
      <c r="B65" t="s">
        <v>176</v>
      </c>
      <c r="C65" t="s">
        <v>64</v>
      </c>
      <c r="D65" t="s">
        <v>26</v>
      </c>
      <c r="E65" t="s">
        <v>35</v>
      </c>
      <c r="F65" t="s">
        <v>36</v>
      </c>
      <c r="G65">
        <v>126209</v>
      </c>
      <c r="H65">
        <v>132897</v>
      </c>
      <c r="I65">
        <v>6688</v>
      </c>
      <c r="J65" t="s">
        <v>19</v>
      </c>
      <c r="K65" t="s">
        <v>48</v>
      </c>
      <c r="L65" t="s">
        <v>21</v>
      </c>
      <c r="M65" t="s">
        <v>22</v>
      </c>
    </row>
    <row r="66" spans="1:13">
      <c r="A66" t="s">
        <v>177</v>
      </c>
      <c r="B66" t="s">
        <v>178</v>
      </c>
      <c r="C66" t="s">
        <v>25</v>
      </c>
      <c r="D66" t="s">
        <v>26</v>
      </c>
      <c r="E66" t="s">
        <v>46</v>
      </c>
      <c r="F66" t="s">
        <v>47</v>
      </c>
      <c r="G66">
        <v>491788</v>
      </c>
      <c r="H66">
        <v>466660</v>
      </c>
      <c r="I66">
        <v>-25128</v>
      </c>
      <c r="J66" t="s">
        <v>37</v>
      </c>
      <c r="K66" t="s">
        <v>20</v>
      </c>
      <c r="L66" t="s">
        <v>30</v>
      </c>
      <c r="M66" t="s">
        <v>22</v>
      </c>
    </row>
    <row r="67" spans="1:13">
      <c r="A67" t="s">
        <v>179</v>
      </c>
      <c r="B67" t="s">
        <v>180</v>
      </c>
      <c r="C67" t="s">
        <v>15</v>
      </c>
      <c r="D67" t="s">
        <v>34</v>
      </c>
      <c r="E67" t="s">
        <v>46</v>
      </c>
      <c r="F67" t="s">
        <v>47</v>
      </c>
      <c r="G67">
        <v>398433</v>
      </c>
      <c r="H67">
        <v>288903</v>
      </c>
      <c r="I67">
        <v>-109530</v>
      </c>
      <c r="J67" t="s">
        <v>54</v>
      </c>
      <c r="K67" t="s">
        <v>48</v>
      </c>
      <c r="L67" t="s">
        <v>68</v>
      </c>
      <c r="M67" t="s">
        <v>22</v>
      </c>
    </row>
    <row r="68" spans="1:13">
      <c r="A68" t="s">
        <v>181</v>
      </c>
      <c r="B68" t="s">
        <v>182</v>
      </c>
      <c r="C68" t="s">
        <v>64</v>
      </c>
      <c r="D68" t="s">
        <v>40</v>
      </c>
      <c r="E68" t="s">
        <v>35</v>
      </c>
      <c r="F68" t="s">
        <v>36</v>
      </c>
      <c r="G68">
        <v>221646</v>
      </c>
      <c r="H68">
        <v>240659</v>
      </c>
      <c r="I68">
        <v>19013</v>
      </c>
      <c r="J68" t="s">
        <v>37</v>
      </c>
      <c r="K68" t="s">
        <v>20</v>
      </c>
      <c r="L68" t="s">
        <v>68</v>
      </c>
      <c r="M68" t="s">
        <v>42</v>
      </c>
    </row>
    <row r="69" spans="1:13">
      <c r="A69" t="s">
        <v>183</v>
      </c>
      <c r="B69" t="s">
        <v>184</v>
      </c>
      <c r="C69" t="s">
        <v>25</v>
      </c>
      <c r="D69" t="s">
        <v>61</v>
      </c>
      <c r="E69" t="s">
        <v>17</v>
      </c>
      <c r="F69" t="s">
        <v>18</v>
      </c>
      <c r="G69">
        <v>332901</v>
      </c>
      <c r="H69">
        <v>314891</v>
      </c>
      <c r="I69">
        <v>-18010</v>
      </c>
      <c r="J69" t="s">
        <v>37</v>
      </c>
      <c r="K69" t="s">
        <v>41</v>
      </c>
      <c r="L69" t="s">
        <v>30</v>
      </c>
      <c r="M69" t="s">
        <v>42</v>
      </c>
    </row>
    <row r="70" spans="1:13">
      <c r="A70" t="s">
        <v>185</v>
      </c>
      <c r="B70" t="s">
        <v>186</v>
      </c>
      <c r="C70" t="s">
        <v>15</v>
      </c>
      <c r="D70" t="s">
        <v>26</v>
      </c>
      <c r="E70" t="s">
        <v>85</v>
      </c>
      <c r="F70" t="s">
        <v>86</v>
      </c>
      <c r="G70">
        <v>428736</v>
      </c>
      <c r="H70">
        <v>310274</v>
      </c>
      <c r="I70">
        <v>-118462</v>
      </c>
      <c r="J70" t="s">
        <v>19</v>
      </c>
      <c r="K70" t="s">
        <v>29</v>
      </c>
      <c r="L70" t="s">
        <v>30</v>
      </c>
      <c r="M70" t="s">
        <v>42</v>
      </c>
    </row>
    <row r="71" spans="1:13">
      <c r="A71" t="s">
        <v>187</v>
      </c>
      <c r="B71" t="s">
        <v>188</v>
      </c>
      <c r="C71" t="s">
        <v>35</v>
      </c>
      <c r="D71" t="s">
        <v>26</v>
      </c>
      <c r="E71" t="s">
        <v>71</v>
      </c>
      <c r="F71" t="s">
        <v>72</v>
      </c>
      <c r="G71">
        <v>104298</v>
      </c>
      <c r="H71">
        <v>144419</v>
      </c>
      <c r="I71">
        <v>40121</v>
      </c>
      <c r="J71" t="s">
        <v>37</v>
      </c>
      <c r="K71" t="s">
        <v>41</v>
      </c>
      <c r="L71" t="s">
        <v>30</v>
      </c>
      <c r="M71" t="s">
        <v>22</v>
      </c>
    </row>
    <row r="72" spans="1:13">
      <c r="A72" t="s">
        <v>189</v>
      </c>
      <c r="B72" t="s">
        <v>190</v>
      </c>
      <c r="C72" t="s">
        <v>25</v>
      </c>
      <c r="D72" t="s">
        <v>26</v>
      </c>
      <c r="E72" t="s">
        <v>46</v>
      </c>
      <c r="F72" t="s">
        <v>47</v>
      </c>
      <c r="G72">
        <v>249729</v>
      </c>
      <c r="H72">
        <v>177761</v>
      </c>
      <c r="I72">
        <v>-71968</v>
      </c>
      <c r="J72" t="s">
        <v>19</v>
      </c>
      <c r="K72" t="s">
        <v>41</v>
      </c>
      <c r="L72" t="s">
        <v>49</v>
      </c>
      <c r="M72" t="s">
        <v>22</v>
      </c>
    </row>
    <row r="73" spans="1:13">
      <c r="A73" t="s">
        <v>191</v>
      </c>
      <c r="B73" t="s">
        <v>192</v>
      </c>
      <c r="C73" t="s">
        <v>64</v>
      </c>
      <c r="D73" t="s">
        <v>40</v>
      </c>
      <c r="E73" t="s">
        <v>71</v>
      </c>
      <c r="F73" t="s">
        <v>72</v>
      </c>
      <c r="G73">
        <v>472511</v>
      </c>
      <c r="H73">
        <v>337273</v>
      </c>
      <c r="I73">
        <v>-135238</v>
      </c>
      <c r="J73" t="s">
        <v>54</v>
      </c>
      <c r="K73" t="s">
        <v>67</v>
      </c>
      <c r="L73" t="s">
        <v>30</v>
      </c>
      <c r="M73" t="s">
        <v>42</v>
      </c>
    </row>
    <row r="74" spans="1:13">
      <c r="A74" t="s">
        <v>193</v>
      </c>
      <c r="B74" t="s">
        <v>194</v>
      </c>
      <c r="C74" t="s">
        <v>45</v>
      </c>
      <c r="D74" t="s">
        <v>61</v>
      </c>
      <c r="E74" t="s">
        <v>85</v>
      </c>
      <c r="F74" t="s">
        <v>86</v>
      </c>
      <c r="G74">
        <v>418795</v>
      </c>
      <c r="H74">
        <v>422636</v>
      </c>
      <c r="I74">
        <v>3841</v>
      </c>
      <c r="J74" t="s">
        <v>37</v>
      </c>
      <c r="K74" t="s">
        <v>41</v>
      </c>
      <c r="L74" t="s">
        <v>68</v>
      </c>
      <c r="M74" t="s">
        <v>22</v>
      </c>
    </row>
    <row r="75" spans="1:13">
      <c r="A75" t="s">
        <v>195</v>
      </c>
      <c r="B75" t="s">
        <v>196</v>
      </c>
      <c r="C75" t="s">
        <v>64</v>
      </c>
      <c r="D75" t="s">
        <v>16</v>
      </c>
      <c r="E75" t="s">
        <v>35</v>
      </c>
      <c r="F75" t="s">
        <v>36</v>
      </c>
      <c r="G75">
        <v>334464</v>
      </c>
      <c r="H75">
        <v>431071</v>
      </c>
      <c r="I75">
        <v>96607</v>
      </c>
      <c r="J75" t="s">
        <v>37</v>
      </c>
      <c r="K75" t="s">
        <v>41</v>
      </c>
      <c r="L75" t="s">
        <v>68</v>
      </c>
      <c r="M75" t="s">
        <v>22</v>
      </c>
    </row>
    <row r="76" spans="1:13">
      <c r="A76" t="s">
        <v>197</v>
      </c>
      <c r="B76" t="s">
        <v>198</v>
      </c>
      <c r="C76" t="s">
        <v>15</v>
      </c>
      <c r="D76" t="s">
        <v>26</v>
      </c>
      <c r="E76" t="s">
        <v>35</v>
      </c>
      <c r="F76" t="s">
        <v>36</v>
      </c>
      <c r="G76">
        <v>379067</v>
      </c>
      <c r="H76">
        <v>314171</v>
      </c>
      <c r="I76">
        <v>-64896</v>
      </c>
      <c r="J76" t="s">
        <v>37</v>
      </c>
      <c r="K76" t="s">
        <v>29</v>
      </c>
      <c r="L76" t="s">
        <v>49</v>
      </c>
      <c r="M76" t="s">
        <v>42</v>
      </c>
    </row>
    <row r="77" spans="1:13">
      <c r="A77" t="s">
        <v>199</v>
      </c>
      <c r="B77" t="s">
        <v>200</v>
      </c>
      <c r="C77" t="s">
        <v>33</v>
      </c>
      <c r="D77" t="s">
        <v>61</v>
      </c>
      <c r="E77" t="s">
        <v>71</v>
      </c>
      <c r="F77" t="s">
        <v>72</v>
      </c>
      <c r="G77">
        <v>425617</v>
      </c>
      <c r="H77">
        <v>315457</v>
      </c>
      <c r="I77">
        <v>-110160</v>
      </c>
      <c r="J77" t="s">
        <v>37</v>
      </c>
      <c r="K77" t="s">
        <v>20</v>
      </c>
      <c r="L77" t="s">
        <v>21</v>
      </c>
      <c r="M77" t="s">
        <v>42</v>
      </c>
    </row>
    <row r="78" spans="1:13">
      <c r="A78" t="s">
        <v>201</v>
      </c>
      <c r="B78" t="s">
        <v>202</v>
      </c>
      <c r="C78" t="s">
        <v>25</v>
      </c>
      <c r="D78" t="s">
        <v>34</v>
      </c>
      <c r="E78" t="s">
        <v>46</v>
      </c>
      <c r="F78" t="s">
        <v>47</v>
      </c>
      <c r="G78">
        <v>80010</v>
      </c>
      <c r="H78">
        <v>104938</v>
      </c>
      <c r="I78">
        <v>24928</v>
      </c>
      <c r="J78" t="s">
        <v>37</v>
      </c>
      <c r="K78" t="s">
        <v>41</v>
      </c>
      <c r="L78" t="s">
        <v>49</v>
      </c>
      <c r="M78" t="s">
        <v>22</v>
      </c>
    </row>
    <row r="79" spans="1:13">
      <c r="A79" t="s">
        <v>203</v>
      </c>
      <c r="B79" t="s">
        <v>53</v>
      </c>
      <c r="C79" t="s">
        <v>35</v>
      </c>
      <c r="D79" t="s">
        <v>16</v>
      </c>
      <c r="E79" t="s">
        <v>46</v>
      </c>
      <c r="F79" t="s">
        <v>47</v>
      </c>
      <c r="G79">
        <v>113011</v>
      </c>
      <c r="H79">
        <v>132789</v>
      </c>
      <c r="I79">
        <v>19778</v>
      </c>
      <c r="J79" t="s">
        <v>54</v>
      </c>
      <c r="K79" t="s">
        <v>20</v>
      </c>
      <c r="L79" t="s">
        <v>68</v>
      </c>
      <c r="M79" t="s">
        <v>42</v>
      </c>
    </row>
    <row r="80" spans="1:13">
      <c r="A80" t="s">
        <v>204</v>
      </c>
      <c r="B80" t="s">
        <v>138</v>
      </c>
      <c r="C80" t="s">
        <v>64</v>
      </c>
      <c r="D80" t="s">
        <v>34</v>
      </c>
      <c r="E80" t="s">
        <v>85</v>
      </c>
      <c r="F80" t="s">
        <v>86</v>
      </c>
      <c r="G80">
        <v>185112</v>
      </c>
      <c r="H80">
        <v>252179</v>
      </c>
      <c r="I80">
        <v>67067</v>
      </c>
      <c r="J80" t="s">
        <v>19</v>
      </c>
      <c r="K80" t="s">
        <v>20</v>
      </c>
      <c r="L80" t="s">
        <v>30</v>
      </c>
      <c r="M80" t="s">
        <v>42</v>
      </c>
    </row>
    <row r="81" spans="1:13">
      <c r="A81" t="s">
        <v>205</v>
      </c>
      <c r="B81" t="s">
        <v>206</v>
      </c>
      <c r="C81" t="s">
        <v>15</v>
      </c>
      <c r="D81" t="s">
        <v>34</v>
      </c>
      <c r="E81" t="s">
        <v>46</v>
      </c>
      <c r="F81" t="s">
        <v>47</v>
      </c>
      <c r="G81">
        <v>99173</v>
      </c>
      <c r="H81">
        <v>87667</v>
      </c>
      <c r="I81">
        <v>-11506</v>
      </c>
      <c r="J81" t="s">
        <v>37</v>
      </c>
      <c r="K81" t="s">
        <v>48</v>
      </c>
      <c r="L81" t="s">
        <v>30</v>
      </c>
      <c r="M81" t="s">
        <v>22</v>
      </c>
    </row>
    <row r="82" spans="1:13">
      <c r="A82" t="s">
        <v>207</v>
      </c>
      <c r="B82" t="s">
        <v>116</v>
      </c>
      <c r="C82" t="s">
        <v>33</v>
      </c>
      <c r="D82" t="s">
        <v>61</v>
      </c>
      <c r="E82" t="s">
        <v>27</v>
      </c>
      <c r="F82" t="s">
        <v>28</v>
      </c>
      <c r="G82">
        <v>298464</v>
      </c>
      <c r="H82">
        <v>240525</v>
      </c>
      <c r="I82">
        <v>-57939</v>
      </c>
      <c r="J82" t="s">
        <v>19</v>
      </c>
      <c r="K82" t="s">
        <v>29</v>
      </c>
      <c r="L82" t="s">
        <v>49</v>
      </c>
      <c r="M82" t="s">
        <v>42</v>
      </c>
    </row>
    <row r="83" spans="1:13">
      <c r="A83" t="s">
        <v>208</v>
      </c>
      <c r="B83" t="s">
        <v>209</v>
      </c>
      <c r="C83" t="s">
        <v>64</v>
      </c>
      <c r="D83" t="s">
        <v>26</v>
      </c>
      <c r="E83" t="s">
        <v>27</v>
      </c>
      <c r="F83" t="s">
        <v>28</v>
      </c>
      <c r="G83">
        <v>270206</v>
      </c>
      <c r="H83">
        <v>293641</v>
      </c>
      <c r="I83">
        <v>23435</v>
      </c>
      <c r="J83" t="s">
        <v>37</v>
      </c>
      <c r="K83" t="s">
        <v>41</v>
      </c>
      <c r="L83" t="s">
        <v>21</v>
      </c>
      <c r="M83" t="s">
        <v>42</v>
      </c>
    </row>
    <row r="84" spans="1:13">
      <c r="A84" t="s">
        <v>210</v>
      </c>
      <c r="B84" t="s">
        <v>211</v>
      </c>
      <c r="C84" t="s">
        <v>35</v>
      </c>
      <c r="D84" t="s">
        <v>16</v>
      </c>
      <c r="E84" t="s">
        <v>85</v>
      </c>
      <c r="F84" t="s">
        <v>86</v>
      </c>
      <c r="G84">
        <v>107042</v>
      </c>
      <c r="H84">
        <v>92654</v>
      </c>
      <c r="I84">
        <v>-14388</v>
      </c>
      <c r="J84" t="s">
        <v>19</v>
      </c>
      <c r="K84" t="s">
        <v>67</v>
      </c>
      <c r="L84" t="s">
        <v>21</v>
      </c>
      <c r="M84" t="s">
        <v>42</v>
      </c>
    </row>
    <row r="85" spans="1:13">
      <c r="A85" t="s">
        <v>212</v>
      </c>
      <c r="B85" t="s">
        <v>213</v>
      </c>
      <c r="C85" t="s">
        <v>33</v>
      </c>
      <c r="D85" t="s">
        <v>40</v>
      </c>
      <c r="E85" t="s">
        <v>85</v>
      </c>
      <c r="F85" t="s">
        <v>86</v>
      </c>
      <c r="G85">
        <v>272413</v>
      </c>
      <c r="H85">
        <v>248608</v>
      </c>
      <c r="I85">
        <v>-23805</v>
      </c>
      <c r="J85" t="s">
        <v>54</v>
      </c>
      <c r="K85" t="s">
        <v>29</v>
      </c>
      <c r="L85" t="s">
        <v>49</v>
      </c>
      <c r="M85" t="s">
        <v>42</v>
      </c>
    </row>
    <row r="86" spans="1:13">
      <c r="A86" t="s">
        <v>214</v>
      </c>
      <c r="B86" t="s">
        <v>215</v>
      </c>
      <c r="C86" t="s">
        <v>45</v>
      </c>
      <c r="D86" t="s">
        <v>26</v>
      </c>
      <c r="E86" t="s">
        <v>35</v>
      </c>
      <c r="F86" t="s">
        <v>36</v>
      </c>
      <c r="G86">
        <v>116961</v>
      </c>
      <c r="H86">
        <v>153734</v>
      </c>
      <c r="I86">
        <v>36773</v>
      </c>
      <c r="J86" t="s">
        <v>19</v>
      </c>
      <c r="K86" t="s">
        <v>67</v>
      </c>
      <c r="L86" t="s">
        <v>68</v>
      </c>
      <c r="M86" t="s">
        <v>42</v>
      </c>
    </row>
    <row r="87" spans="1:13">
      <c r="A87" t="s">
        <v>216</v>
      </c>
      <c r="B87" t="s">
        <v>217</v>
      </c>
      <c r="C87" t="s">
        <v>33</v>
      </c>
      <c r="D87" t="s">
        <v>61</v>
      </c>
      <c r="E87" t="s">
        <v>27</v>
      </c>
      <c r="F87" t="s">
        <v>28</v>
      </c>
      <c r="G87">
        <v>464066</v>
      </c>
      <c r="H87">
        <v>458987</v>
      </c>
      <c r="I87">
        <v>-5079</v>
      </c>
      <c r="J87" t="s">
        <v>37</v>
      </c>
      <c r="K87" t="s">
        <v>41</v>
      </c>
      <c r="L87" t="s">
        <v>49</v>
      </c>
      <c r="M87" t="s">
        <v>22</v>
      </c>
    </row>
    <row r="88" spans="1:13">
      <c r="A88" t="s">
        <v>218</v>
      </c>
      <c r="B88" t="s">
        <v>219</v>
      </c>
      <c r="C88" t="s">
        <v>35</v>
      </c>
      <c r="D88" t="s">
        <v>16</v>
      </c>
      <c r="E88" t="s">
        <v>85</v>
      </c>
      <c r="F88" t="s">
        <v>86</v>
      </c>
      <c r="G88">
        <v>314120</v>
      </c>
      <c r="H88">
        <v>431227</v>
      </c>
      <c r="I88">
        <v>117107</v>
      </c>
      <c r="J88" t="s">
        <v>19</v>
      </c>
      <c r="K88" t="s">
        <v>67</v>
      </c>
      <c r="L88" t="s">
        <v>49</v>
      </c>
      <c r="M88" t="s">
        <v>22</v>
      </c>
    </row>
    <row r="89" spans="1:13">
      <c r="A89" t="s">
        <v>220</v>
      </c>
      <c r="B89" t="s">
        <v>221</v>
      </c>
      <c r="C89" t="s">
        <v>64</v>
      </c>
      <c r="D89" t="s">
        <v>16</v>
      </c>
      <c r="E89" t="s">
        <v>35</v>
      </c>
      <c r="F89" t="s">
        <v>36</v>
      </c>
      <c r="G89">
        <v>391299</v>
      </c>
      <c r="H89">
        <v>384817</v>
      </c>
      <c r="I89">
        <v>-6482</v>
      </c>
      <c r="J89" t="s">
        <v>37</v>
      </c>
      <c r="K89" t="s">
        <v>20</v>
      </c>
      <c r="L89" t="s">
        <v>68</v>
      </c>
      <c r="M89" t="s">
        <v>22</v>
      </c>
    </row>
    <row r="90" spans="1:13">
      <c r="A90" t="s">
        <v>222</v>
      </c>
      <c r="B90" t="s">
        <v>223</v>
      </c>
      <c r="C90" t="s">
        <v>15</v>
      </c>
      <c r="D90" t="s">
        <v>40</v>
      </c>
      <c r="E90" t="s">
        <v>27</v>
      </c>
      <c r="F90" t="s">
        <v>28</v>
      </c>
      <c r="G90">
        <v>143743</v>
      </c>
      <c r="H90">
        <v>138941</v>
      </c>
      <c r="I90">
        <v>-4802</v>
      </c>
      <c r="J90" t="s">
        <v>54</v>
      </c>
      <c r="K90" t="s">
        <v>20</v>
      </c>
      <c r="L90" t="s">
        <v>68</v>
      </c>
      <c r="M90" t="s">
        <v>22</v>
      </c>
    </row>
    <row r="91" spans="1:13">
      <c r="A91" t="s">
        <v>224</v>
      </c>
      <c r="B91" t="s">
        <v>225</v>
      </c>
      <c r="C91" t="s">
        <v>45</v>
      </c>
      <c r="D91" t="s">
        <v>26</v>
      </c>
      <c r="E91" t="s">
        <v>85</v>
      </c>
      <c r="F91" t="s">
        <v>86</v>
      </c>
      <c r="G91">
        <v>363559</v>
      </c>
      <c r="H91">
        <v>466247</v>
      </c>
      <c r="I91">
        <v>102688</v>
      </c>
      <c r="J91" t="s">
        <v>19</v>
      </c>
      <c r="K91" t="s">
        <v>67</v>
      </c>
      <c r="L91" t="s">
        <v>49</v>
      </c>
      <c r="M91" t="s">
        <v>42</v>
      </c>
    </row>
    <row r="92" spans="1:13">
      <c r="A92" t="s">
        <v>226</v>
      </c>
      <c r="B92" t="s">
        <v>227</v>
      </c>
      <c r="C92" t="s">
        <v>64</v>
      </c>
      <c r="D92" t="s">
        <v>61</v>
      </c>
      <c r="E92" t="s">
        <v>85</v>
      </c>
      <c r="F92" t="s">
        <v>86</v>
      </c>
      <c r="G92">
        <v>61526</v>
      </c>
      <c r="H92">
        <v>75431</v>
      </c>
      <c r="I92">
        <v>13905</v>
      </c>
      <c r="J92" t="s">
        <v>54</v>
      </c>
      <c r="K92" t="s">
        <v>20</v>
      </c>
      <c r="L92" t="s">
        <v>30</v>
      </c>
      <c r="M92" t="s">
        <v>42</v>
      </c>
    </row>
    <row r="93" spans="1:13">
      <c r="A93" t="s">
        <v>228</v>
      </c>
      <c r="B93" t="s">
        <v>229</v>
      </c>
      <c r="C93" t="s">
        <v>45</v>
      </c>
      <c r="D93" t="s">
        <v>61</v>
      </c>
      <c r="E93" t="s">
        <v>85</v>
      </c>
      <c r="F93" t="s">
        <v>86</v>
      </c>
      <c r="G93">
        <v>447991</v>
      </c>
      <c r="H93">
        <v>321638</v>
      </c>
      <c r="I93">
        <v>-126353</v>
      </c>
      <c r="J93" t="s">
        <v>54</v>
      </c>
      <c r="K93" t="s">
        <v>48</v>
      </c>
      <c r="L93" t="s">
        <v>30</v>
      </c>
      <c r="M93" t="s">
        <v>22</v>
      </c>
    </row>
    <row r="94" spans="1:13">
      <c r="A94" t="s">
        <v>230</v>
      </c>
      <c r="B94" t="s">
        <v>231</v>
      </c>
      <c r="C94" t="s">
        <v>35</v>
      </c>
      <c r="D94" t="s">
        <v>34</v>
      </c>
      <c r="E94" t="s">
        <v>46</v>
      </c>
      <c r="F94" t="s">
        <v>47</v>
      </c>
      <c r="G94">
        <v>153416</v>
      </c>
      <c r="H94">
        <v>115268</v>
      </c>
      <c r="I94">
        <v>-38148</v>
      </c>
      <c r="J94" t="s">
        <v>37</v>
      </c>
      <c r="K94" t="s">
        <v>48</v>
      </c>
      <c r="L94" t="s">
        <v>68</v>
      </c>
      <c r="M94" t="s">
        <v>22</v>
      </c>
    </row>
    <row r="95" spans="1:13">
      <c r="A95" t="s">
        <v>232</v>
      </c>
      <c r="B95" t="s">
        <v>233</v>
      </c>
      <c r="C95" t="s">
        <v>25</v>
      </c>
      <c r="D95" t="s">
        <v>16</v>
      </c>
      <c r="E95" t="s">
        <v>17</v>
      </c>
      <c r="F95" t="s">
        <v>18</v>
      </c>
      <c r="G95">
        <v>87821</v>
      </c>
      <c r="H95">
        <v>114015</v>
      </c>
      <c r="I95">
        <v>26194</v>
      </c>
      <c r="J95" t="s">
        <v>37</v>
      </c>
      <c r="K95" t="s">
        <v>41</v>
      </c>
      <c r="L95" t="s">
        <v>68</v>
      </c>
      <c r="M95" t="s">
        <v>42</v>
      </c>
    </row>
    <row r="96" spans="1:13">
      <c r="A96" t="s">
        <v>234</v>
      </c>
      <c r="B96" t="s">
        <v>235</v>
      </c>
      <c r="C96" t="s">
        <v>64</v>
      </c>
      <c r="D96" t="s">
        <v>26</v>
      </c>
      <c r="E96" t="s">
        <v>17</v>
      </c>
      <c r="F96" t="s">
        <v>18</v>
      </c>
      <c r="G96">
        <v>291392</v>
      </c>
      <c r="H96">
        <v>268677</v>
      </c>
      <c r="I96">
        <v>-22715</v>
      </c>
      <c r="J96" t="s">
        <v>54</v>
      </c>
      <c r="K96" t="s">
        <v>29</v>
      </c>
      <c r="L96" t="s">
        <v>30</v>
      </c>
      <c r="M96" t="s">
        <v>42</v>
      </c>
    </row>
    <row r="97" spans="1:13">
      <c r="A97" t="s">
        <v>236</v>
      </c>
      <c r="B97" t="s">
        <v>237</v>
      </c>
      <c r="C97" t="s">
        <v>33</v>
      </c>
      <c r="D97" t="s">
        <v>40</v>
      </c>
      <c r="E97" t="s">
        <v>27</v>
      </c>
      <c r="F97" t="s">
        <v>28</v>
      </c>
      <c r="G97">
        <v>440968</v>
      </c>
      <c r="H97">
        <v>354737</v>
      </c>
      <c r="I97">
        <v>-86231</v>
      </c>
      <c r="J97" t="s">
        <v>54</v>
      </c>
      <c r="K97" t="s">
        <v>41</v>
      </c>
      <c r="L97" t="s">
        <v>30</v>
      </c>
      <c r="M97" t="s">
        <v>42</v>
      </c>
    </row>
    <row r="98" spans="1:13">
      <c r="A98" t="s">
        <v>238</v>
      </c>
      <c r="B98" t="s">
        <v>239</v>
      </c>
      <c r="C98" t="s">
        <v>64</v>
      </c>
      <c r="D98" t="s">
        <v>40</v>
      </c>
      <c r="E98" t="s">
        <v>46</v>
      </c>
      <c r="F98" t="s">
        <v>47</v>
      </c>
      <c r="G98">
        <v>73071</v>
      </c>
      <c r="H98">
        <v>85452</v>
      </c>
      <c r="I98">
        <v>12381</v>
      </c>
      <c r="J98" t="s">
        <v>19</v>
      </c>
      <c r="K98" t="s">
        <v>48</v>
      </c>
      <c r="L98" t="s">
        <v>30</v>
      </c>
      <c r="M98" t="s">
        <v>22</v>
      </c>
    </row>
    <row r="99" spans="1:13">
      <c r="A99" t="s">
        <v>240</v>
      </c>
      <c r="B99" t="s">
        <v>241</v>
      </c>
      <c r="C99" t="s">
        <v>35</v>
      </c>
      <c r="D99" t="s">
        <v>34</v>
      </c>
      <c r="E99" t="s">
        <v>27</v>
      </c>
      <c r="F99" t="s">
        <v>28</v>
      </c>
      <c r="G99">
        <v>296860</v>
      </c>
      <c r="H99">
        <v>356934</v>
      </c>
      <c r="I99">
        <v>60074</v>
      </c>
      <c r="J99" t="s">
        <v>19</v>
      </c>
      <c r="K99" t="s">
        <v>29</v>
      </c>
      <c r="L99" t="s">
        <v>30</v>
      </c>
      <c r="M99" t="s">
        <v>22</v>
      </c>
    </row>
    <row r="100" spans="1:13">
      <c r="A100" t="s">
        <v>242</v>
      </c>
      <c r="B100" t="s">
        <v>243</v>
      </c>
      <c r="C100" t="s">
        <v>15</v>
      </c>
      <c r="D100" t="s">
        <v>61</v>
      </c>
      <c r="E100" t="s">
        <v>46</v>
      </c>
      <c r="F100" t="s">
        <v>47</v>
      </c>
      <c r="G100">
        <v>302652</v>
      </c>
      <c r="H100">
        <v>408641</v>
      </c>
      <c r="I100">
        <v>105989</v>
      </c>
      <c r="J100" t="s">
        <v>54</v>
      </c>
      <c r="K100" t="s">
        <v>41</v>
      </c>
      <c r="L100" t="s">
        <v>30</v>
      </c>
      <c r="M100" t="s">
        <v>42</v>
      </c>
    </row>
    <row r="101" spans="1:13">
      <c r="A101" t="s">
        <v>244</v>
      </c>
      <c r="B101" t="s">
        <v>245</v>
      </c>
      <c r="C101" t="s">
        <v>45</v>
      </c>
      <c r="D101" t="s">
        <v>61</v>
      </c>
      <c r="E101" t="s">
        <v>27</v>
      </c>
      <c r="F101" t="s">
        <v>28</v>
      </c>
      <c r="G101">
        <v>144589</v>
      </c>
      <c r="H101">
        <v>137854</v>
      </c>
      <c r="I101">
        <v>-6735</v>
      </c>
      <c r="J101" t="s">
        <v>19</v>
      </c>
      <c r="K101" t="s">
        <v>67</v>
      </c>
      <c r="L101" t="s">
        <v>30</v>
      </c>
      <c r="M101" t="s">
        <v>42</v>
      </c>
    </row>
    <row r="102" spans="1:13">
      <c r="A102" t="s">
        <v>246</v>
      </c>
      <c r="B102" t="s">
        <v>247</v>
      </c>
      <c r="C102" t="s">
        <v>35</v>
      </c>
      <c r="D102" t="s">
        <v>26</v>
      </c>
      <c r="E102" t="s">
        <v>27</v>
      </c>
      <c r="F102" t="s">
        <v>28</v>
      </c>
      <c r="G102">
        <v>76743</v>
      </c>
      <c r="H102">
        <v>82381</v>
      </c>
      <c r="I102">
        <v>5638</v>
      </c>
      <c r="J102" t="s">
        <v>37</v>
      </c>
      <c r="K102" t="s">
        <v>41</v>
      </c>
      <c r="L102" t="s">
        <v>49</v>
      </c>
      <c r="M102" t="s">
        <v>42</v>
      </c>
    </row>
    <row r="103" spans="1:13">
      <c r="A103" t="s">
        <v>248</v>
      </c>
      <c r="B103" t="s">
        <v>249</v>
      </c>
      <c r="C103" t="s">
        <v>45</v>
      </c>
      <c r="D103" t="s">
        <v>61</v>
      </c>
      <c r="E103" t="s">
        <v>71</v>
      </c>
      <c r="F103" t="s">
        <v>72</v>
      </c>
      <c r="G103">
        <v>242219</v>
      </c>
      <c r="H103">
        <v>287757</v>
      </c>
      <c r="I103">
        <v>45538</v>
      </c>
      <c r="J103" t="s">
        <v>19</v>
      </c>
      <c r="K103" t="s">
        <v>41</v>
      </c>
      <c r="L103" t="s">
        <v>30</v>
      </c>
      <c r="M103" t="s">
        <v>42</v>
      </c>
    </row>
    <row r="104" spans="1:13">
      <c r="A104" t="s">
        <v>250</v>
      </c>
      <c r="B104" t="s">
        <v>251</v>
      </c>
      <c r="C104" t="s">
        <v>25</v>
      </c>
      <c r="D104" t="s">
        <v>40</v>
      </c>
      <c r="E104" t="s">
        <v>27</v>
      </c>
      <c r="F104" t="s">
        <v>28</v>
      </c>
      <c r="G104">
        <v>324379</v>
      </c>
      <c r="H104">
        <v>324823</v>
      </c>
      <c r="I104">
        <v>444</v>
      </c>
      <c r="J104" t="s">
        <v>19</v>
      </c>
      <c r="K104" t="s">
        <v>48</v>
      </c>
      <c r="L104" t="s">
        <v>21</v>
      </c>
      <c r="M104" t="s">
        <v>22</v>
      </c>
    </row>
    <row r="105" spans="1:13">
      <c r="A105" t="s">
        <v>252</v>
      </c>
      <c r="B105" t="s">
        <v>253</v>
      </c>
      <c r="C105" t="s">
        <v>15</v>
      </c>
      <c r="D105" t="s">
        <v>34</v>
      </c>
      <c r="E105" t="s">
        <v>46</v>
      </c>
      <c r="F105" t="s">
        <v>47</v>
      </c>
      <c r="G105">
        <v>302114</v>
      </c>
      <c r="H105">
        <v>382436</v>
      </c>
      <c r="I105">
        <v>80322</v>
      </c>
      <c r="J105" t="s">
        <v>37</v>
      </c>
      <c r="K105" t="s">
        <v>20</v>
      </c>
      <c r="L105" t="s">
        <v>49</v>
      </c>
      <c r="M105" t="s">
        <v>42</v>
      </c>
    </row>
    <row r="106" spans="1:13">
      <c r="A106" t="s">
        <v>254</v>
      </c>
      <c r="B106" t="s">
        <v>255</v>
      </c>
      <c r="C106" t="s">
        <v>33</v>
      </c>
      <c r="D106" t="s">
        <v>26</v>
      </c>
      <c r="E106" t="s">
        <v>35</v>
      </c>
      <c r="F106" t="s">
        <v>36</v>
      </c>
      <c r="G106">
        <v>204687</v>
      </c>
      <c r="H106">
        <v>281747</v>
      </c>
      <c r="I106">
        <v>77060</v>
      </c>
      <c r="J106" t="s">
        <v>54</v>
      </c>
      <c r="K106" t="s">
        <v>41</v>
      </c>
      <c r="L106" t="s">
        <v>68</v>
      </c>
      <c r="M106" t="s">
        <v>22</v>
      </c>
    </row>
    <row r="107" spans="1:13">
      <c r="A107" t="s">
        <v>256</v>
      </c>
      <c r="B107" t="s">
        <v>257</v>
      </c>
      <c r="C107" t="s">
        <v>25</v>
      </c>
      <c r="D107" t="s">
        <v>40</v>
      </c>
      <c r="E107" t="s">
        <v>35</v>
      </c>
      <c r="F107" t="s">
        <v>36</v>
      </c>
      <c r="G107">
        <v>445936</v>
      </c>
      <c r="H107">
        <v>320849</v>
      </c>
      <c r="I107">
        <v>-125087</v>
      </c>
      <c r="J107" t="s">
        <v>19</v>
      </c>
      <c r="K107" t="s">
        <v>20</v>
      </c>
      <c r="L107" t="s">
        <v>21</v>
      </c>
      <c r="M107" t="s">
        <v>22</v>
      </c>
    </row>
    <row r="108" spans="1:13">
      <c r="A108" t="s">
        <v>258</v>
      </c>
      <c r="B108" t="s">
        <v>259</v>
      </c>
      <c r="C108" t="s">
        <v>45</v>
      </c>
      <c r="D108" t="s">
        <v>26</v>
      </c>
      <c r="E108" t="s">
        <v>71</v>
      </c>
      <c r="F108" t="s">
        <v>72</v>
      </c>
      <c r="G108">
        <v>89954</v>
      </c>
      <c r="H108">
        <v>105483</v>
      </c>
      <c r="I108">
        <v>15529</v>
      </c>
      <c r="J108" t="s">
        <v>19</v>
      </c>
      <c r="K108" t="s">
        <v>67</v>
      </c>
      <c r="L108" t="s">
        <v>30</v>
      </c>
      <c r="M108" t="s">
        <v>42</v>
      </c>
    </row>
    <row r="109" spans="1:13">
      <c r="A109" t="s">
        <v>260</v>
      </c>
      <c r="B109" t="s">
        <v>261</v>
      </c>
      <c r="C109" t="s">
        <v>25</v>
      </c>
      <c r="D109" t="s">
        <v>26</v>
      </c>
      <c r="E109" t="s">
        <v>46</v>
      </c>
      <c r="F109" t="s">
        <v>47</v>
      </c>
      <c r="G109">
        <v>442042</v>
      </c>
      <c r="H109">
        <v>491200</v>
      </c>
      <c r="I109">
        <v>49158</v>
      </c>
      <c r="J109" t="s">
        <v>19</v>
      </c>
      <c r="K109" t="s">
        <v>20</v>
      </c>
      <c r="L109" t="s">
        <v>68</v>
      </c>
      <c r="M109" t="s">
        <v>22</v>
      </c>
    </row>
    <row r="110" spans="1:13">
      <c r="A110" t="s">
        <v>262</v>
      </c>
      <c r="B110" t="s">
        <v>196</v>
      </c>
      <c r="C110" t="s">
        <v>33</v>
      </c>
      <c r="D110" t="s">
        <v>34</v>
      </c>
      <c r="E110" t="s">
        <v>17</v>
      </c>
      <c r="F110" t="s">
        <v>18</v>
      </c>
      <c r="G110">
        <v>111146</v>
      </c>
      <c r="H110">
        <v>123418</v>
      </c>
      <c r="I110">
        <v>12272</v>
      </c>
      <c r="J110" t="s">
        <v>37</v>
      </c>
      <c r="K110" t="s">
        <v>67</v>
      </c>
      <c r="L110" t="s">
        <v>68</v>
      </c>
      <c r="M110" t="s">
        <v>22</v>
      </c>
    </row>
    <row r="111" spans="1:13">
      <c r="A111" t="s">
        <v>263</v>
      </c>
      <c r="B111" t="s">
        <v>188</v>
      </c>
      <c r="C111" t="s">
        <v>15</v>
      </c>
      <c r="D111" t="s">
        <v>61</v>
      </c>
      <c r="E111" t="s">
        <v>17</v>
      </c>
      <c r="F111" t="s">
        <v>18</v>
      </c>
      <c r="G111">
        <v>498802</v>
      </c>
      <c r="H111">
        <v>496053</v>
      </c>
      <c r="I111">
        <v>-2749</v>
      </c>
      <c r="J111" t="s">
        <v>54</v>
      </c>
      <c r="K111" t="s">
        <v>67</v>
      </c>
      <c r="L111" t="s">
        <v>68</v>
      </c>
      <c r="M111" t="s">
        <v>42</v>
      </c>
    </row>
    <row r="112" spans="1:13">
      <c r="A112" t="s">
        <v>264</v>
      </c>
      <c r="B112" t="s">
        <v>265</v>
      </c>
      <c r="C112" t="s">
        <v>64</v>
      </c>
      <c r="D112" t="s">
        <v>16</v>
      </c>
      <c r="E112" t="s">
        <v>85</v>
      </c>
      <c r="F112" t="s">
        <v>86</v>
      </c>
      <c r="G112">
        <v>311045</v>
      </c>
      <c r="H112">
        <v>237245</v>
      </c>
      <c r="I112">
        <v>-73800</v>
      </c>
      <c r="J112" t="s">
        <v>54</v>
      </c>
      <c r="K112" t="s">
        <v>67</v>
      </c>
      <c r="L112" t="s">
        <v>68</v>
      </c>
      <c r="M112" t="s">
        <v>42</v>
      </c>
    </row>
    <row r="113" spans="1:13">
      <c r="A113" t="s">
        <v>266</v>
      </c>
      <c r="B113" t="s">
        <v>267</v>
      </c>
      <c r="C113" t="s">
        <v>25</v>
      </c>
      <c r="D113" t="s">
        <v>26</v>
      </c>
      <c r="E113" t="s">
        <v>85</v>
      </c>
      <c r="F113" t="s">
        <v>86</v>
      </c>
      <c r="G113">
        <v>190491</v>
      </c>
      <c r="H113">
        <v>236538</v>
      </c>
      <c r="I113">
        <v>46047</v>
      </c>
      <c r="J113" t="s">
        <v>19</v>
      </c>
      <c r="K113" t="s">
        <v>67</v>
      </c>
      <c r="L113" t="s">
        <v>30</v>
      </c>
      <c r="M113" t="s">
        <v>42</v>
      </c>
    </row>
    <row r="114" spans="1:13">
      <c r="A114" t="s">
        <v>268</v>
      </c>
      <c r="B114" t="s">
        <v>249</v>
      </c>
      <c r="C114" t="s">
        <v>35</v>
      </c>
      <c r="D114" t="s">
        <v>61</v>
      </c>
      <c r="E114" t="s">
        <v>17</v>
      </c>
      <c r="F114" t="s">
        <v>18</v>
      </c>
      <c r="G114">
        <v>271899</v>
      </c>
      <c r="H114">
        <v>263070</v>
      </c>
      <c r="I114">
        <v>-8829</v>
      </c>
      <c r="J114" t="s">
        <v>19</v>
      </c>
      <c r="K114" t="s">
        <v>48</v>
      </c>
      <c r="L114" t="s">
        <v>49</v>
      </c>
      <c r="M114" t="s">
        <v>42</v>
      </c>
    </row>
    <row r="115" spans="1:13">
      <c r="A115" t="s">
        <v>269</v>
      </c>
      <c r="B115" t="s">
        <v>270</v>
      </c>
      <c r="C115" t="s">
        <v>33</v>
      </c>
      <c r="D115" t="s">
        <v>34</v>
      </c>
      <c r="E115" t="s">
        <v>27</v>
      </c>
      <c r="F115" t="s">
        <v>28</v>
      </c>
      <c r="G115">
        <v>333698</v>
      </c>
      <c r="H115">
        <v>357506</v>
      </c>
      <c r="I115">
        <v>23808</v>
      </c>
      <c r="J115" t="s">
        <v>54</v>
      </c>
      <c r="K115" t="s">
        <v>48</v>
      </c>
      <c r="L115" t="s">
        <v>30</v>
      </c>
      <c r="M115" t="s">
        <v>22</v>
      </c>
    </row>
    <row r="116" spans="1:13">
      <c r="A116" t="s">
        <v>271</v>
      </c>
      <c r="B116" t="s">
        <v>272</v>
      </c>
      <c r="C116" t="s">
        <v>35</v>
      </c>
      <c r="D116" t="s">
        <v>26</v>
      </c>
      <c r="E116" t="s">
        <v>35</v>
      </c>
      <c r="F116" t="s">
        <v>36</v>
      </c>
      <c r="G116">
        <v>418929</v>
      </c>
      <c r="H116">
        <v>500725</v>
      </c>
      <c r="I116">
        <v>81796</v>
      </c>
      <c r="J116" t="s">
        <v>37</v>
      </c>
      <c r="K116" t="s">
        <v>48</v>
      </c>
      <c r="L116" t="s">
        <v>49</v>
      </c>
      <c r="M116" t="s">
        <v>42</v>
      </c>
    </row>
    <row r="117" spans="1:13">
      <c r="A117" t="s">
        <v>273</v>
      </c>
      <c r="B117" t="s">
        <v>245</v>
      </c>
      <c r="C117" t="s">
        <v>45</v>
      </c>
      <c r="D117" t="s">
        <v>16</v>
      </c>
      <c r="E117" t="s">
        <v>85</v>
      </c>
      <c r="F117" t="s">
        <v>86</v>
      </c>
      <c r="G117">
        <v>334071</v>
      </c>
      <c r="H117">
        <v>311440</v>
      </c>
      <c r="I117">
        <v>-22631</v>
      </c>
      <c r="J117" t="s">
        <v>19</v>
      </c>
      <c r="K117" t="s">
        <v>67</v>
      </c>
      <c r="L117" t="s">
        <v>21</v>
      </c>
      <c r="M117" t="s">
        <v>42</v>
      </c>
    </row>
    <row r="118" spans="1:13">
      <c r="A118" t="s">
        <v>274</v>
      </c>
      <c r="B118" t="s">
        <v>178</v>
      </c>
      <c r="C118" t="s">
        <v>25</v>
      </c>
      <c r="D118" t="s">
        <v>16</v>
      </c>
      <c r="E118" t="s">
        <v>27</v>
      </c>
      <c r="F118" t="s">
        <v>28</v>
      </c>
      <c r="G118">
        <v>229874</v>
      </c>
      <c r="H118">
        <v>210397</v>
      </c>
      <c r="I118">
        <v>-19477</v>
      </c>
      <c r="J118" t="s">
        <v>19</v>
      </c>
      <c r="K118" t="s">
        <v>29</v>
      </c>
      <c r="L118" t="s">
        <v>30</v>
      </c>
      <c r="M118" t="s">
        <v>22</v>
      </c>
    </row>
    <row r="119" spans="1:13">
      <c r="A119" t="s">
        <v>275</v>
      </c>
      <c r="B119" t="s">
        <v>276</v>
      </c>
      <c r="C119" t="s">
        <v>15</v>
      </c>
      <c r="D119" t="s">
        <v>26</v>
      </c>
      <c r="E119" t="s">
        <v>85</v>
      </c>
      <c r="F119" t="s">
        <v>86</v>
      </c>
      <c r="G119">
        <v>121377</v>
      </c>
      <c r="H119">
        <v>148361</v>
      </c>
      <c r="I119">
        <v>26984</v>
      </c>
      <c r="J119" t="s">
        <v>54</v>
      </c>
      <c r="K119" t="s">
        <v>48</v>
      </c>
      <c r="L119" t="s">
        <v>68</v>
      </c>
      <c r="M119" t="s">
        <v>42</v>
      </c>
    </row>
    <row r="120" spans="1:13">
      <c r="A120" t="s">
        <v>277</v>
      </c>
      <c r="B120" t="s">
        <v>206</v>
      </c>
      <c r="C120" t="s">
        <v>33</v>
      </c>
      <c r="D120" t="s">
        <v>26</v>
      </c>
      <c r="E120" t="s">
        <v>35</v>
      </c>
      <c r="F120" t="s">
        <v>36</v>
      </c>
      <c r="G120">
        <v>281906</v>
      </c>
      <c r="H120">
        <v>381849</v>
      </c>
      <c r="I120">
        <v>99943</v>
      </c>
      <c r="J120" t="s">
        <v>54</v>
      </c>
      <c r="K120" t="s">
        <v>48</v>
      </c>
      <c r="L120" t="s">
        <v>68</v>
      </c>
      <c r="M120" t="s">
        <v>42</v>
      </c>
    </row>
    <row r="121" spans="1:13">
      <c r="A121" t="s">
        <v>278</v>
      </c>
      <c r="B121" t="s">
        <v>279</v>
      </c>
      <c r="C121" t="s">
        <v>25</v>
      </c>
      <c r="D121" t="s">
        <v>16</v>
      </c>
      <c r="E121" t="s">
        <v>17</v>
      </c>
      <c r="F121" t="s">
        <v>18</v>
      </c>
      <c r="G121">
        <v>152094</v>
      </c>
      <c r="H121">
        <v>177239</v>
      </c>
      <c r="I121">
        <v>25145</v>
      </c>
      <c r="J121" t="s">
        <v>54</v>
      </c>
      <c r="K121" t="s">
        <v>20</v>
      </c>
      <c r="L121" t="s">
        <v>21</v>
      </c>
      <c r="M121" t="s">
        <v>22</v>
      </c>
    </row>
    <row r="122" spans="1:13">
      <c r="A122" t="s">
        <v>280</v>
      </c>
      <c r="B122" t="s">
        <v>281</v>
      </c>
      <c r="C122" t="s">
        <v>25</v>
      </c>
      <c r="D122" t="s">
        <v>61</v>
      </c>
      <c r="E122" t="s">
        <v>35</v>
      </c>
      <c r="F122" t="s">
        <v>36</v>
      </c>
      <c r="G122">
        <v>355097</v>
      </c>
      <c r="H122">
        <v>489143</v>
      </c>
      <c r="I122">
        <v>134046</v>
      </c>
      <c r="J122" t="s">
        <v>19</v>
      </c>
      <c r="K122" t="s">
        <v>48</v>
      </c>
      <c r="L122" t="s">
        <v>49</v>
      </c>
      <c r="M122" t="s">
        <v>22</v>
      </c>
    </row>
    <row r="123" spans="1:13">
      <c r="A123" t="s">
        <v>282</v>
      </c>
      <c r="B123" t="s">
        <v>283</v>
      </c>
      <c r="C123" t="s">
        <v>33</v>
      </c>
      <c r="D123" t="s">
        <v>26</v>
      </c>
      <c r="E123" t="s">
        <v>35</v>
      </c>
      <c r="F123" t="s">
        <v>36</v>
      </c>
      <c r="G123">
        <v>313213</v>
      </c>
      <c r="H123">
        <v>370963</v>
      </c>
      <c r="I123">
        <v>57750</v>
      </c>
      <c r="J123" t="s">
        <v>37</v>
      </c>
      <c r="K123" t="s">
        <v>48</v>
      </c>
      <c r="L123" t="s">
        <v>30</v>
      </c>
      <c r="M123" t="s">
        <v>22</v>
      </c>
    </row>
    <row r="124" spans="1:13">
      <c r="A124" t="s">
        <v>284</v>
      </c>
      <c r="B124" t="s">
        <v>285</v>
      </c>
      <c r="C124" t="s">
        <v>33</v>
      </c>
      <c r="D124" t="s">
        <v>26</v>
      </c>
      <c r="E124" t="s">
        <v>27</v>
      </c>
      <c r="F124" t="s">
        <v>28</v>
      </c>
      <c r="G124">
        <v>281345</v>
      </c>
      <c r="H124">
        <v>242138</v>
      </c>
      <c r="I124">
        <v>-39207</v>
      </c>
      <c r="J124" t="s">
        <v>19</v>
      </c>
      <c r="K124" t="s">
        <v>20</v>
      </c>
      <c r="L124" t="s">
        <v>68</v>
      </c>
      <c r="M124" t="s">
        <v>22</v>
      </c>
    </row>
    <row r="125" spans="1:13">
      <c r="A125" t="s">
        <v>286</v>
      </c>
      <c r="B125" t="s">
        <v>287</v>
      </c>
      <c r="C125" t="s">
        <v>45</v>
      </c>
      <c r="D125" t="s">
        <v>34</v>
      </c>
      <c r="E125" t="s">
        <v>27</v>
      </c>
      <c r="F125" t="s">
        <v>28</v>
      </c>
      <c r="G125">
        <v>261835</v>
      </c>
      <c r="H125">
        <v>205006</v>
      </c>
      <c r="I125">
        <v>-56829</v>
      </c>
      <c r="J125" t="s">
        <v>19</v>
      </c>
      <c r="K125" t="s">
        <v>20</v>
      </c>
      <c r="L125" t="s">
        <v>30</v>
      </c>
      <c r="M125" t="s">
        <v>42</v>
      </c>
    </row>
    <row r="126" spans="1:13">
      <c r="A126" t="s">
        <v>288</v>
      </c>
      <c r="B126" t="s">
        <v>289</v>
      </c>
      <c r="C126" t="s">
        <v>15</v>
      </c>
      <c r="D126" t="s">
        <v>34</v>
      </c>
      <c r="E126" t="s">
        <v>71</v>
      </c>
      <c r="F126" t="s">
        <v>72</v>
      </c>
      <c r="G126">
        <v>373468</v>
      </c>
      <c r="H126">
        <v>482586</v>
      </c>
      <c r="I126">
        <v>109118</v>
      </c>
      <c r="J126" t="s">
        <v>37</v>
      </c>
      <c r="K126" t="s">
        <v>20</v>
      </c>
      <c r="L126" t="s">
        <v>30</v>
      </c>
      <c r="M126" t="s">
        <v>22</v>
      </c>
    </row>
    <row r="127" spans="1:13">
      <c r="A127" t="s">
        <v>290</v>
      </c>
      <c r="B127" t="s">
        <v>291</v>
      </c>
      <c r="C127" t="s">
        <v>45</v>
      </c>
      <c r="D127" t="s">
        <v>26</v>
      </c>
      <c r="E127" t="s">
        <v>71</v>
      </c>
      <c r="F127" t="s">
        <v>72</v>
      </c>
      <c r="G127">
        <v>92298</v>
      </c>
      <c r="H127">
        <v>121952</v>
      </c>
      <c r="I127">
        <v>29654</v>
      </c>
      <c r="J127" t="s">
        <v>54</v>
      </c>
      <c r="K127" t="s">
        <v>67</v>
      </c>
      <c r="L127" t="s">
        <v>68</v>
      </c>
      <c r="M127" t="s">
        <v>22</v>
      </c>
    </row>
    <row r="128" spans="1:13">
      <c r="A128" t="s">
        <v>292</v>
      </c>
      <c r="B128" t="s">
        <v>293</v>
      </c>
      <c r="C128" t="s">
        <v>25</v>
      </c>
      <c r="D128" t="s">
        <v>61</v>
      </c>
      <c r="E128" t="s">
        <v>46</v>
      </c>
      <c r="F128" t="s">
        <v>47</v>
      </c>
      <c r="G128">
        <v>378063</v>
      </c>
      <c r="H128">
        <v>412256</v>
      </c>
      <c r="I128">
        <v>34193</v>
      </c>
      <c r="J128" t="s">
        <v>19</v>
      </c>
      <c r="K128" t="s">
        <v>48</v>
      </c>
      <c r="L128" t="s">
        <v>21</v>
      </c>
      <c r="M128" t="s">
        <v>22</v>
      </c>
    </row>
    <row r="129" spans="1:13">
      <c r="A129" t="s">
        <v>294</v>
      </c>
      <c r="B129" t="s">
        <v>295</v>
      </c>
      <c r="C129" t="s">
        <v>64</v>
      </c>
      <c r="D129" t="s">
        <v>16</v>
      </c>
      <c r="E129" t="s">
        <v>35</v>
      </c>
      <c r="F129" t="s">
        <v>36</v>
      </c>
      <c r="G129">
        <v>174935</v>
      </c>
      <c r="H129">
        <v>123375</v>
      </c>
      <c r="I129">
        <v>-51560</v>
      </c>
      <c r="J129" t="s">
        <v>54</v>
      </c>
      <c r="K129" t="s">
        <v>29</v>
      </c>
      <c r="L129" t="s">
        <v>68</v>
      </c>
      <c r="M129" t="s">
        <v>22</v>
      </c>
    </row>
    <row r="130" spans="1:13">
      <c r="A130" t="s">
        <v>296</v>
      </c>
      <c r="B130" t="s">
        <v>297</v>
      </c>
      <c r="C130" t="s">
        <v>35</v>
      </c>
      <c r="D130" t="s">
        <v>34</v>
      </c>
      <c r="E130" t="s">
        <v>85</v>
      </c>
      <c r="F130" t="s">
        <v>86</v>
      </c>
      <c r="G130">
        <v>134932</v>
      </c>
      <c r="H130">
        <v>128693</v>
      </c>
      <c r="I130">
        <v>-6239</v>
      </c>
      <c r="J130" t="s">
        <v>54</v>
      </c>
      <c r="K130" t="s">
        <v>41</v>
      </c>
      <c r="L130" t="s">
        <v>68</v>
      </c>
      <c r="M130" t="s">
        <v>22</v>
      </c>
    </row>
    <row r="131" spans="1:13">
      <c r="A131" t="s">
        <v>298</v>
      </c>
      <c r="B131" t="s">
        <v>176</v>
      </c>
      <c r="C131" t="s">
        <v>15</v>
      </c>
      <c r="D131" t="s">
        <v>61</v>
      </c>
      <c r="E131" t="s">
        <v>71</v>
      </c>
      <c r="F131" t="s">
        <v>72</v>
      </c>
      <c r="G131">
        <v>497005</v>
      </c>
      <c r="H131">
        <v>528987</v>
      </c>
      <c r="I131">
        <v>31982</v>
      </c>
      <c r="J131" t="s">
        <v>54</v>
      </c>
      <c r="K131" t="s">
        <v>67</v>
      </c>
      <c r="L131" t="s">
        <v>68</v>
      </c>
      <c r="M131" t="s">
        <v>42</v>
      </c>
    </row>
    <row r="132" spans="1:13">
      <c r="A132" t="s">
        <v>299</v>
      </c>
      <c r="B132" t="s">
        <v>300</v>
      </c>
      <c r="C132" t="s">
        <v>33</v>
      </c>
      <c r="D132" t="s">
        <v>61</v>
      </c>
      <c r="E132" t="s">
        <v>17</v>
      </c>
      <c r="F132" t="s">
        <v>18</v>
      </c>
      <c r="G132">
        <v>459656</v>
      </c>
      <c r="H132">
        <v>551325</v>
      </c>
      <c r="I132">
        <v>91669</v>
      </c>
      <c r="J132" t="s">
        <v>37</v>
      </c>
      <c r="K132" t="s">
        <v>67</v>
      </c>
      <c r="L132" t="s">
        <v>49</v>
      </c>
      <c r="M132" t="s">
        <v>22</v>
      </c>
    </row>
    <row r="133" spans="1:13">
      <c r="A133" t="s">
        <v>301</v>
      </c>
      <c r="B133" t="s">
        <v>302</v>
      </c>
      <c r="C133" t="s">
        <v>33</v>
      </c>
      <c r="D133" t="s">
        <v>40</v>
      </c>
      <c r="E133" t="s">
        <v>71</v>
      </c>
      <c r="F133" t="s">
        <v>72</v>
      </c>
      <c r="G133">
        <v>90743</v>
      </c>
      <c r="H133">
        <v>75552</v>
      </c>
      <c r="I133">
        <v>-15191</v>
      </c>
      <c r="J133" t="s">
        <v>19</v>
      </c>
      <c r="K133" t="s">
        <v>48</v>
      </c>
      <c r="L133" t="s">
        <v>49</v>
      </c>
      <c r="M133" t="s">
        <v>22</v>
      </c>
    </row>
    <row r="134" spans="1:13">
      <c r="A134" t="s">
        <v>303</v>
      </c>
      <c r="B134" t="s">
        <v>304</v>
      </c>
      <c r="C134" t="s">
        <v>64</v>
      </c>
      <c r="D134" t="s">
        <v>61</v>
      </c>
      <c r="E134" t="s">
        <v>46</v>
      </c>
      <c r="F134" t="s">
        <v>47</v>
      </c>
      <c r="G134">
        <v>233842</v>
      </c>
      <c r="H134">
        <v>304703</v>
      </c>
      <c r="I134">
        <v>70861</v>
      </c>
      <c r="J134" t="s">
        <v>37</v>
      </c>
      <c r="K134" t="s">
        <v>48</v>
      </c>
      <c r="L134" t="s">
        <v>30</v>
      </c>
      <c r="M134" t="s">
        <v>42</v>
      </c>
    </row>
    <row r="135" spans="1:13">
      <c r="A135" t="s">
        <v>305</v>
      </c>
      <c r="B135" t="s">
        <v>306</v>
      </c>
      <c r="C135" t="s">
        <v>25</v>
      </c>
      <c r="D135" t="s">
        <v>40</v>
      </c>
      <c r="E135" t="s">
        <v>27</v>
      </c>
      <c r="F135" t="s">
        <v>28</v>
      </c>
      <c r="G135">
        <v>188083</v>
      </c>
      <c r="H135">
        <v>183720</v>
      </c>
      <c r="I135">
        <v>-4363</v>
      </c>
      <c r="J135" t="s">
        <v>37</v>
      </c>
      <c r="K135" t="s">
        <v>20</v>
      </c>
      <c r="L135" t="s">
        <v>30</v>
      </c>
      <c r="M135" t="s">
        <v>42</v>
      </c>
    </row>
    <row r="136" spans="1:13">
      <c r="A136" t="s">
        <v>307</v>
      </c>
      <c r="B136" t="s">
        <v>308</v>
      </c>
      <c r="C136" t="s">
        <v>64</v>
      </c>
      <c r="D136" t="s">
        <v>40</v>
      </c>
      <c r="E136" t="s">
        <v>46</v>
      </c>
      <c r="F136" t="s">
        <v>47</v>
      </c>
      <c r="G136">
        <v>383326</v>
      </c>
      <c r="H136">
        <v>421287</v>
      </c>
      <c r="I136">
        <v>37961</v>
      </c>
      <c r="J136" t="s">
        <v>54</v>
      </c>
      <c r="K136" t="s">
        <v>29</v>
      </c>
      <c r="L136" t="s">
        <v>30</v>
      </c>
      <c r="M136" t="s">
        <v>42</v>
      </c>
    </row>
    <row r="137" spans="1:13">
      <c r="A137" t="s">
        <v>309</v>
      </c>
      <c r="B137" t="s">
        <v>310</v>
      </c>
      <c r="C137" t="s">
        <v>35</v>
      </c>
      <c r="D137" t="s">
        <v>40</v>
      </c>
      <c r="E137" t="s">
        <v>27</v>
      </c>
      <c r="F137" t="s">
        <v>28</v>
      </c>
      <c r="G137">
        <v>159494</v>
      </c>
      <c r="H137">
        <v>141715</v>
      </c>
      <c r="I137">
        <v>-17779</v>
      </c>
      <c r="J137" t="s">
        <v>19</v>
      </c>
      <c r="K137" t="s">
        <v>29</v>
      </c>
      <c r="L137" t="s">
        <v>21</v>
      </c>
      <c r="M137" t="s">
        <v>22</v>
      </c>
    </row>
    <row r="138" spans="1:13">
      <c r="A138" t="s">
        <v>311</v>
      </c>
      <c r="B138" t="s">
        <v>312</v>
      </c>
      <c r="C138" t="s">
        <v>35</v>
      </c>
      <c r="D138" t="s">
        <v>26</v>
      </c>
      <c r="E138" t="s">
        <v>35</v>
      </c>
      <c r="F138" t="s">
        <v>36</v>
      </c>
      <c r="G138">
        <v>245282</v>
      </c>
      <c r="H138">
        <v>195979</v>
      </c>
      <c r="I138">
        <v>-49303</v>
      </c>
      <c r="J138" t="s">
        <v>19</v>
      </c>
      <c r="K138" t="s">
        <v>20</v>
      </c>
      <c r="L138" t="s">
        <v>49</v>
      </c>
      <c r="M138" t="s">
        <v>22</v>
      </c>
    </row>
    <row r="139" spans="1:13">
      <c r="A139" t="s">
        <v>313</v>
      </c>
      <c r="B139" t="s">
        <v>314</v>
      </c>
      <c r="C139" t="s">
        <v>15</v>
      </c>
      <c r="D139" t="s">
        <v>26</v>
      </c>
      <c r="E139" t="s">
        <v>46</v>
      </c>
      <c r="F139" t="s">
        <v>47</v>
      </c>
      <c r="G139">
        <v>469231</v>
      </c>
      <c r="H139">
        <v>383298</v>
      </c>
      <c r="I139">
        <v>-85933</v>
      </c>
      <c r="J139" t="s">
        <v>37</v>
      </c>
      <c r="K139" t="s">
        <v>41</v>
      </c>
      <c r="L139" t="s">
        <v>30</v>
      </c>
      <c r="M139" t="s">
        <v>22</v>
      </c>
    </row>
    <row r="140" spans="1:13">
      <c r="A140" t="s">
        <v>315</v>
      </c>
      <c r="B140" t="s">
        <v>316</v>
      </c>
      <c r="C140" t="s">
        <v>45</v>
      </c>
      <c r="D140" t="s">
        <v>34</v>
      </c>
      <c r="E140" t="s">
        <v>17</v>
      </c>
      <c r="F140" t="s">
        <v>18</v>
      </c>
      <c r="G140">
        <v>490328</v>
      </c>
      <c r="H140">
        <v>531616</v>
      </c>
      <c r="I140">
        <v>41288</v>
      </c>
      <c r="J140" t="s">
        <v>54</v>
      </c>
      <c r="K140" t="s">
        <v>29</v>
      </c>
      <c r="L140" t="s">
        <v>21</v>
      </c>
      <c r="M140" t="s">
        <v>22</v>
      </c>
    </row>
    <row r="141" spans="1:13">
      <c r="A141" t="s">
        <v>317</v>
      </c>
      <c r="B141" t="s">
        <v>318</v>
      </c>
      <c r="C141" t="s">
        <v>25</v>
      </c>
      <c r="D141" t="s">
        <v>26</v>
      </c>
      <c r="E141" t="s">
        <v>27</v>
      </c>
      <c r="F141" t="s">
        <v>28</v>
      </c>
      <c r="G141">
        <v>342235</v>
      </c>
      <c r="H141">
        <v>298693</v>
      </c>
      <c r="I141">
        <v>-43542</v>
      </c>
      <c r="J141" t="s">
        <v>37</v>
      </c>
      <c r="K141" t="s">
        <v>67</v>
      </c>
      <c r="L141" t="s">
        <v>68</v>
      </c>
      <c r="M141" t="s">
        <v>42</v>
      </c>
    </row>
    <row r="142" spans="1:13">
      <c r="A142" t="s">
        <v>319</v>
      </c>
      <c r="B142" t="s">
        <v>320</v>
      </c>
      <c r="C142" t="s">
        <v>64</v>
      </c>
      <c r="D142" t="s">
        <v>26</v>
      </c>
      <c r="E142" t="s">
        <v>46</v>
      </c>
      <c r="F142" t="s">
        <v>47</v>
      </c>
      <c r="G142">
        <v>135813</v>
      </c>
      <c r="H142">
        <v>155544</v>
      </c>
      <c r="I142">
        <v>19731</v>
      </c>
      <c r="J142" t="s">
        <v>37</v>
      </c>
      <c r="K142" t="s">
        <v>48</v>
      </c>
      <c r="L142" t="s">
        <v>68</v>
      </c>
      <c r="M142" t="s">
        <v>42</v>
      </c>
    </row>
    <row r="143" spans="1:13">
      <c r="A143" t="s">
        <v>321</v>
      </c>
      <c r="B143" t="s">
        <v>322</v>
      </c>
      <c r="C143" t="s">
        <v>45</v>
      </c>
      <c r="D143" t="s">
        <v>16</v>
      </c>
      <c r="E143" t="s">
        <v>17</v>
      </c>
      <c r="F143" t="s">
        <v>18</v>
      </c>
      <c r="G143">
        <v>234877</v>
      </c>
      <c r="H143">
        <v>221543</v>
      </c>
      <c r="I143">
        <v>-13334</v>
      </c>
      <c r="J143" t="s">
        <v>54</v>
      </c>
      <c r="K143" t="s">
        <v>41</v>
      </c>
      <c r="L143" t="s">
        <v>49</v>
      </c>
      <c r="M143" t="s">
        <v>22</v>
      </c>
    </row>
    <row r="144" spans="1:13">
      <c r="A144" t="s">
        <v>323</v>
      </c>
      <c r="B144" t="s">
        <v>324</v>
      </c>
      <c r="C144" t="s">
        <v>64</v>
      </c>
      <c r="D144" t="s">
        <v>40</v>
      </c>
      <c r="E144" t="s">
        <v>27</v>
      </c>
      <c r="F144" t="s">
        <v>28</v>
      </c>
      <c r="G144">
        <v>127368</v>
      </c>
      <c r="H144">
        <v>174511</v>
      </c>
      <c r="I144">
        <v>47143</v>
      </c>
      <c r="J144" t="s">
        <v>54</v>
      </c>
      <c r="K144" t="s">
        <v>67</v>
      </c>
      <c r="L144" t="s">
        <v>49</v>
      </c>
      <c r="M144" t="s">
        <v>42</v>
      </c>
    </row>
    <row r="145" spans="1:13">
      <c r="A145" t="s">
        <v>325</v>
      </c>
      <c r="B145" t="s">
        <v>326</v>
      </c>
      <c r="C145" t="s">
        <v>45</v>
      </c>
      <c r="D145" t="s">
        <v>61</v>
      </c>
      <c r="E145" t="s">
        <v>85</v>
      </c>
      <c r="F145" t="s">
        <v>86</v>
      </c>
      <c r="G145">
        <v>162206</v>
      </c>
      <c r="H145">
        <v>198350</v>
      </c>
      <c r="I145">
        <v>36144</v>
      </c>
      <c r="J145" t="s">
        <v>37</v>
      </c>
      <c r="K145" t="s">
        <v>67</v>
      </c>
      <c r="L145" t="s">
        <v>30</v>
      </c>
      <c r="M145" t="s">
        <v>42</v>
      </c>
    </row>
    <row r="146" spans="1:13">
      <c r="A146" t="s">
        <v>327</v>
      </c>
      <c r="B146" t="s">
        <v>328</v>
      </c>
      <c r="C146" t="s">
        <v>64</v>
      </c>
      <c r="D146" t="s">
        <v>26</v>
      </c>
      <c r="E146" t="s">
        <v>46</v>
      </c>
      <c r="F146" t="s">
        <v>47</v>
      </c>
      <c r="G146">
        <v>251426</v>
      </c>
      <c r="H146">
        <v>346026</v>
      </c>
      <c r="I146">
        <v>94600</v>
      </c>
      <c r="J146" t="s">
        <v>54</v>
      </c>
      <c r="K146" t="s">
        <v>67</v>
      </c>
      <c r="L146" t="s">
        <v>30</v>
      </c>
      <c r="M146" t="s">
        <v>22</v>
      </c>
    </row>
    <row r="147" spans="1:13">
      <c r="A147" t="s">
        <v>329</v>
      </c>
      <c r="B147" t="s">
        <v>261</v>
      </c>
      <c r="C147" t="s">
        <v>33</v>
      </c>
      <c r="D147" t="s">
        <v>16</v>
      </c>
      <c r="E147" t="s">
        <v>17</v>
      </c>
      <c r="F147" t="s">
        <v>18</v>
      </c>
      <c r="G147">
        <v>378992</v>
      </c>
      <c r="H147">
        <v>279815</v>
      </c>
      <c r="I147">
        <v>-99177</v>
      </c>
      <c r="J147" t="s">
        <v>54</v>
      </c>
      <c r="K147" t="s">
        <v>67</v>
      </c>
      <c r="L147" t="s">
        <v>21</v>
      </c>
      <c r="M147" t="s">
        <v>22</v>
      </c>
    </row>
    <row r="148" spans="1:13">
      <c r="A148" t="s">
        <v>330</v>
      </c>
      <c r="B148" t="s">
        <v>331</v>
      </c>
      <c r="C148" t="s">
        <v>33</v>
      </c>
      <c r="D148" t="s">
        <v>34</v>
      </c>
      <c r="E148" t="s">
        <v>85</v>
      </c>
      <c r="F148" t="s">
        <v>86</v>
      </c>
      <c r="G148">
        <v>356459</v>
      </c>
      <c r="H148">
        <v>377199</v>
      </c>
      <c r="I148">
        <v>20740</v>
      </c>
      <c r="J148" t="s">
        <v>19</v>
      </c>
      <c r="K148" t="s">
        <v>48</v>
      </c>
      <c r="L148" t="s">
        <v>30</v>
      </c>
      <c r="M148" t="s">
        <v>42</v>
      </c>
    </row>
    <row r="149" spans="1:13">
      <c r="A149" t="s">
        <v>332</v>
      </c>
      <c r="B149" t="s">
        <v>333</v>
      </c>
      <c r="C149" t="s">
        <v>64</v>
      </c>
      <c r="D149" t="s">
        <v>61</v>
      </c>
      <c r="E149" t="s">
        <v>17</v>
      </c>
      <c r="F149" t="s">
        <v>18</v>
      </c>
      <c r="G149">
        <v>462564</v>
      </c>
      <c r="H149">
        <v>481224</v>
      </c>
      <c r="I149">
        <v>18660</v>
      </c>
      <c r="J149" t="s">
        <v>19</v>
      </c>
      <c r="K149" t="s">
        <v>48</v>
      </c>
      <c r="L149" t="s">
        <v>21</v>
      </c>
      <c r="M149" t="s">
        <v>42</v>
      </c>
    </row>
    <row r="150" spans="1:13">
      <c r="A150" t="s">
        <v>334</v>
      </c>
      <c r="B150" t="s">
        <v>335</v>
      </c>
      <c r="C150" t="s">
        <v>15</v>
      </c>
      <c r="D150" t="s">
        <v>34</v>
      </c>
      <c r="E150" t="s">
        <v>46</v>
      </c>
      <c r="F150" t="s">
        <v>47</v>
      </c>
      <c r="G150">
        <v>354945</v>
      </c>
      <c r="H150">
        <v>482210</v>
      </c>
      <c r="I150">
        <v>127265</v>
      </c>
      <c r="J150" t="s">
        <v>37</v>
      </c>
      <c r="K150" t="s">
        <v>41</v>
      </c>
      <c r="L150" t="s">
        <v>68</v>
      </c>
      <c r="M150" t="s">
        <v>22</v>
      </c>
    </row>
    <row r="151" spans="1:13">
      <c r="A151" t="s">
        <v>336</v>
      </c>
      <c r="B151" t="s">
        <v>337</v>
      </c>
      <c r="C151" t="s">
        <v>33</v>
      </c>
      <c r="D151" t="s">
        <v>16</v>
      </c>
      <c r="E151" t="s">
        <v>35</v>
      </c>
      <c r="F151" t="s">
        <v>36</v>
      </c>
      <c r="G151">
        <v>127583</v>
      </c>
      <c r="H151">
        <v>177236</v>
      </c>
      <c r="I151">
        <v>49653</v>
      </c>
      <c r="J151" t="s">
        <v>19</v>
      </c>
      <c r="K151" t="s">
        <v>41</v>
      </c>
      <c r="L151" t="s">
        <v>68</v>
      </c>
      <c r="M151" t="s">
        <v>22</v>
      </c>
    </row>
    <row r="152" spans="1:13">
      <c r="A152" t="s">
        <v>338</v>
      </c>
      <c r="B152" t="s">
        <v>339</v>
      </c>
      <c r="C152" t="s">
        <v>35</v>
      </c>
      <c r="D152" t="s">
        <v>40</v>
      </c>
      <c r="E152" t="s">
        <v>46</v>
      </c>
      <c r="F152" t="s">
        <v>47</v>
      </c>
      <c r="G152">
        <v>321001</v>
      </c>
      <c r="H152">
        <v>327304</v>
      </c>
      <c r="I152">
        <v>6303</v>
      </c>
      <c r="J152" t="s">
        <v>37</v>
      </c>
      <c r="K152" t="s">
        <v>20</v>
      </c>
      <c r="L152" t="s">
        <v>49</v>
      </c>
      <c r="M152" t="s">
        <v>22</v>
      </c>
    </row>
    <row r="153" spans="1:13">
      <c r="A153" t="s">
        <v>340</v>
      </c>
      <c r="B153" t="s">
        <v>341</v>
      </c>
      <c r="C153" t="s">
        <v>35</v>
      </c>
      <c r="D153" t="s">
        <v>40</v>
      </c>
      <c r="E153" t="s">
        <v>71</v>
      </c>
      <c r="F153" t="s">
        <v>72</v>
      </c>
      <c r="G153">
        <v>219095</v>
      </c>
      <c r="H153">
        <v>244408</v>
      </c>
      <c r="I153">
        <v>25313</v>
      </c>
      <c r="J153" t="s">
        <v>54</v>
      </c>
      <c r="K153" t="s">
        <v>20</v>
      </c>
      <c r="L153" t="s">
        <v>68</v>
      </c>
      <c r="M153" t="s">
        <v>42</v>
      </c>
    </row>
    <row r="154" spans="1:13">
      <c r="A154" t="s">
        <v>342</v>
      </c>
      <c r="B154" t="s">
        <v>343</v>
      </c>
      <c r="C154" t="s">
        <v>64</v>
      </c>
      <c r="D154" t="s">
        <v>16</v>
      </c>
      <c r="E154" t="s">
        <v>17</v>
      </c>
      <c r="F154" t="s">
        <v>18</v>
      </c>
      <c r="G154">
        <v>225540</v>
      </c>
      <c r="H154">
        <v>251785</v>
      </c>
      <c r="I154">
        <v>26245</v>
      </c>
      <c r="J154" t="s">
        <v>37</v>
      </c>
      <c r="K154" t="s">
        <v>48</v>
      </c>
      <c r="L154" t="s">
        <v>30</v>
      </c>
      <c r="M154" t="s">
        <v>42</v>
      </c>
    </row>
    <row r="155" spans="1:13">
      <c r="A155" t="s">
        <v>344</v>
      </c>
      <c r="B155" t="s">
        <v>345</v>
      </c>
      <c r="C155" t="s">
        <v>15</v>
      </c>
      <c r="D155" t="s">
        <v>40</v>
      </c>
      <c r="E155" t="s">
        <v>27</v>
      </c>
      <c r="F155" t="s">
        <v>28</v>
      </c>
      <c r="G155">
        <v>314327</v>
      </c>
      <c r="H155">
        <v>350810</v>
      </c>
      <c r="I155">
        <v>36483</v>
      </c>
      <c r="J155" t="s">
        <v>54</v>
      </c>
      <c r="K155" t="s">
        <v>29</v>
      </c>
      <c r="L155" t="s">
        <v>68</v>
      </c>
      <c r="M155" t="s">
        <v>42</v>
      </c>
    </row>
    <row r="156" spans="1:13">
      <c r="A156" t="s">
        <v>346</v>
      </c>
      <c r="B156" t="s">
        <v>196</v>
      </c>
      <c r="C156" t="s">
        <v>64</v>
      </c>
      <c r="D156" t="s">
        <v>61</v>
      </c>
      <c r="E156" t="s">
        <v>85</v>
      </c>
      <c r="F156" t="s">
        <v>86</v>
      </c>
      <c r="G156">
        <v>173260</v>
      </c>
      <c r="H156">
        <v>200957</v>
      </c>
      <c r="I156">
        <v>27697</v>
      </c>
      <c r="J156" t="s">
        <v>19</v>
      </c>
      <c r="K156" t="s">
        <v>67</v>
      </c>
      <c r="L156" t="s">
        <v>68</v>
      </c>
      <c r="M156" t="s">
        <v>22</v>
      </c>
    </row>
    <row r="157" spans="1:13">
      <c r="A157" t="s">
        <v>347</v>
      </c>
      <c r="B157" t="s">
        <v>348</v>
      </c>
      <c r="C157" t="s">
        <v>45</v>
      </c>
      <c r="D157" t="s">
        <v>26</v>
      </c>
      <c r="E157" t="s">
        <v>35</v>
      </c>
      <c r="F157" t="s">
        <v>36</v>
      </c>
      <c r="G157">
        <v>207953</v>
      </c>
      <c r="H157">
        <v>222548</v>
      </c>
      <c r="I157">
        <v>14595</v>
      </c>
      <c r="J157" t="s">
        <v>19</v>
      </c>
      <c r="K157" t="s">
        <v>48</v>
      </c>
      <c r="L157" t="s">
        <v>68</v>
      </c>
      <c r="M157" t="s">
        <v>42</v>
      </c>
    </row>
    <row r="158" spans="1:13">
      <c r="A158" t="s">
        <v>349</v>
      </c>
      <c r="B158" t="s">
        <v>350</v>
      </c>
      <c r="C158" t="s">
        <v>15</v>
      </c>
      <c r="D158" t="s">
        <v>26</v>
      </c>
      <c r="E158" t="s">
        <v>85</v>
      </c>
      <c r="F158" t="s">
        <v>86</v>
      </c>
      <c r="G158">
        <v>90063</v>
      </c>
      <c r="H158">
        <v>84424</v>
      </c>
      <c r="I158">
        <v>-5639</v>
      </c>
      <c r="J158" t="s">
        <v>54</v>
      </c>
      <c r="K158" t="s">
        <v>41</v>
      </c>
      <c r="L158" t="s">
        <v>49</v>
      </c>
      <c r="M158" t="s">
        <v>42</v>
      </c>
    </row>
    <row r="159" spans="1:13">
      <c r="A159" t="s">
        <v>351</v>
      </c>
      <c r="B159" t="s">
        <v>352</v>
      </c>
      <c r="C159" t="s">
        <v>45</v>
      </c>
      <c r="D159" t="s">
        <v>40</v>
      </c>
      <c r="E159" t="s">
        <v>27</v>
      </c>
      <c r="F159" t="s">
        <v>28</v>
      </c>
      <c r="G159">
        <v>213586</v>
      </c>
      <c r="H159">
        <v>278964</v>
      </c>
      <c r="I159">
        <v>65378</v>
      </c>
      <c r="J159" t="s">
        <v>54</v>
      </c>
      <c r="K159" t="s">
        <v>48</v>
      </c>
      <c r="L159" t="s">
        <v>30</v>
      </c>
      <c r="M159" t="s">
        <v>42</v>
      </c>
    </row>
    <row r="160" spans="1:13">
      <c r="A160" t="s">
        <v>353</v>
      </c>
      <c r="B160" t="s">
        <v>354</v>
      </c>
      <c r="C160" t="s">
        <v>45</v>
      </c>
      <c r="D160" t="s">
        <v>16</v>
      </c>
      <c r="E160" t="s">
        <v>27</v>
      </c>
      <c r="F160" t="s">
        <v>28</v>
      </c>
      <c r="G160">
        <v>276480</v>
      </c>
      <c r="H160">
        <v>241609</v>
      </c>
      <c r="I160">
        <v>-34871</v>
      </c>
      <c r="J160" t="s">
        <v>54</v>
      </c>
      <c r="K160" t="s">
        <v>41</v>
      </c>
      <c r="L160" t="s">
        <v>49</v>
      </c>
      <c r="M160" t="s">
        <v>22</v>
      </c>
    </row>
    <row r="161" spans="1:13">
      <c r="A161" t="s">
        <v>355</v>
      </c>
      <c r="B161" t="s">
        <v>44</v>
      </c>
      <c r="C161" t="s">
        <v>35</v>
      </c>
      <c r="D161" t="s">
        <v>40</v>
      </c>
      <c r="E161" t="s">
        <v>85</v>
      </c>
      <c r="F161" t="s">
        <v>86</v>
      </c>
      <c r="G161">
        <v>216757</v>
      </c>
      <c r="H161">
        <v>226442</v>
      </c>
      <c r="I161">
        <v>9685</v>
      </c>
      <c r="J161" t="s">
        <v>19</v>
      </c>
      <c r="K161" t="s">
        <v>48</v>
      </c>
      <c r="L161" t="s">
        <v>68</v>
      </c>
      <c r="M161" t="s">
        <v>42</v>
      </c>
    </row>
    <row r="162" spans="1:13">
      <c r="A162" t="s">
        <v>356</v>
      </c>
      <c r="B162" t="s">
        <v>357</v>
      </c>
      <c r="C162" t="s">
        <v>64</v>
      </c>
      <c r="D162" t="s">
        <v>26</v>
      </c>
      <c r="E162" t="s">
        <v>46</v>
      </c>
      <c r="F162" t="s">
        <v>47</v>
      </c>
      <c r="G162">
        <v>74569</v>
      </c>
      <c r="H162">
        <v>71651</v>
      </c>
      <c r="I162">
        <v>-2918</v>
      </c>
      <c r="J162" t="s">
        <v>37</v>
      </c>
      <c r="K162" t="s">
        <v>41</v>
      </c>
      <c r="L162" t="s">
        <v>21</v>
      </c>
      <c r="M162" t="s">
        <v>22</v>
      </c>
    </row>
    <row r="163" spans="1:13">
      <c r="A163" t="s">
        <v>358</v>
      </c>
      <c r="B163" t="s">
        <v>359</v>
      </c>
      <c r="C163" t="s">
        <v>33</v>
      </c>
      <c r="D163" t="s">
        <v>16</v>
      </c>
      <c r="E163" t="s">
        <v>17</v>
      </c>
      <c r="F163" t="s">
        <v>18</v>
      </c>
      <c r="G163">
        <v>190772</v>
      </c>
      <c r="H163">
        <v>217842</v>
      </c>
      <c r="I163">
        <v>27070</v>
      </c>
      <c r="J163" t="s">
        <v>19</v>
      </c>
      <c r="K163" t="s">
        <v>48</v>
      </c>
      <c r="L163" t="s">
        <v>21</v>
      </c>
      <c r="M163" t="s">
        <v>42</v>
      </c>
    </row>
    <row r="164" spans="1:13">
      <c r="A164" t="s">
        <v>360</v>
      </c>
      <c r="B164" t="s">
        <v>361</v>
      </c>
      <c r="C164" t="s">
        <v>15</v>
      </c>
      <c r="D164" t="s">
        <v>26</v>
      </c>
      <c r="E164" t="s">
        <v>35</v>
      </c>
      <c r="F164" t="s">
        <v>36</v>
      </c>
      <c r="G164">
        <v>294495</v>
      </c>
      <c r="H164">
        <v>273952</v>
      </c>
      <c r="I164">
        <v>-20543</v>
      </c>
      <c r="J164" t="s">
        <v>54</v>
      </c>
      <c r="K164" t="s">
        <v>48</v>
      </c>
      <c r="L164" t="s">
        <v>49</v>
      </c>
      <c r="M164" t="s">
        <v>22</v>
      </c>
    </row>
    <row r="165" spans="1:13">
      <c r="A165" t="s">
        <v>362</v>
      </c>
      <c r="B165" t="s">
        <v>363</v>
      </c>
      <c r="C165" t="s">
        <v>45</v>
      </c>
      <c r="D165" t="s">
        <v>16</v>
      </c>
      <c r="E165" t="s">
        <v>71</v>
      </c>
      <c r="F165" t="s">
        <v>72</v>
      </c>
      <c r="G165">
        <v>213925</v>
      </c>
      <c r="H165">
        <v>254407</v>
      </c>
      <c r="I165">
        <v>40482</v>
      </c>
      <c r="J165" t="s">
        <v>37</v>
      </c>
      <c r="K165" t="s">
        <v>67</v>
      </c>
      <c r="L165" t="s">
        <v>68</v>
      </c>
      <c r="M165" t="s">
        <v>42</v>
      </c>
    </row>
    <row r="166" spans="1:13">
      <c r="A166" t="s">
        <v>364</v>
      </c>
      <c r="B166" t="s">
        <v>365</v>
      </c>
      <c r="C166" t="s">
        <v>33</v>
      </c>
      <c r="D166" t="s">
        <v>61</v>
      </c>
      <c r="E166" t="s">
        <v>35</v>
      </c>
      <c r="F166" t="s">
        <v>36</v>
      </c>
      <c r="G166">
        <v>253221</v>
      </c>
      <c r="H166">
        <v>251999</v>
      </c>
      <c r="I166">
        <v>-1222</v>
      </c>
      <c r="J166" t="s">
        <v>54</v>
      </c>
      <c r="K166" t="s">
        <v>29</v>
      </c>
      <c r="L166" t="s">
        <v>21</v>
      </c>
      <c r="M166" t="s">
        <v>42</v>
      </c>
    </row>
    <row r="167" spans="1:13">
      <c r="A167" t="s">
        <v>366</v>
      </c>
      <c r="B167" t="s">
        <v>367</v>
      </c>
      <c r="C167" t="s">
        <v>33</v>
      </c>
      <c r="D167" t="s">
        <v>34</v>
      </c>
      <c r="E167" t="s">
        <v>85</v>
      </c>
      <c r="F167" t="s">
        <v>86</v>
      </c>
      <c r="G167">
        <v>182065</v>
      </c>
      <c r="H167">
        <v>138338</v>
      </c>
      <c r="I167">
        <v>-43727</v>
      </c>
      <c r="J167" t="s">
        <v>19</v>
      </c>
      <c r="K167" t="s">
        <v>67</v>
      </c>
      <c r="L167" t="s">
        <v>21</v>
      </c>
      <c r="M167" t="s">
        <v>22</v>
      </c>
    </row>
    <row r="168" spans="1:13">
      <c r="A168" t="s">
        <v>368</v>
      </c>
      <c r="B168" t="s">
        <v>369</v>
      </c>
      <c r="C168" t="s">
        <v>15</v>
      </c>
      <c r="D168" t="s">
        <v>26</v>
      </c>
      <c r="E168" t="s">
        <v>46</v>
      </c>
      <c r="F168" t="s">
        <v>47</v>
      </c>
      <c r="G168">
        <v>348030</v>
      </c>
      <c r="H168">
        <v>313776</v>
      </c>
      <c r="I168">
        <v>-34254</v>
      </c>
      <c r="J168" t="s">
        <v>37</v>
      </c>
      <c r="K168" t="s">
        <v>67</v>
      </c>
      <c r="L168" t="s">
        <v>68</v>
      </c>
      <c r="M168" t="s">
        <v>42</v>
      </c>
    </row>
    <row r="169" spans="1:13">
      <c r="A169" t="s">
        <v>370</v>
      </c>
      <c r="B169" t="s">
        <v>371</v>
      </c>
      <c r="C169" t="s">
        <v>25</v>
      </c>
      <c r="D169" t="s">
        <v>26</v>
      </c>
      <c r="E169" t="s">
        <v>85</v>
      </c>
      <c r="F169" t="s">
        <v>86</v>
      </c>
      <c r="G169">
        <v>343139</v>
      </c>
      <c r="H169">
        <v>459045</v>
      </c>
      <c r="I169">
        <v>115906</v>
      </c>
      <c r="J169" t="s">
        <v>54</v>
      </c>
      <c r="K169" t="s">
        <v>67</v>
      </c>
      <c r="L169" t="s">
        <v>68</v>
      </c>
      <c r="M169" t="s">
        <v>42</v>
      </c>
    </row>
    <row r="170" spans="1:13">
      <c r="A170" t="s">
        <v>372</v>
      </c>
      <c r="B170" t="s">
        <v>373</v>
      </c>
      <c r="C170" t="s">
        <v>15</v>
      </c>
      <c r="D170" t="s">
        <v>34</v>
      </c>
      <c r="E170" t="s">
        <v>17</v>
      </c>
      <c r="F170" t="s">
        <v>18</v>
      </c>
      <c r="G170">
        <v>200555</v>
      </c>
      <c r="H170">
        <v>196778</v>
      </c>
      <c r="I170">
        <v>-3777</v>
      </c>
      <c r="J170" t="s">
        <v>54</v>
      </c>
      <c r="K170" t="s">
        <v>67</v>
      </c>
      <c r="L170" t="s">
        <v>68</v>
      </c>
      <c r="M170" t="s">
        <v>42</v>
      </c>
    </row>
    <row r="171" spans="1:13">
      <c r="A171" t="s">
        <v>374</v>
      </c>
      <c r="B171" t="s">
        <v>375</v>
      </c>
      <c r="C171" t="s">
        <v>15</v>
      </c>
      <c r="D171" t="s">
        <v>16</v>
      </c>
      <c r="E171" t="s">
        <v>35</v>
      </c>
      <c r="F171" t="s">
        <v>36</v>
      </c>
      <c r="G171">
        <v>133703</v>
      </c>
      <c r="H171">
        <v>102047</v>
      </c>
      <c r="I171">
        <v>-31656</v>
      </c>
      <c r="J171" t="s">
        <v>19</v>
      </c>
      <c r="K171" t="s">
        <v>41</v>
      </c>
      <c r="L171" t="s">
        <v>49</v>
      </c>
      <c r="M171" t="s">
        <v>42</v>
      </c>
    </row>
    <row r="172" spans="1:13">
      <c r="A172" t="s">
        <v>376</v>
      </c>
      <c r="B172" t="s">
        <v>377</v>
      </c>
      <c r="C172" t="s">
        <v>25</v>
      </c>
      <c r="D172" t="s">
        <v>34</v>
      </c>
      <c r="E172" t="s">
        <v>35</v>
      </c>
      <c r="F172" t="s">
        <v>36</v>
      </c>
      <c r="G172">
        <v>52631</v>
      </c>
      <c r="H172">
        <v>41743</v>
      </c>
      <c r="I172">
        <v>-10888</v>
      </c>
      <c r="J172" t="s">
        <v>19</v>
      </c>
      <c r="K172" t="s">
        <v>20</v>
      </c>
      <c r="L172" t="s">
        <v>49</v>
      </c>
      <c r="M172" t="s">
        <v>22</v>
      </c>
    </row>
    <row r="173" spans="1:13">
      <c r="A173" t="s">
        <v>378</v>
      </c>
      <c r="B173" t="s">
        <v>379</v>
      </c>
      <c r="C173" t="s">
        <v>33</v>
      </c>
      <c r="D173" t="s">
        <v>61</v>
      </c>
      <c r="E173" t="s">
        <v>46</v>
      </c>
      <c r="F173" t="s">
        <v>47</v>
      </c>
      <c r="G173">
        <v>338482</v>
      </c>
      <c r="H173">
        <v>272864</v>
      </c>
      <c r="I173">
        <v>-65618</v>
      </c>
      <c r="J173" t="s">
        <v>19</v>
      </c>
      <c r="K173" t="s">
        <v>48</v>
      </c>
      <c r="L173" t="s">
        <v>68</v>
      </c>
      <c r="M173" t="s">
        <v>22</v>
      </c>
    </row>
    <row r="174" spans="1:13">
      <c r="A174" t="s">
        <v>380</v>
      </c>
      <c r="B174" t="s">
        <v>381</v>
      </c>
      <c r="C174" t="s">
        <v>64</v>
      </c>
      <c r="D174" t="s">
        <v>40</v>
      </c>
      <c r="E174" t="s">
        <v>71</v>
      </c>
      <c r="F174" t="s">
        <v>72</v>
      </c>
      <c r="G174">
        <v>354925</v>
      </c>
      <c r="H174">
        <v>471612</v>
      </c>
      <c r="I174">
        <v>116687</v>
      </c>
      <c r="J174" t="s">
        <v>37</v>
      </c>
      <c r="K174" t="s">
        <v>48</v>
      </c>
      <c r="L174" t="s">
        <v>68</v>
      </c>
      <c r="M174" t="s">
        <v>42</v>
      </c>
    </row>
    <row r="175" spans="1:13">
      <c r="A175" t="s">
        <v>382</v>
      </c>
      <c r="B175" t="s">
        <v>383</v>
      </c>
      <c r="C175" t="s">
        <v>35</v>
      </c>
      <c r="D175" t="s">
        <v>26</v>
      </c>
      <c r="E175" t="s">
        <v>85</v>
      </c>
      <c r="F175" t="s">
        <v>86</v>
      </c>
      <c r="G175">
        <v>286481</v>
      </c>
      <c r="H175">
        <v>387733</v>
      </c>
      <c r="I175">
        <v>101252</v>
      </c>
      <c r="J175" t="s">
        <v>19</v>
      </c>
      <c r="K175" t="s">
        <v>20</v>
      </c>
      <c r="L175" t="s">
        <v>21</v>
      </c>
      <c r="M175" t="s">
        <v>42</v>
      </c>
    </row>
    <row r="176" spans="1:13">
      <c r="A176" t="s">
        <v>384</v>
      </c>
      <c r="B176" t="s">
        <v>385</v>
      </c>
      <c r="C176" t="s">
        <v>33</v>
      </c>
      <c r="D176" t="s">
        <v>26</v>
      </c>
      <c r="E176" t="s">
        <v>85</v>
      </c>
      <c r="F176" t="s">
        <v>86</v>
      </c>
      <c r="G176">
        <v>229410</v>
      </c>
      <c r="H176">
        <v>302668</v>
      </c>
      <c r="I176">
        <v>73258</v>
      </c>
      <c r="J176" t="s">
        <v>54</v>
      </c>
      <c r="K176" t="s">
        <v>41</v>
      </c>
      <c r="L176" t="s">
        <v>49</v>
      </c>
      <c r="M176" t="s">
        <v>22</v>
      </c>
    </row>
    <row r="177" spans="1:13">
      <c r="A177" t="s">
        <v>386</v>
      </c>
      <c r="B177" t="s">
        <v>387</v>
      </c>
      <c r="C177" t="s">
        <v>35</v>
      </c>
      <c r="D177" t="s">
        <v>16</v>
      </c>
      <c r="E177" t="s">
        <v>46</v>
      </c>
      <c r="F177" t="s">
        <v>47</v>
      </c>
      <c r="G177">
        <v>452399</v>
      </c>
      <c r="H177">
        <v>432078</v>
      </c>
      <c r="I177">
        <v>-20321</v>
      </c>
      <c r="J177" t="s">
        <v>37</v>
      </c>
      <c r="K177" t="s">
        <v>20</v>
      </c>
      <c r="L177" t="s">
        <v>49</v>
      </c>
      <c r="M177" t="s">
        <v>22</v>
      </c>
    </row>
    <row r="178" spans="1:13">
      <c r="A178" t="s">
        <v>388</v>
      </c>
      <c r="B178" t="s">
        <v>389</v>
      </c>
      <c r="C178" t="s">
        <v>45</v>
      </c>
      <c r="D178" t="s">
        <v>40</v>
      </c>
      <c r="E178" t="s">
        <v>46</v>
      </c>
      <c r="F178" t="s">
        <v>47</v>
      </c>
      <c r="G178">
        <v>244095</v>
      </c>
      <c r="H178">
        <v>256756</v>
      </c>
      <c r="I178">
        <v>12661</v>
      </c>
      <c r="J178" t="s">
        <v>19</v>
      </c>
      <c r="K178" t="s">
        <v>20</v>
      </c>
      <c r="L178" t="s">
        <v>49</v>
      </c>
      <c r="M178" t="s">
        <v>22</v>
      </c>
    </row>
    <row r="179" spans="1:13">
      <c r="A179" t="s">
        <v>390</v>
      </c>
      <c r="B179" t="s">
        <v>391</v>
      </c>
      <c r="C179" t="s">
        <v>45</v>
      </c>
      <c r="D179" t="s">
        <v>34</v>
      </c>
      <c r="E179" t="s">
        <v>27</v>
      </c>
      <c r="F179" t="s">
        <v>28</v>
      </c>
      <c r="G179">
        <v>125828</v>
      </c>
      <c r="H179">
        <v>111861</v>
      </c>
      <c r="I179">
        <v>-13967</v>
      </c>
      <c r="J179" t="s">
        <v>37</v>
      </c>
      <c r="K179" t="s">
        <v>20</v>
      </c>
      <c r="L179" t="s">
        <v>30</v>
      </c>
      <c r="M179" t="s">
        <v>22</v>
      </c>
    </row>
    <row r="180" spans="1:13">
      <c r="A180" t="s">
        <v>392</v>
      </c>
      <c r="B180" t="s">
        <v>211</v>
      </c>
      <c r="C180" t="s">
        <v>33</v>
      </c>
      <c r="D180" t="s">
        <v>34</v>
      </c>
      <c r="E180" t="s">
        <v>85</v>
      </c>
      <c r="F180" t="s">
        <v>86</v>
      </c>
      <c r="G180">
        <v>410492</v>
      </c>
      <c r="H180">
        <v>392262</v>
      </c>
      <c r="I180">
        <v>-18230</v>
      </c>
      <c r="J180" t="s">
        <v>19</v>
      </c>
      <c r="K180" t="s">
        <v>29</v>
      </c>
      <c r="L180" t="s">
        <v>68</v>
      </c>
      <c r="M180" t="s">
        <v>22</v>
      </c>
    </row>
    <row r="181" spans="1:13">
      <c r="A181" t="s">
        <v>393</v>
      </c>
      <c r="B181" t="s">
        <v>394</v>
      </c>
      <c r="C181" t="s">
        <v>33</v>
      </c>
      <c r="D181" t="s">
        <v>34</v>
      </c>
      <c r="E181" t="s">
        <v>27</v>
      </c>
      <c r="F181" t="s">
        <v>28</v>
      </c>
      <c r="G181">
        <v>295614</v>
      </c>
      <c r="H181">
        <v>325020</v>
      </c>
      <c r="I181">
        <v>29406</v>
      </c>
      <c r="J181" t="s">
        <v>54</v>
      </c>
      <c r="K181" t="s">
        <v>29</v>
      </c>
      <c r="L181" t="s">
        <v>49</v>
      </c>
      <c r="M181" t="s">
        <v>22</v>
      </c>
    </row>
    <row r="182" spans="1:13">
      <c r="A182" t="s">
        <v>395</v>
      </c>
      <c r="B182" t="s">
        <v>396</v>
      </c>
      <c r="C182" t="s">
        <v>15</v>
      </c>
      <c r="D182" t="s">
        <v>40</v>
      </c>
      <c r="E182" t="s">
        <v>71</v>
      </c>
      <c r="F182" t="s">
        <v>72</v>
      </c>
      <c r="G182">
        <v>218881</v>
      </c>
      <c r="H182">
        <v>255715</v>
      </c>
      <c r="I182">
        <v>36834</v>
      </c>
      <c r="J182" t="s">
        <v>19</v>
      </c>
      <c r="K182" t="s">
        <v>67</v>
      </c>
      <c r="L182" t="s">
        <v>49</v>
      </c>
      <c r="M182" t="s">
        <v>22</v>
      </c>
    </row>
    <row r="183" spans="1:13">
      <c r="A183" t="s">
        <v>397</v>
      </c>
      <c r="B183" t="s">
        <v>398</v>
      </c>
      <c r="C183" t="s">
        <v>33</v>
      </c>
      <c r="D183" t="s">
        <v>61</v>
      </c>
      <c r="E183" t="s">
        <v>27</v>
      </c>
      <c r="F183" t="s">
        <v>28</v>
      </c>
      <c r="G183">
        <v>413867</v>
      </c>
      <c r="H183">
        <v>534931</v>
      </c>
      <c r="I183">
        <v>121064</v>
      </c>
      <c r="J183" t="s">
        <v>54</v>
      </c>
      <c r="K183" t="s">
        <v>41</v>
      </c>
      <c r="L183" t="s">
        <v>49</v>
      </c>
      <c r="M183" t="s">
        <v>42</v>
      </c>
    </row>
    <row r="184" spans="1:13">
      <c r="A184" t="s">
        <v>399</v>
      </c>
      <c r="B184" t="s">
        <v>400</v>
      </c>
      <c r="C184" t="s">
        <v>45</v>
      </c>
      <c r="D184" t="s">
        <v>26</v>
      </c>
      <c r="E184" t="s">
        <v>17</v>
      </c>
      <c r="F184" t="s">
        <v>18</v>
      </c>
      <c r="G184">
        <v>227815</v>
      </c>
      <c r="H184">
        <v>198515</v>
      </c>
      <c r="I184">
        <v>-29300</v>
      </c>
      <c r="J184" t="s">
        <v>54</v>
      </c>
      <c r="K184" t="s">
        <v>48</v>
      </c>
      <c r="L184" t="s">
        <v>49</v>
      </c>
      <c r="M184" t="s">
        <v>42</v>
      </c>
    </row>
    <row r="185" spans="1:13">
      <c r="A185" t="s">
        <v>401</v>
      </c>
      <c r="B185" t="s">
        <v>314</v>
      </c>
      <c r="C185" t="s">
        <v>35</v>
      </c>
      <c r="D185" t="s">
        <v>16</v>
      </c>
      <c r="E185" t="s">
        <v>71</v>
      </c>
      <c r="F185" t="s">
        <v>72</v>
      </c>
      <c r="G185">
        <v>392119</v>
      </c>
      <c r="H185">
        <v>305981</v>
      </c>
      <c r="I185">
        <v>-86138</v>
      </c>
      <c r="J185" t="s">
        <v>37</v>
      </c>
      <c r="K185" t="s">
        <v>48</v>
      </c>
      <c r="L185" t="s">
        <v>68</v>
      </c>
      <c r="M185" t="s">
        <v>22</v>
      </c>
    </row>
    <row r="186" spans="1:13">
      <c r="A186" t="s">
        <v>402</v>
      </c>
      <c r="B186" t="s">
        <v>134</v>
      </c>
      <c r="C186" t="s">
        <v>64</v>
      </c>
      <c r="D186" t="s">
        <v>26</v>
      </c>
      <c r="E186" t="s">
        <v>27</v>
      </c>
      <c r="F186" t="s">
        <v>28</v>
      </c>
      <c r="G186">
        <v>352525</v>
      </c>
      <c r="H186">
        <v>337424</v>
      </c>
      <c r="I186">
        <v>-15101</v>
      </c>
      <c r="J186" t="s">
        <v>19</v>
      </c>
      <c r="K186" t="s">
        <v>20</v>
      </c>
      <c r="L186" t="s">
        <v>68</v>
      </c>
      <c r="M186" t="s">
        <v>22</v>
      </c>
    </row>
    <row r="187" spans="1:13">
      <c r="A187" t="s">
        <v>403</v>
      </c>
      <c r="B187" t="s">
        <v>404</v>
      </c>
      <c r="C187" t="s">
        <v>45</v>
      </c>
      <c r="D187" t="s">
        <v>16</v>
      </c>
      <c r="E187" t="s">
        <v>35</v>
      </c>
      <c r="F187" t="s">
        <v>36</v>
      </c>
      <c r="G187">
        <v>432779</v>
      </c>
      <c r="H187">
        <v>335756</v>
      </c>
      <c r="I187">
        <v>-97023</v>
      </c>
      <c r="J187" t="s">
        <v>54</v>
      </c>
      <c r="K187" t="s">
        <v>41</v>
      </c>
      <c r="L187" t="s">
        <v>49</v>
      </c>
      <c r="M187" t="s">
        <v>42</v>
      </c>
    </row>
    <row r="188" spans="1:13">
      <c r="A188" t="s">
        <v>405</v>
      </c>
      <c r="B188" t="s">
        <v>406</v>
      </c>
      <c r="C188" t="s">
        <v>15</v>
      </c>
      <c r="D188" t="s">
        <v>61</v>
      </c>
      <c r="E188" t="s">
        <v>17</v>
      </c>
      <c r="F188" t="s">
        <v>18</v>
      </c>
      <c r="G188">
        <v>209276</v>
      </c>
      <c r="H188">
        <v>263993</v>
      </c>
      <c r="I188">
        <v>54717</v>
      </c>
      <c r="J188" t="s">
        <v>37</v>
      </c>
      <c r="K188" t="s">
        <v>29</v>
      </c>
      <c r="L188" t="s">
        <v>30</v>
      </c>
      <c r="M188" t="s">
        <v>22</v>
      </c>
    </row>
    <row r="189" spans="1:13">
      <c r="A189" t="s">
        <v>407</v>
      </c>
      <c r="B189" t="s">
        <v>408</v>
      </c>
      <c r="C189" t="s">
        <v>45</v>
      </c>
      <c r="D189" t="s">
        <v>40</v>
      </c>
      <c r="E189" t="s">
        <v>27</v>
      </c>
      <c r="F189" t="s">
        <v>28</v>
      </c>
      <c r="G189">
        <v>79870</v>
      </c>
      <c r="H189">
        <v>97232</v>
      </c>
      <c r="I189">
        <v>17362</v>
      </c>
      <c r="J189" t="s">
        <v>19</v>
      </c>
      <c r="K189" t="s">
        <v>67</v>
      </c>
      <c r="L189" t="s">
        <v>49</v>
      </c>
      <c r="M189" t="s">
        <v>22</v>
      </c>
    </row>
    <row r="190" spans="1:13">
      <c r="A190" t="s">
        <v>409</v>
      </c>
      <c r="B190" t="s">
        <v>410</v>
      </c>
      <c r="C190" t="s">
        <v>64</v>
      </c>
      <c r="D190" t="s">
        <v>61</v>
      </c>
      <c r="E190" t="s">
        <v>17</v>
      </c>
      <c r="F190" t="s">
        <v>18</v>
      </c>
      <c r="G190">
        <v>381919</v>
      </c>
      <c r="H190">
        <v>294008</v>
      </c>
      <c r="I190">
        <v>-87911</v>
      </c>
      <c r="J190" t="s">
        <v>19</v>
      </c>
      <c r="K190" t="s">
        <v>29</v>
      </c>
      <c r="L190" t="s">
        <v>68</v>
      </c>
      <c r="M190" t="s">
        <v>22</v>
      </c>
    </row>
    <row r="191" spans="1:13">
      <c r="A191" t="s">
        <v>411</v>
      </c>
      <c r="B191" t="s">
        <v>412</v>
      </c>
      <c r="C191" t="s">
        <v>33</v>
      </c>
      <c r="D191" t="s">
        <v>61</v>
      </c>
      <c r="E191" t="s">
        <v>85</v>
      </c>
      <c r="F191" t="s">
        <v>86</v>
      </c>
      <c r="G191">
        <v>88938</v>
      </c>
      <c r="H191">
        <v>70343</v>
      </c>
      <c r="I191">
        <v>-18595</v>
      </c>
      <c r="J191" t="s">
        <v>19</v>
      </c>
      <c r="K191" t="s">
        <v>48</v>
      </c>
      <c r="L191" t="s">
        <v>68</v>
      </c>
      <c r="M191" t="s">
        <v>42</v>
      </c>
    </row>
    <row r="192" spans="1:13">
      <c r="A192" t="s">
        <v>413</v>
      </c>
      <c r="B192" t="s">
        <v>414</v>
      </c>
      <c r="C192" t="s">
        <v>15</v>
      </c>
      <c r="D192" t="s">
        <v>16</v>
      </c>
      <c r="E192" t="s">
        <v>17</v>
      </c>
      <c r="F192" t="s">
        <v>18</v>
      </c>
      <c r="G192">
        <v>167384</v>
      </c>
      <c r="H192">
        <v>217341</v>
      </c>
      <c r="I192">
        <v>49957</v>
      </c>
      <c r="J192" t="s">
        <v>54</v>
      </c>
      <c r="K192" t="s">
        <v>29</v>
      </c>
      <c r="L192" t="s">
        <v>21</v>
      </c>
      <c r="M192" t="s">
        <v>22</v>
      </c>
    </row>
    <row r="193" spans="1:13">
      <c r="A193" t="s">
        <v>415</v>
      </c>
      <c r="B193" t="s">
        <v>178</v>
      </c>
      <c r="C193" t="s">
        <v>33</v>
      </c>
      <c r="D193" t="s">
        <v>16</v>
      </c>
      <c r="E193" t="s">
        <v>46</v>
      </c>
      <c r="F193" t="s">
        <v>47</v>
      </c>
      <c r="G193">
        <v>50610</v>
      </c>
      <c r="H193">
        <v>67704</v>
      </c>
      <c r="I193">
        <v>17094</v>
      </c>
      <c r="J193" t="s">
        <v>54</v>
      </c>
      <c r="K193" t="s">
        <v>41</v>
      </c>
      <c r="L193" t="s">
        <v>30</v>
      </c>
      <c r="M193" t="s">
        <v>22</v>
      </c>
    </row>
    <row r="194" spans="1:13">
      <c r="A194" t="s">
        <v>416</v>
      </c>
      <c r="B194" t="s">
        <v>186</v>
      </c>
      <c r="C194" t="s">
        <v>25</v>
      </c>
      <c r="D194" t="s">
        <v>16</v>
      </c>
      <c r="E194" t="s">
        <v>71</v>
      </c>
      <c r="F194" t="s">
        <v>72</v>
      </c>
      <c r="G194">
        <v>478806</v>
      </c>
      <c r="H194">
        <v>416756</v>
      </c>
      <c r="I194">
        <v>-62050</v>
      </c>
      <c r="J194" t="s">
        <v>37</v>
      </c>
      <c r="K194" t="s">
        <v>20</v>
      </c>
      <c r="L194" t="s">
        <v>49</v>
      </c>
      <c r="M194" t="s">
        <v>22</v>
      </c>
    </row>
    <row r="195" spans="1:13">
      <c r="A195" t="s">
        <v>417</v>
      </c>
      <c r="B195" t="s">
        <v>418</v>
      </c>
      <c r="C195" t="s">
        <v>45</v>
      </c>
      <c r="D195" t="s">
        <v>16</v>
      </c>
      <c r="E195" t="s">
        <v>46</v>
      </c>
      <c r="F195" t="s">
        <v>47</v>
      </c>
      <c r="G195">
        <v>405176</v>
      </c>
      <c r="H195">
        <v>323764</v>
      </c>
      <c r="I195">
        <v>-81412</v>
      </c>
      <c r="J195" t="s">
        <v>19</v>
      </c>
      <c r="K195" t="s">
        <v>41</v>
      </c>
      <c r="L195" t="s">
        <v>49</v>
      </c>
      <c r="M195" t="s">
        <v>42</v>
      </c>
    </row>
    <row r="196" spans="1:13">
      <c r="A196" t="s">
        <v>419</v>
      </c>
      <c r="B196" t="s">
        <v>60</v>
      </c>
      <c r="C196" t="s">
        <v>45</v>
      </c>
      <c r="D196" t="s">
        <v>40</v>
      </c>
      <c r="E196" t="s">
        <v>27</v>
      </c>
      <c r="F196" t="s">
        <v>28</v>
      </c>
      <c r="G196">
        <v>320032</v>
      </c>
      <c r="H196">
        <v>382498</v>
      </c>
      <c r="I196">
        <v>62466</v>
      </c>
      <c r="J196" t="s">
        <v>19</v>
      </c>
      <c r="K196" t="s">
        <v>20</v>
      </c>
      <c r="L196" t="s">
        <v>68</v>
      </c>
      <c r="M196" t="s">
        <v>22</v>
      </c>
    </row>
    <row r="197" spans="1:13">
      <c r="A197" t="s">
        <v>420</v>
      </c>
      <c r="B197" t="s">
        <v>421</v>
      </c>
      <c r="C197" t="s">
        <v>15</v>
      </c>
      <c r="D197" t="s">
        <v>16</v>
      </c>
      <c r="E197" t="s">
        <v>17</v>
      </c>
      <c r="F197" t="s">
        <v>18</v>
      </c>
      <c r="G197">
        <v>174381</v>
      </c>
      <c r="H197">
        <v>239680</v>
      </c>
      <c r="I197">
        <v>65299</v>
      </c>
      <c r="J197" t="s">
        <v>37</v>
      </c>
      <c r="K197" t="s">
        <v>67</v>
      </c>
      <c r="L197" t="s">
        <v>49</v>
      </c>
      <c r="M197" t="s">
        <v>22</v>
      </c>
    </row>
    <row r="198" spans="1:13">
      <c r="A198" t="s">
        <v>422</v>
      </c>
      <c r="B198" t="s">
        <v>423</v>
      </c>
      <c r="C198" t="s">
        <v>64</v>
      </c>
      <c r="D198" t="s">
        <v>40</v>
      </c>
      <c r="E198" t="s">
        <v>85</v>
      </c>
      <c r="F198" t="s">
        <v>86</v>
      </c>
      <c r="G198">
        <v>455071</v>
      </c>
      <c r="H198">
        <v>558915</v>
      </c>
      <c r="I198">
        <v>103844</v>
      </c>
      <c r="J198" t="s">
        <v>37</v>
      </c>
      <c r="K198" t="s">
        <v>67</v>
      </c>
      <c r="L198" t="s">
        <v>21</v>
      </c>
      <c r="M198" t="s">
        <v>42</v>
      </c>
    </row>
    <row r="199" spans="1:13">
      <c r="A199" t="s">
        <v>424</v>
      </c>
      <c r="B199" t="s">
        <v>425</v>
      </c>
      <c r="C199" t="s">
        <v>15</v>
      </c>
      <c r="D199" t="s">
        <v>34</v>
      </c>
      <c r="E199" t="s">
        <v>35</v>
      </c>
      <c r="F199" t="s">
        <v>36</v>
      </c>
      <c r="G199">
        <v>147689</v>
      </c>
      <c r="H199">
        <v>116298</v>
      </c>
      <c r="I199">
        <v>-31391</v>
      </c>
      <c r="J199" t="s">
        <v>37</v>
      </c>
      <c r="K199" t="s">
        <v>41</v>
      </c>
      <c r="L199" t="s">
        <v>68</v>
      </c>
      <c r="M199" t="s">
        <v>22</v>
      </c>
    </row>
    <row r="200" spans="1:13">
      <c r="A200" t="s">
        <v>426</v>
      </c>
      <c r="B200" t="s">
        <v>427</v>
      </c>
      <c r="C200" t="s">
        <v>64</v>
      </c>
      <c r="D200" t="s">
        <v>26</v>
      </c>
      <c r="E200" t="s">
        <v>35</v>
      </c>
      <c r="F200" t="s">
        <v>36</v>
      </c>
      <c r="G200">
        <v>410644</v>
      </c>
      <c r="H200">
        <v>545638</v>
      </c>
      <c r="I200">
        <v>134994</v>
      </c>
      <c r="J200" t="s">
        <v>19</v>
      </c>
      <c r="K200" t="s">
        <v>48</v>
      </c>
      <c r="L200" t="s">
        <v>49</v>
      </c>
      <c r="M200" t="s">
        <v>22</v>
      </c>
    </row>
    <row r="201" spans="1:13">
      <c r="A201" t="s">
        <v>428</v>
      </c>
      <c r="B201" t="s">
        <v>235</v>
      </c>
      <c r="C201" t="s">
        <v>64</v>
      </c>
      <c r="D201" t="s">
        <v>26</v>
      </c>
      <c r="E201" t="s">
        <v>35</v>
      </c>
      <c r="F201" t="s">
        <v>36</v>
      </c>
      <c r="G201">
        <v>192273</v>
      </c>
      <c r="H201">
        <v>250922</v>
      </c>
      <c r="I201">
        <v>58649</v>
      </c>
      <c r="J201" t="s">
        <v>19</v>
      </c>
      <c r="K201" t="s">
        <v>48</v>
      </c>
      <c r="L201" t="s">
        <v>68</v>
      </c>
      <c r="M201" t="s">
        <v>22</v>
      </c>
    </row>
    <row r="202" spans="1:13">
      <c r="A202" t="s">
        <v>429</v>
      </c>
      <c r="B202" t="s">
        <v>430</v>
      </c>
      <c r="C202" t="s">
        <v>15</v>
      </c>
      <c r="D202" t="s">
        <v>40</v>
      </c>
      <c r="E202" t="s">
        <v>71</v>
      </c>
      <c r="F202" t="s">
        <v>72</v>
      </c>
      <c r="G202">
        <v>327054</v>
      </c>
      <c r="H202">
        <v>401022</v>
      </c>
      <c r="I202">
        <v>73968</v>
      </c>
      <c r="J202" t="s">
        <v>54</v>
      </c>
      <c r="K202" t="s">
        <v>41</v>
      </c>
      <c r="L202" t="s">
        <v>49</v>
      </c>
      <c r="M202" t="s">
        <v>22</v>
      </c>
    </row>
    <row r="203" spans="1:13">
      <c r="A203" t="s">
        <v>431</v>
      </c>
      <c r="B203" t="s">
        <v>432</v>
      </c>
      <c r="C203" t="s">
        <v>33</v>
      </c>
      <c r="D203" t="s">
        <v>34</v>
      </c>
      <c r="E203" t="s">
        <v>27</v>
      </c>
      <c r="F203" t="s">
        <v>28</v>
      </c>
      <c r="G203">
        <v>101330</v>
      </c>
      <c r="H203">
        <v>92015</v>
      </c>
      <c r="I203">
        <v>-9315</v>
      </c>
      <c r="J203" t="s">
        <v>19</v>
      </c>
      <c r="K203" t="s">
        <v>29</v>
      </c>
      <c r="L203" t="s">
        <v>68</v>
      </c>
      <c r="M203" t="s">
        <v>42</v>
      </c>
    </row>
    <row r="204" spans="1:13">
      <c r="A204" t="s">
        <v>433</v>
      </c>
      <c r="B204" t="s">
        <v>434</v>
      </c>
      <c r="C204" t="s">
        <v>15</v>
      </c>
      <c r="D204" t="s">
        <v>34</v>
      </c>
      <c r="E204" t="s">
        <v>85</v>
      </c>
      <c r="F204" t="s">
        <v>86</v>
      </c>
      <c r="G204">
        <v>383406</v>
      </c>
      <c r="H204">
        <v>302936</v>
      </c>
      <c r="I204">
        <v>-80470</v>
      </c>
      <c r="J204" t="s">
        <v>54</v>
      </c>
      <c r="K204" t="s">
        <v>48</v>
      </c>
      <c r="L204" t="s">
        <v>49</v>
      </c>
      <c r="M204" t="s">
        <v>42</v>
      </c>
    </row>
    <row r="205" spans="1:13">
      <c r="A205" t="s">
        <v>435</v>
      </c>
      <c r="B205" t="s">
        <v>243</v>
      </c>
      <c r="C205" t="s">
        <v>15</v>
      </c>
      <c r="D205" t="s">
        <v>61</v>
      </c>
      <c r="E205" t="s">
        <v>85</v>
      </c>
      <c r="F205" t="s">
        <v>86</v>
      </c>
      <c r="G205">
        <v>58069</v>
      </c>
      <c r="H205">
        <v>79177</v>
      </c>
      <c r="I205">
        <v>21108</v>
      </c>
      <c r="J205" t="s">
        <v>19</v>
      </c>
      <c r="K205" t="s">
        <v>20</v>
      </c>
      <c r="L205" t="s">
        <v>49</v>
      </c>
      <c r="M205" t="s">
        <v>42</v>
      </c>
    </row>
    <row r="206" spans="1:13">
      <c r="A206" t="s">
        <v>436</v>
      </c>
      <c r="B206" t="s">
        <v>437</v>
      </c>
      <c r="C206" t="s">
        <v>25</v>
      </c>
      <c r="D206" t="s">
        <v>26</v>
      </c>
      <c r="E206" t="s">
        <v>46</v>
      </c>
      <c r="F206" t="s">
        <v>47</v>
      </c>
      <c r="G206">
        <v>79831</v>
      </c>
      <c r="H206">
        <v>87989</v>
      </c>
      <c r="I206">
        <v>8158</v>
      </c>
      <c r="J206" t="s">
        <v>19</v>
      </c>
      <c r="K206" t="s">
        <v>67</v>
      </c>
      <c r="L206" t="s">
        <v>68</v>
      </c>
      <c r="M206" t="s">
        <v>22</v>
      </c>
    </row>
    <row r="207" spans="1:13">
      <c r="A207" t="s">
        <v>438</v>
      </c>
      <c r="B207" t="s">
        <v>439</v>
      </c>
      <c r="C207" t="s">
        <v>35</v>
      </c>
      <c r="D207" t="s">
        <v>26</v>
      </c>
      <c r="E207" t="s">
        <v>71</v>
      </c>
      <c r="F207" t="s">
        <v>72</v>
      </c>
      <c r="G207">
        <v>317384</v>
      </c>
      <c r="H207">
        <v>402547</v>
      </c>
      <c r="I207">
        <v>85163</v>
      </c>
      <c r="J207" t="s">
        <v>54</v>
      </c>
      <c r="K207" t="s">
        <v>41</v>
      </c>
      <c r="L207" t="s">
        <v>68</v>
      </c>
      <c r="M207" t="s">
        <v>42</v>
      </c>
    </row>
    <row r="208" spans="1:13">
      <c r="A208" t="s">
        <v>440</v>
      </c>
      <c r="B208" t="s">
        <v>441</v>
      </c>
      <c r="C208" t="s">
        <v>15</v>
      </c>
      <c r="D208" t="s">
        <v>34</v>
      </c>
      <c r="E208" t="s">
        <v>17</v>
      </c>
      <c r="F208" t="s">
        <v>18</v>
      </c>
      <c r="G208">
        <v>399683</v>
      </c>
      <c r="H208">
        <v>443801</v>
      </c>
      <c r="I208">
        <v>44118</v>
      </c>
      <c r="J208" t="s">
        <v>54</v>
      </c>
      <c r="K208" t="s">
        <v>20</v>
      </c>
      <c r="L208" t="s">
        <v>30</v>
      </c>
      <c r="M208" t="s">
        <v>22</v>
      </c>
    </row>
    <row r="209" spans="1:13">
      <c r="A209" t="s">
        <v>442</v>
      </c>
      <c r="B209" t="s">
        <v>443</v>
      </c>
      <c r="C209" t="s">
        <v>25</v>
      </c>
      <c r="D209" t="s">
        <v>26</v>
      </c>
      <c r="E209" t="s">
        <v>17</v>
      </c>
      <c r="F209" t="s">
        <v>18</v>
      </c>
      <c r="G209">
        <v>231480</v>
      </c>
      <c r="H209">
        <v>271357</v>
      </c>
      <c r="I209">
        <v>39877</v>
      </c>
      <c r="J209" t="s">
        <v>37</v>
      </c>
      <c r="K209" t="s">
        <v>20</v>
      </c>
      <c r="L209" t="s">
        <v>30</v>
      </c>
      <c r="M209" t="s">
        <v>42</v>
      </c>
    </row>
    <row r="210" spans="1:13">
      <c r="A210" t="s">
        <v>444</v>
      </c>
      <c r="B210" t="s">
        <v>445</v>
      </c>
      <c r="C210" t="s">
        <v>15</v>
      </c>
      <c r="D210" t="s">
        <v>34</v>
      </c>
      <c r="E210" t="s">
        <v>85</v>
      </c>
      <c r="F210" t="s">
        <v>86</v>
      </c>
      <c r="G210">
        <v>86527</v>
      </c>
      <c r="H210">
        <v>63928</v>
      </c>
      <c r="I210">
        <v>-22599</v>
      </c>
      <c r="J210" t="s">
        <v>19</v>
      </c>
      <c r="K210" t="s">
        <v>29</v>
      </c>
      <c r="L210" t="s">
        <v>68</v>
      </c>
      <c r="M210" t="s">
        <v>22</v>
      </c>
    </row>
    <row r="211" spans="1:13">
      <c r="A211" t="s">
        <v>446</v>
      </c>
      <c r="B211" t="s">
        <v>447</v>
      </c>
      <c r="C211" t="s">
        <v>45</v>
      </c>
      <c r="D211" t="s">
        <v>16</v>
      </c>
      <c r="E211" t="s">
        <v>71</v>
      </c>
      <c r="F211" t="s">
        <v>72</v>
      </c>
      <c r="G211">
        <v>255059</v>
      </c>
      <c r="H211">
        <v>244912</v>
      </c>
      <c r="I211">
        <v>-10147</v>
      </c>
      <c r="J211" t="s">
        <v>54</v>
      </c>
      <c r="K211" t="s">
        <v>67</v>
      </c>
      <c r="L211" t="s">
        <v>68</v>
      </c>
      <c r="M211" t="s">
        <v>22</v>
      </c>
    </row>
    <row r="212" spans="1:13">
      <c r="A212" t="s">
        <v>448</v>
      </c>
      <c r="B212" t="s">
        <v>449</v>
      </c>
      <c r="C212" t="s">
        <v>64</v>
      </c>
      <c r="D212" t="s">
        <v>61</v>
      </c>
      <c r="E212" t="s">
        <v>35</v>
      </c>
      <c r="F212" t="s">
        <v>36</v>
      </c>
      <c r="G212">
        <v>188263</v>
      </c>
      <c r="H212">
        <v>196576</v>
      </c>
      <c r="I212">
        <v>8313</v>
      </c>
      <c r="J212" t="s">
        <v>19</v>
      </c>
      <c r="K212" t="s">
        <v>67</v>
      </c>
      <c r="L212" t="s">
        <v>68</v>
      </c>
      <c r="M212" t="s">
        <v>22</v>
      </c>
    </row>
    <row r="213" spans="1:13">
      <c r="A213" t="s">
        <v>450</v>
      </c>
      <c r="B213" t="s">
        <v>451</v>
      </c>
      <c r="C213" t="s">
        <v>45</v>
      </c>
      <c r="D213" t="s">
        <v>34</v>
      </c>
      <c r="E213" t="s">
        <v>27</v>
      </c>
      <c r="F213" t="s">
        <v>28</v>
      </c>
      <c r="G213">
        <v>370123</v>
      </c>
      <c r="H213">
        <v>300372</v>
      </c>
      <c r="I213">
        <v>-69751</v>
      </c>
      <c r="J213" t="s">
        <v>19</v>
      </c>
      <c r="K213" t="s">
        <v>41</v>
      </c>
      <c r="L213" t="s">
        <v>30</v>
      </c>
      <c r="M213" t="s">
        <v>42</v>
      </c>
    </row>
    <row r="214" spans="1:13">
      <c r="A214" t="s">
        <v>452</v>
      </c>
      <c r="B214" t="s">
        <v>453</v>
      </c>
      <c r="C214" t="s">
        <v>15</v>
      </c>
      <c r="D214" t="s">
        <v>61</v>
      </c>
      <c r="E214" t="s">
        <v>27</v>
      </c>
      <c r="F214" t="s">
        <v>28</v>
      </c>
      <c r="G214">
        <v>474743</v>
      </c>
      <c r="H214">
        <v>487699</v>
      </c>
      <c r="I214">
        <v>12956</v>
      </c>
      <c r="J214" t="s">
        <v>37</v>
      </c>
      <c r="K214" t="s">
        <v>20</v>
      </c>
      <c r="L214" t="s">
        <v>21</v>
      </c>
      <c r="M214" t="s">
        <v>22</v>
      </c>
    </row>
    <row r="215" spans="1:13">
      <c r="A215" t="s">
        <v>454</v>
      </c>
      <c r="B215" t="s">
        <v>128</v>
      </c>
      <c r="C215" t="s">
        <v>25</v>
      </c>
      <c r="D215" t="s">
        <v>16</v>
      </c>
      <c r="E215" t="s">
        <v>17</v>
      </c>
      <c r="F215" t="s">
        <v>18</v>
      </c>
      <c r="G215">
        <v>182804</v>
      </c>
      <c r="H215">
        <v>181127</v>
      </c>
      <c r="I215">
        <v>-1677</v>
      </c>
      <c r="J215" t="s">
        <v>54</v>
      </c>
      <c r="K215" t="s">
        <v>41</v>
      </c>
      <c r="L215" t="s">
        <v>21</v>
      </c>
      <c r="M215" t="s">
        <v>42</v>
      </c>
    </row>
    <row r="216" spans="1:13">
      <c r="A216" t="s">
        <v>455</v>
      </c>
      <c r="B216" t="s">
        <v>456</v>
      </c>
      <c r="C216" t="s">
        <v>25</v>
      </c>
      <c r="D216" t="s">
        <v>16</v>
      </c>
      <c r="E216" t="s">
        <v>85</v>
      </c>
      <c r="F216" t="s">
        <v>86</v>
      </c>
      <c r="G216">
        <v>72376</v>
      </c>
      <c r="H216">
        <v>77244</v>
      </c>
      <c r="I216">
        <v>4868</v>
      </c>
      <c r="J216" t="s">
        <v>37</v>
      </c>
      <c r="K216" t="s">
        <v>29</v>
      </c>
      <c r="L216" t="s">
        <v>21</v>
      </c>
      <c r="M216" t="s">
        <v>22</v>
      </c>
    </row>
    <row r="217" spans="1:13">
      <c r="A217" t="s">
        <v>457</v>
      </c>
      <c r="B217" t="s">
        <v>458</v>
      </c>
      <c r="C217" t="s">
        <v>64</v>
      </c>
      <c r="D217" t="s">
        <v>26</v>
      </c>
      <c r="E217" t="s">
        <v>71</v>
      </c>
      <c r="F217" t="s">
        <v>72</v>
      </c>
      <c r="G217">
        <v>196642</v>
      </c>
      <c r="H217">
        <v>201346</v>
      </c>
      <c r="I217">
        <v>4704</v>
      </c>
      <c r="J217" t="s">
        <v>37</v>
      </c>
      <c r="K217" t="s">
        <v>29</v>
      </c>
      <c r="L217" t="s">
        <v>49</v>
      </c>
      <c r="M217" t="s">
        <v>22</v>
      </c>
    </row>
    <row r="218" spans="1:13">
      <c r="A218" t="s">
        <v>459</v>
      </c>
      <c r="B218" t="s">
        <v>460</v>
      </c>
      <c r="C218" t="s">
        <v>45</v>
      </c>
      <c r="D218" t="s">
        <v>40</v>
      </c>
      <c r="E218" t="s">
        <v>85</v>
      </c>
      <c r="F218" t="s">
        <v>86</v>
      </c>
      <c r="G218">
        <v>236821</v>
      </c>
      <c r="H218">
        <v>322630</v>
      </c>
      <c r="I218">
        <v>85809</v>
      </c>
      <c r="J218" t="s">
        <v>37</v>
      </c>
      <c r="K218" t="s">
        <v>67</v>
      </c>
      <c r="L218" t="s">
        <v>68</v>
      </c>
      <c r="M218" t="s">
        <v>42</v>
      </c>
    </row>
    <row r="219" spans="1:13">
      <c r="A219" t="s">
        <v>461</v>
      </c>
      <c r="B219" t="s">
        <v>462</v>
      </c>
      <c r="C219" t="s">
        <v>33</v>
      </c>
      <c r="D219" t="s">
        <v>61</v>
      </c>
      <c r="E219" t="s">
        <v>27</v>
      </c>
      <c r="F219" t="s">
        <v>28</v>
      </c>
      <c r="G219">
        <v>254509</v>
      </c>
      <c r="H219">
        <v>342484</v>
      </c>
      <c r="I219">
        <v>87975</v>
      </c>
      <c r="J219" t="s">
        <v>54</v>
      </c>
      <c r="K219" t="s">
        <v>41</v>
      </c>
      <c r="L219" t="s">
        <v>49</v>
      </c>
      <c r="M219" t="s">
        <v>22</v>
      </c>
    </row>
    <row r="220" spans="1:13">
      <c r="A220" t="s">
        <v>463</v>
      </c>
      <c r="B220" t="s">
        <v>184</v>
      </c>
      <c r="C220" t="s">
        <v>35</v>
      </c>
      <c r="D220" t="s">
        <v>26</v>
      </c>
      <c r="E220" t="s">
        <v>85</v>
      </c>
      <c r="F220" t="s">
        <v>86</v>
      </c>
      <c r="G220">
        <v>285684</v>
      </c>
      <c r="H220">
        <v>287663</v>
      </c>
      <c r="I220">
        <v>1979</v>
      </c>
      <c r="J220" t="s">
        <v>19</v>
      </c>
      <c r="K220" t="s">
        <v>67</v>
      </c>
      <c r="L220" t="s">
        <v>68</v>
      </c>
      <c r="M220" t="s">
        <v>22</v>
      </c>
    </row>
    <row r="221" spans="1:13">
      <c r="A221" t="s">
        <v>464</v>
      </c>
      <c r="B221" t="s">
        <v>465</v>
      </c>
      <c r="C221" t="s">
        <v>15</v>
      </c>
      <c r="D221" t="s">
        <v>34</v>
      </c>
      <c r="E221" t="s">
        <v>17</v>
      </c>
      <c r="F221" t="s">
        <v>18</v>
      </c>
      <c r="G221">
        <v>273980</v>
      </c>
      <c r="H221">
        <v>276328</v>
      </c>
      <c r="I221">
        <v>2348</v>
      </c>
      <c r="J221" t="s">
        <v>37</v>
      </c>
      <c r="K221" t="s">
        <v>29</v>
      </c>
      <c r="L221" t="s">
        <v>30</v>
      </c>
      <c r="M221" t="s">
        <v>22</v>
      </c>
    </row>
    <row r="222" spans="1:13">
      <c r="A222" t="s">
        <v>466</v>
      </c>
      <c r="B222" t="s">
        <v>467</v>
      </c>
      <c r="C222" t="s">
        <v>64</v>
      </c>
      <c r="D222" t="s">
        <v>40</v>
      </c>
      <c r="E222" t="s">
        <v>71</v>
      </c>
      <c r="F222" t="s">
        <v>72</v>
      </c>
      <c r="G222">
        <v>354203</v>
      </c>
      <c r="H222">
        <v>415525</v>
      </c>
      <c r="I222">
        <v>61322</v>
      </c>
      <c r="J222" t="s">
        <v>37</v>
      </c>
      <c r="K222" t="s">
        <v>41</v>
      </c>
      <c r="L222" t="s">
        <v>68</v>
      </c>
      <c r="M222" t="s">
        <v>22</v>
      </c>
    </row>
    <row r="223" spans="1:13">
      <c r="A223" t="s">
        <v>468</v>
      </c>
      <c r="B223" t="s">
        <v>469</v>
      </c>
      <c r="C223" t="s">
        <v>15</v>
      </c>
      <c r="D223" t="s">
        <v>40</v>
      </c>
      <c r="E223" t="s">
        <v>71</v>
      </c>
      <c r="F223" t="s">
        <v>72</v>
      </c>
      <c r="G223">
        <v>180319</v>
      </c>
      <c r="H223">
        <v>174891</v>
      </c>
      <c r="I223">
        <v>-5428</v>
      </c>
      <c r="J223" t="s">
        <v>37</v>
      </c>
      <c r="K223" t="s">
        <v>41</v>
      </c>
      <c r="L223" t="s">
        <v>21</v>
      </c>
      <c r="M223" t="s">
        <v>42</v>
      </c>
    </row>
    <row r="224" spans="1:13">
      <c r="A224" t="s">
        <v>470</v>
      </c>
      <c r="B224" t="s">
        <v>471</v>
      </c>
      <c r="C224" t="s">
        <v>45</v>
      </c>
      <c r="D224" t="s">
        <v>61</v>
      </c>
      <c r="E224" t="s">
        <v>27</v>
      </c>
      <c r="F224" t="s">
        <v>28</v>
      </c>
      <c r="G224">
        <v>476900</v>
      </c>
      <c r="H224">
        <v>420391</v>
      </c>
      <c r="I224">
        <v>-56509</v>
      </c>
      <c r="J224" t="s">
        <v>37</v>
      </c>
      <c r="K224" t="s">
        <v>67</v>
      </c>
      <c r="L224" t="s">
        <v>68</v>
      </c>
      <c r="M224" t="s">
        <v>42</v>
      </c>
    </row>
    <row r="225" spans="1:13">
      <c r="A225" t="s">
        <v>472</v>
      </c>
      <c r="B225" t="s">
        <v>473</v>
      </c>
      <c r="C225" t="s">
        <v>15</v>
      </c>
      <c r="D225" t="s">
        <v>40</v>
      </c>
      <c r="E225" t="s">
        <v>27</v>
      </c>
      <c r="F225" t="s">
        <v>28</v>
      </c>
      <c r="G225">
        <v>313006</v>
      </c>
      <c r="H225">
        <v>327112</v>
      </c>
      <c r="I225">
        <v>14106</v>
      </c>
      <c r="J225" t="s">
        <v>54</v>
      </c>
      <c r="K225" t="s">
        <v>29</v>
      </c>
      <c r="L225" t="s">
        <v>68</v>
      </c>
      <c r="M225" t="s">
        <v>42</v>
      </c>
    </row>
    <row r="226" spans="1:13">
      <c r="A226" t="s">
        <v>474</v>
      </c>
      <c r="B226" t="s">
        <v>475</v>
      </c>
      <c r="C226" t="s">
        <v>33</v>
      </c>
      <c r="D226" t="s">
        <v>61</v>
      </c>
      <c r="E226" t="s">
        <v>27</v>
      </c>
      <c r="F226" t="s">
        <v>28</v>
      </c>
      <c r="G226">
        <v>117709</v>
      </c>
      <c r="H226">
        <v>87266</v>
      </c>
      <c r="I226">
        <v>-30443</v>
      </c>
      <c r="J226" t="s">
        <v>37</v>
      </c>
      <c r="K226" t="s">
        <v>29</v>
      </c>
      <c r="L226" t="s">
        <v>49</v>
      </c>
      <c r="M226" t="s">
        <v>42</v>
      </c>
    </row>
    <row r="227" spans="1:13">
      <c r="A227" t="s">
        <v>476</v>
      </c>
      <c r="B227" t="s">
        <v>348</v>
      </c>
      <c r="C227" t="s">
        <v>64</v>
      </c>
      <c r="D227" t="s">
        <v>61</v>
      </c>
      <c r="E227" t="s">
        <v>71</v>
      </c>
      <c r="F227" t="s">
        <v>72</v>
      </c>
      <c r="G227">
        <v>57986</v>
      </c>
      <c r="H227">
        <v>54578</v>
      </c>
      <c r="I227">
        <v>-3408</v>
      </c>
      <c r="J227" t="s">
        <v>19</v>
      </c>
      <c r="K227" t="s">
        <v>48</v>
      </c>
      <c r="L227" t="s">
        <v>68</v>
      </c>
      <c r="M227" t="s">
        <v>42</v>
      </c>
    </row>
    <row r="228" spans="1:13">
      <c r="A228" t="s">
        <v>477</v>
      </c>
      <c r="B228" t="s">
        <v>337</v>
      </c>
      <c r="C228" t="s">
        <v>33</v>
      </c>
      <c r="D228" t="s">
        <v>34</v>
      </c>
      <c r="E228" t="s">
        <v>46</v>
      </c>
      <c r="F228" t="s">
        <v>47</v>
      </c>
      <c r="G228">
        <v>205144</v>
      </c>
      <c r="H228">
        <v>223225</v>
      </c>
      <c r="I228">
        <v>18081</v>
      </c>
      <c r="J228" t="s">
        <v>54</v>
      </c>
      <c r="K228" t="s">
        <v>67</v>
      </c>
      <c r="L228" t="s">
        <v>21</v>
      </c>
      <c r="M228" t="s">
        <v>22</v>
      </c>
    </row>
    <row r="229" spans="1:13">
      <c r="A229" t="s">
        <v>478</v>
      </c>
      <c r="B229" t="s">
        <v>479</v>
      </c>
      <c r="C229" t="s">
        <v>45</v>
      </c>
      <c r="D229" t="s">
        <v>40</v>
      </c>
      <c r="E229" t="s">
        <v>35</v>
      </c>
      <c r="F229" t="s">
        <v>36</v>
      </c>
      <c r="G229">
        <v>241177</v>
      </c>
      <c r="H229">
        <v>333768</v>
      </c>
      <c r="I229">
        <v>92591</v>
      </c>
      <c r="J229" t="s">
        <v>54</v>
      </c>
      <c r="K229" t="s">
        <v>20</v>
      </c>
      <c r="L229" t="s">
        <v>49</v>
      </c>
      <c r="M229" t="s">
        <v>22</v>
      </c>
    </row>
    <row r="230" spans="1:13">
      <c r="A230" t="s">
        <v>480</v>
      </c>
      <c r="B230" t="s">
        <v>481</v>
      </c>
      <c r="C230" t="s">
        <v>35</v>
      </c>
      <c r="D230" t="s">
        <v>26</v>
      </c>
      <c r="E230" t="s">
        <v>46</v>
      </c>
      <c r="F230" t="s">
        <v>47</v>
      </c>
      <c r="G230">
        <v>300138</v>
      </c>
      <c r="H230">
        <v>339723</v>
      </c>
      <c r="I230">
        <v>39585</v>
      </c>
      <c r="J230" t="s">
        <v>54</v>
      </c>
      <c r="K230" t="s">
        <v>48</v>
      </c>
      <c r="L230" t="s">
        <v>68</v>
      </c>
      <c r="M230" t="s">
        <v>42</v>
      </c>
    </row>
    <row r="231" spans="1:13">
      <c r="A231" t="s">
        <v>482</v>
      </c>
      <c r="B231" t="s">
        <v>483</v>
      </c>
      <c r="C231" t="s">
        <v>33</v>
      </c>
      <c r="D231" t="s">
        <v>26</v>
      </c>
      <c r="E231" t="s">
        <v>17</v>
      </c>
      <c r="F231" t="s">
        <v>18</v>
      </c>
      <c r="G231">
        <v>320928</v>
      </c>
      <c r="H231">
        <v>288586</v>
      </c>
      <c r="I231">
        <v>-32342</v>
      </c>
      <c r="J231" t="s">
        <v>19</v>
      </c>
      <c r="K231" t="s">
        <v>29</v>
      </c>
      <c r="L231" t="s">
        <v>68</v>
      </c>
      <c r="M231" t="s">
        <v>22</v>
      </c>
    </row>
    <row r="232" spans="1:13">
      <c r="A232" t="s">
        <v>484</v>
      </c>
      <c r="B232" t="s">
        <v>485</v>
      </c>
      <c r="C232" t="s">
        <v>35</v>
      </c>
      <c r="D232" t="s">
        <v>26</v>
      </c>
      <c r="E232" t="s">
        <v>35</v>
      </c>
      <c r="F232" t="s">
        <v>36</v>
      </c>
      <c r="G232">
        <v>53219</v>
      </c>
      <c r="H232">
        <v>74246</v>
      </c>
      <c r="I232">
        <v>21027</v>
      </c>
      <c r="J232" t="s">
        <v>54</v>
      </c>
      <c r="K232" t="s">
        <v>29</v>
      </c>
      <c r="L232" t="s">
        <v>49</v>
      </c>
      <c r="M232" t="s">
        <v>22</v>
      </c>
    </row>
    <row r="233" spans="1:13">
      <c r="A233" t="s">
        <v>486</v>
      </c>
      <c r="B233" t="s">
        <v>487</v>
      </c>
      <c r="C233" t="s">
        <v>45</v>
      </c>
      <c r="D233" t="s">
        <v>40</v>
      </c>
      <c r="E233" t="s">
        <v>17</v>
      </c>
      <c r="F233" t="s">
        <v>18</v>
      </c>
      <c r="G233">
        <v>457954</v>
      </c>
      <c r="H233">
        <v>619301</v>
      </c>
      <c r="I233">
        <v>161347</v>
      </c>
      <c r="J233" t="s">
        <v>37</v>
      </c>
      <c r="K233" t="s">
        <v>67</v>
      </c>
      <c r="L233" t="s">
        <v>49</v>
      </c>
      <c r="M233" t="s">
        <v>42</v>
      </c>
    </row>
    <row r="234" spans="1:13">
      <c r="A234" t="s">
        <v>488</v>
      </c>
      <c r="B234" t="s">
        <v>489</v>
      </c>
      <c r="C234" t="s">
        <v>33</v>
      </c>
      <c r="D234" t="s">
        <v>26</v>
      </c>
      <c r="E234" t="s">
        <v>46</v>
      </c>
      <c r="F234" t="s">
        <v>47</v>
      </c>
      <c r="G234">
        <v>419339</v>
      </c>
      <c r="H234">
        <v>362680</v>
      </c>
      <c r="I234">
        <v>-56659</v>
      </c>
      <c r="J234" t="s">
        <v>37</v>
      </c>
      <c r="K234" t="s">
        <v>48</v>
      </c>
      <c r="L234" t="s">
        <v>21</v>
      </c>
      <c r="M234" t="s">
        <v>22</v>
      </c>
    </row>
    <row r="235" spans="1:13">
      <c r="A235" t="s">
        <v>490</v>
      </c>
      <c r="B235" t="s">
        <v>491</v>
      </c>
      <c r="C235" t="s">
        <v>33</v>
      </c>
      <c r="D235" t="s">
        <v>16</v>
      </c>
      <c r="E235" t="s">
        <v>71</v>
      </c>
      <c r="F235" t="s">
        <v>72</v>
      </c>
      <c r="G235">
        <v>456154</v>
      </c>
      <c r="H235">
        <v>363576</v>
      </c>
      <c r="I235">
        <v>-92578</v>
      </c>
      <c r="J235" t="s">
        <v>54</v>
      </c>
      <c r="K235" t="s">
        <v>20</v>
      </c>
      <c r="L235" t="s">
        <v>21</v>
      </c>
      <c r="M235" t="s">
        <v>42</v>
      </c>
    </row>
    <row r="236" spans="1:13">
      <c r="A236" t="s">
        <v>492</v>
      </c>
      <c r="B236" t="s">
        <v>493</v>
      </c>
      <c r="C236" t="s">
        <v>64</v>
      </c>
      <c r="D236" t="s">
        <v>34</v>
      </c>
      <c r="E236" t="s">
        <v>35</v>
      </c>
      <c r="F236" t="s">
        <v>36</v>
      </c>
      <c r="G236">
        <v>127544</v>
      </c>
      <c r="H236">
        <v>147704</v>
      </c>
      <c r="I236">
        <v>20160</v>
      </c>
      <c r="J236" t="s">
        <v>37</v>
      </c>
      <c r="K236" t="s">
        <v>20</v>
      </c>
      <c r="L236" t="s">
        <v>21</v>
      </c>
      <c r="M236" t="s">
        <v>42</v>
      </c>
    </row>
    <row r="237" spans="1:13">
      <c r="A237" t="s">
        <v>494</v>
      </c>
      <c r="B237" t="s">
        <v>495</v>
      </c>
      <c r="C237" t="s">
        <v>33</v>
      </c>
      <c r="D237" t="s">
        <v>16</v>
      </c>
      <c r="E237" t="s">
        <v>46</v>
      </c>
      <c r="F237" t="s">
        <v>47</v>
      </c>
      <c r="G237">
        <v>391439</v>
      </c>
      <c r="H237">
        <v>471204</v>
      </c>
      <c r="I237">
        <v>79765</v>
      </c>
      <c r="J237" t="s">
        <v>37</v>
      </c>
      <c r="K237" t="s">
        <v>29</v>
      </c>
      <c r="L237" t="s">
        <v>68</v>
      </c>
      <c r="M237" t="s">
        <v>22</v>
      </c>
    </row>
    <row r="238" spans="1:13">
      <c r="A238" t="s">
        <v>496</v>
      </c>
      <c r="B238" t="s">
        <v>497</v>
      </c>
      <c r="C238" t="s">
        <v>33</v>
      </c>
      <c r="D238" t="s">
        <v>34</v>
      </c>
      <c r="E238" t="s">
        <v>35</v>
      </c>
      <c r="F238" t="s">
        <v>36</v>
      </c>
      <c r="G238">
        <v>246208</v>
      </c>
      <c r="H238">
        <v>313577</v>
      </c>
      <c r="I238">
        <v>67369</v>
      </c>
      <c r="J238" t="s">
        <v>37</v>
      </c>
      <c r="K238" t="s">
        <v>67</v>
      </c>
      <c r="L238" t="s">
        <v>49</v>
      </c>
      <c r="M238" t="s">
        <v>22</v>
      </c>
    </row>
    <row r="239" spans="1:13">
      <c r="A239" t="s">
        <v>498</v>
      </c>
      <c r="B239" t="s">
        <v>499</v>
      </c>
      <c r="C239" t="s">
        <v>45</v>
      </c>
      <c r="D239" t="s">
        <v>16</v>
      </c>
      <c r="E239" t="s">
        <v>85</v>
      </c>
      <c r="F239" t="s">
        <v>86</v>
      </c>
      <c r="G239">
        <v>437240</v>
      </c>
      <c r="H239">
        <v>396241</v>
      </c>
      <c r="I239">
        <v>-40999</v>
      </c>
      <c r="J239" t="s">
        <v>19</v>
      </c>
      <c r="K239" t="s">
        <v>29</v>
      </c>
      <c r="L239" t="s">
        <v>49</v>
      </c>
      <c r="M239" t="s">
        <v>42</v>
      </c>
    </row>
    <row r="240" spans="1:13">
      <c r="A240" t="s">
        <v>500</v>
      </c>
      <c r="B240" t="s">
        <v>501</v>
      </c>
      <c r="C240" t="s">
        <v>25</v>
      </c>
      <c r="D240" t="s">
        <v>16</v>
      </c>
      <c r="E240" t="s">
        <v>17</v>
      </c>
      <c r="F240" t="s">
        <v>18</v>
      </c>
      <c r="G240">
        <v>383631</v>
      </c>
      <c r="H240">
        <v>358284</v>
      </c>
      <c r="I240">
        <v>-25347</v>
      </c>
      <c r="J240" t="s">
        <v>37</v>
      </c>
      <c r="K240" t="s">
        <v>67</v>
      </c>
      <c r="L240" t="s">
        <v>30</v>
      </c>
      <c r="M240" t="s">
        <v>22</v>
      </c>
    </row>
    <row r="241" spans="1:13">
      <c r="A241" t="s">
        <v>502</v>
      </c>
      <c r="B241" t="s">
        <v>503</v>
      </c>
      <c r="C241" t="s">
        <v>15</v>
      </c>
      <c r="D241" t="s">
        <v>26</v>
      </c>
      <c r="E241" t="s">
        <v>17</v>
      </c>
      <c r="F241" t="s">
        <v>18</v>
      </c>
      <c r="G241">
        <v>253118</v>
      </c>
      <c r="H241">
        <v>230197</v>
      </c>
      <c r="I241">
        <v>-22921</v>
      </c>
      <c r="J241" t="s">
        <v>37</v>
      </c>
      <c r="K241" t="s">
        <v>48</v>
      </c>
      <c r="L241" t="s">
        <v>68</v>
      </c>
      <c r="M241" t="s">
        <v>42</v>
      </c>
    </row>
    <row r="242" spans="1:13">
      <c r="A242" t="s">
        <v>504</v>
      </c>
      <c r="B242" t="s">
        <v>281</v>
      </c>
      <c r="C242" t="s">
        <v>35</v>
      </c>
      <c r="D242" t="s">
        <v>61</v>
      </c>
      <c r="E242" t="s">
        <v>85</v>
      </c>
      <c r="F242" t="s">
        <v>86</v>
      </c>
      <c r="G242">
        <v>289029</v>
      </c>
      <c r="H242">
        <v>260223</v>
      </c>
      <c r="I242">
        <v>-28806</v>
      </c>
      <c r="J242" t="s">
        <v>37</v>
      </c>
      <c r="K242" t="s">
        <v>48</v>
      </c>
      <c r="L242" t="s">
        <v>21</v>
      </c>
      <c r="M242" t="s">
        <v>22</v>
      </c>
    </row>
    <row r="243" spans="1:13">
      <c r="A243" t="s">
        <v>505</v>
      </c>
      <c r="B243" t="s">
        <v>506</v>
      </c>
      <c r="C243" t="s">
        <v>33</v>
      </c>
      <c r="D243" t="s">
        <v>26</v>
      </c>
      <c r="E243" t="s">
        <v>17</v>
      </c>
      <c r="F243" t="s">
        <v>18</v>
      </c>
      <c r="G243">
        <v>462689</v>
      </c>
      <c r="H243">
        <v>516610</v>
      </c>
      <c r="I243">
        <v>53921</v>
      </c>
      <c r="J243" t="s">
        <v>37</v>
      </c>
      <c r="K243" t="s">
        <v>20</v>
      </c>
      <c r="L243" t="s">
        <v>68</v>
      </c>
      <c r="M243" t="s">
        <v>42</v>
      </c>
    </row>
    <row r="244" spans="1:13">
      <c r="A244" t="s">
        <v>507</v>
      </c>
      <c r="B244" t="s">
        <v>508</v>
      </c>
      <c r="C244" t="s">
        <v>25</v>
      </c>
      <c r="D244" t="s">
        <v>16</v>
      </c>
      <c r="E244" t="s">
        <v>27</v>
      </c>
      <c r="F244" t="s">
        <v>28</v>
      </c>
      <c r="G244">
        <v>497987</v>
      </c>
      <c r="H244">
        <v>396679</v>
      </c>
      <c r="I244">
        <v>-101308</v>
      </c>
      <c r="J244" t="s">
        <v>37</v>
      </c>
      <c r="K244" t="s">
        <v>20</v>
      </c>
      <c r="L244" t="s">
        <v>68</v>
      </c>
      <c r="M244" t="s">
        <v>22</v>
      </c>
    </row>
    <row r="245" spans="1:13">
      <c r="A245" t="s">
        <v>509</v>
      </c>
      <c r="B245" t="s">
        <v>510</v>
      </c>
      <c r="C245" t="s">
        <v>45</v>
      </c>
      <c r="D245" t="s">
        <v>26</v>
      </c>
      <c r="E245" t="s">
        <v>85</v>
      </c>
      <c r="F245" t="s">
        <v>86</v>
      </c>
      <c r="G245">
        <v>286833</v>
      </c>
      <c r="H245">
        <v>300260</v>
      </c>
      <c r="I245">
        <v>13427</v>
      </c>
      <c r="J245" t="s">
        <v>19</v>
      </c>
      <c r="K245" t="s">
        <v>67</v>
      </c>
      <c r="L245" t="s">
        <v>30</v>
      </c>
      <c r="M245" t="s">
        <v>42</v>
      </c>
    </row>
    <row r="246" spans="1:13">
      <c r="A246" t="s">
        <v>511</v>
      </c>
      <c r="B246" t="s">
        <v>512</v>
      </c>
      <c r="C246" t="s">
        <v>45</v>
      </c>
      <c r="D246" t="s">
        <v>34</v>
      </c>
      <c r="E246" t="s">
        <v>46</v>
      </c>
      <c r="F246" t="s">
        <v>47</v>
      </c>
      <c r="G246">
        <v>372710</v>
      </c>
      <c r="H246">
        <v>376337</v>
      </c>
      <c r="I246">
        <v>3627</v>
      </c>
      <c r="J246" t="s">
        <v>54</v>
      </c>
      <c r="K246" t="s">
        <v>29</v>
      </c>
      <c r="L246" t="s">
        <v>68</v>
      </c>
      <c r="M246" t="s">
        <v>22</v>
      </c>
    </row>
    <row r="247" spans="1:13">
      <c r="A247" t="s">
        <v>513</v>
      </c>
      <c r="B247" t="s">
        <v>501</v>
      </c>
      <c r="C247" t="s">
        <v>64</v>
      </c>
      <c r="D247" t="s">
        <v>61</v>
      </c>
      <c r="E247" t="s">
        <v>27</v>
      </c>
      <c r="F247" t="s">
        <v>28</v>
      </c>
      <c r="G247">
        <v>433919</v>
      </c>
      <c r="H247">
        <v>352252</v>
      </c>
      <c r="I247">
        <v>-81667</v>
      </c>
      <c r="J247" t="s">
        <v>19</v>
      </c>
      <c r="K247" t="s">
        <v>29</v>
      </c>
      <c r="L247" t="s">
        <v>21</v>
      </c>
      <c r="M247" t="s">
        <v>22</v>
      </c>
    </row>
    <row r="248" spans="1:13">
      <c r="A248" t="s">
        <v>514</v>
      </c>
      <c r="B248" t="s">
        <v>515</v>
      </c>
      <c r="C248" t="s">
        <v>15</v>
      </c>
      <c r="D248" t="s">
        <v>26</v>
      </c>
      <c r="E248" t="s">
        <v>46</v>
      </c>
      <c r="F248" t="s">
        <v>47</v>
      </c>
      <c r="G248">
        <v>97113</v>
      </c>
      <c r="H248">
        <v>80802</v>
      </c>
      <c r="I248">
        <v>-16311</v>
      </c>
      <c r="J248" t="s">
        <v>37</v>
      </c>
      <c r="K248" t="s">
        <v>48</v>
      </c>
      <c r="L248" t="s">
        <v>49</v>
      </c>
      <c r="M248" t="s">
        <v>22</v>
      </c>
    </row>
    <row r="249" spans="1:13">
      <c r="A249" t="s">
        <v>516</v>
      </c>
      <c r="B249" t="s">
        <v>517</v>
      </c>
      <c r="C249" t="s">
        <v>45</v>
      </c>
      <c r="D249" t="s">
        <v>26</v>
      </c>
      <c r="E249" t="s">
        <v>46</v>
      </c>
      <c r="F249" t="s">
        <v>47</v>
      </c>
      <c r="G249">
        <v>435538</v>
      </c>
      <c r="H249">
        <v>598007</v>
      </c>
      <c r="I249">
        <v>162469</v>
      </c>
      <c r="J249" t="s">
        <v>54</v>
      </c>
      <c r="K249" t="s">
        <v>67</v>
      </c>
      <c r="L249" t="s">
        <v>21</v>
      </c>
      <c r="M249" t="s">
        <v>42</v>
      </c>
    </row>
    <row r="250" spans="1:13">
      <c r="A250" t="s">
        <v>518</v>
      </c>
      <c r="B250" t="s">
        <v>519</v>
      </c>
      <c r="C250" t="s">
        <v>45</v>
      </c>
      <c r="D250" t="s">
        <v>16</v>
      </c>
      <c r="E250" t="s">
        <v>35</v>
      </c>
      <c r="F250" t="s">
        <v>36</v>
      </c>
      <c r="G250">
        <v>225494</v>
      </c>
      <c r="H250">
        <v>297837</v>
      </c>
      <c r="I250">
        <v>72343</v>
      </c>
      <c r="J250" t="s">
        <v>37</v>
      </c>
      <c r="K250" t="s">
        <v>48</v>
      </c>
      <c r="L250" t="s">
        <v>49</v>
      </c>
      <c r="M250" t="s">
        <v>22</v>
      </c>
    </row>
    <row r="251" spans="1:13">
      <c r="A251" t="s">
        <v>520</v>
      </c>
      <c r="B251" t="s">
        <v>521</v>
      </c>
      <c r="C251" t="s">
        <v>15</v>
      </c>
      <c r="D251" t="s">
        <v>61</v>
      </c>
      <c r="E251" t="s">
        <v>71</v>
      </c>
      <c r="F251" t="s">
        <v>72</v>
      </c>
      <c r="G251">
        <v>356410</v>
      </c>
      <c r="H251">
        <v>263648</v>
      </c>
      <c r="I251">
        <v>-92762</v>
      </c>
      <c r="J251" t="s">
        <v>54</v>
      </c>
      <c r="K251" t="s">
        <v>20</v>
      </c>
      <c r="L251" t="s">
        <v>49</v>
      </c>
      <c r="M251" t="s">
        <v>22</v>
      </c>
    </row>
    <row r="252" spans="1:13">
      <c r="A252" t="s">
        <v>522</v>
      </c>
      <c r="B252" t="s">
        <v>523</v>
      </c>
      <c r="C252" t="s">
        <v>45</v>
      </c>
      <c r="D252" t="s">
        <v>34</v>
      </c>
      <c r="E252" t="s">
        <v>17</v>
      </c>
      <c r="F252" t="s">
        <v>18</v>
      </c>
      <c r="G252">
        <v>499089</v>
      </c>
      <c r="H252">
        <v>498451</v>
      </c>
      <c r="I252">
        <v>-638</v>
      </c>
      <c r="J252" t="s">
        <v>19</v>
      </c>
      <c r="K252" t="s">
        <v>67</v>
      </c>
      <c r="L252" t="s">
        <v>30</v>
      </c>
      <c r="M252" t="s">
        <v>42</v>
      </c>
    </row>
    <row r="253" spans="1:13">
      <c r="A253" t="s">
        <v>524</v>
      </c>
      <c r="B253" t="s">
        <v>98</v>
      </c>
      <c r="C253" t="s">
        <v>35</v>
      </c>
      <c r="D253" t="s">
        <v>16</v>
      </c>
      <c r="E253" t="s">
        <v>17</v>
      </c>
      <c r="F253" t="s">
        <v>18</v>
      </c>
      <c r="G253">
        <v>130501</v>
      </c>
      <c r="H253">
        <v>160266</v>
      </c>
      <c r="I253">
        <v>29765</v>
      </c>
      <c r="J253" t="s">
        <v>37</v>
      </c>
      <c r="K253" t="s">
        <v>20</v>
      </c>
      <c r="L253" t="s">
        <v>49</v>
      </c>
      <c r="M253" t="s">
        <v>42</v>
      </c>
    </row>
    <row r="254" spans="1:13">
      <c r="A254" t="s">
        <v>525</v>
      </c>
      <c r="B254" t="s">
        <v>526</v>
      </c>
      <c r="C254" t="s">
        <v>25</v>
      </c>
      <c r="D254" t="s">
        <v>40</v>
      </c>
      <c r="E254" t="s">
        <v>17</v>
      </c>
      <c r="F254" t="s">
        <v>18</v>
      </c>
      <c r="G254">
        <v>183627</v>
      </c>
      <c r="H254">
        <v>194767</v>
      </c>
      <c r="I254">
        <v>11140</v>
      </c>
      <c r="J254" t="s">
        <v>19</v>
      </c>
      <c r="K254" t="s">
        <v>20</v>
      </c>
      <c r="L254" t="s">
        <v>68</v>
      </c>
      <c r="M254" t="s">
        <v>22</v>
      </c>
    </row>
    <row r="255" spans="1:13">
      <c r="A255" t="s">
        <v>527</v>
      </c>
      <c r="B255" t="s">
        <v>528</v>
      </c>
      <c r="C255" t="s">
        <v>33</v>
      </c>
      <c r="D255" t="s">
        <v>61</v>
      </c>
      <c r="E255" t="s">
        <v>27</v>
      </c>
      <c r="F255" t="s">
        <v>28</v>
      </c>
      <c r="G255">
        <v>98720</v>
      </c>
      <c r="H255">
        <v>109960</v>
      </c>
      <c r="I255">
        <v>11240</v>
      </c>
      <c r="J255" t="s">
        <v>19</v>
      </c>
      <c r="K255" t="s">
        <v>67</v>
      </c>
      <c r="L255" t="s">
        <v>21</v>
      </c>
      <c r="M255" t="s">
        <v>22</v>
      </c>
    </row>
    <row r="256" spans="1:13">
      <c r="A256" t="s">
        <v>529</v>
      </c>
      <c r="B256" t="s">
        <v>308</v>
      </c>
      <c r="C256" t="s">
        <v>64</v>
      </c>
      <c r="D256" t="s">
        <v>26</v>
      </c>
      <c r="E256" t="s">
        <v>71</v>
      </c>
      <c r="F256" t="s">
        <v>72</v>
      </c>
      <c r="G256">
        <v>269791</v>
      </c>
      <c r="H256">
        <v>225567</v>
      </c>
      <c r="I256">
        <v>-44224</v>
      </c>
      <c r="J256" t="s">
        <v>54</v>
      </c>
      <c r="K256" t="s">
        <v>67</v>
      </c>
      <c r="L256" t="s">
        <v>49</v>
      </c>
      <c r="M256" t="s">
        <v>42</v>
      </c>
    </row>
    <row r="257" spans="1:13">
      <c r="A257" t="s">
        <v>530</v>
      </c>
      <c r="B257" t="s">
        <v>531</v>
      </c>
      <c r="C257" t="s">
        <v>15</v>
      </c>
      <c r="D257" t="s">
        <v>61</v>
      </c>
      <c r="E257" t="s">
        <v>85</v>
      </c>
      <c r="F257" t="s">
        <v>86</v>
      </c>
      <c r="G257">
        <v>428169</v>
      </c>
      <c r="H257">
        <v>342077</v>
      </c>
      <c r="I257">
        <v>-86092</v>
      </c>
      <c r="J257" t="s">
        <v>19</v>
      </c>
      <c r="K257" t="s">
        <v>29</v>
      </c>
      <c r="L257" t="s">
        <v>21</v>
      </c>
      <c r="M257" t="s">
        <v>42</v>
      </c>
    </row>
    <row r="258" spans="1:13">
      <c r="A258" t="s">
        <v>532</v>
      </c>
      <c r="B258" t="s">
        <v>533</v>
      </c>
      <c r="C258" t="s">
        <v>64</v>
      </c>
      <c r="D258" t="s">
        <v>34</v>
      </c>
      <c r="E258" t="s">
        <v>27</v>
      </c>
      <c r="F258" t="s">
        <v>28</v>
      </c>
      <c r="G258">
        <v>189915</v>
      </c>
      <c r="H258">
        <v>198982</v>
      </c>
      <c r="I258">
        <v>9067</v>
      </c>
      <c r="J258" t="s">
        <v>19</v>
      </c>
      <c r="K258" t="s">
        <v>67</v>
      </c>
      <c r="L258" t="s">
        <v>21</v>
      </c>
      <c r="M258" t="s">
        <v>42</v>
      </c>
    </row>
    <row r="259" spans="1:13">
      <c r="A259" t="s">
        <v>534</v>
      </c>
      <c r="B259" t="s">
        <v>391</v>
      </c>
      <c r="C259" t="s">
        <v>35</v>
      </c>
      <c r="D259" t="s">
        <v>61</v>
      </c>
      <c r="E259" t="s">
        <v>46</v>
      </c>
      <c r="F259" t="s">
        <v>47</v>
      </c>
      <c r="G259">
        <v>168260</v>
      </c>
      <c r="H259">
        <v>176620</v>
      </c>
      <c r="I259">
        <v>8360</v>
      </c>
      <c r="J259" t="s">
        <v>37</v>
      </c>
      <c r="K259" t="s">
        <v>29</v>
      </c>
      <c r="L259" t="s">
        <v>49</v>
      </c>
      <c r="M259" t="s">
        <v>22</v>
      </c>
    </row>
    <row r="260" spans="1:13">
      <c r="A260" t="s">
        <v>535</v>
      </c>
      <c r="B260" t="s">
        <v>536</v>
      </c>
      <c r="C260" t="s">
        <v>33</v>
      </c>
      <c r="D260" t="s">
        <v>26</v>
      </c>
      <c r="E260" t="s">
        <v>46</v>
      </c>
      <c r="F260" t="s">
        <v>47</v>
      </c>
      <c r="G260">
        <v>101953</v>
      </c>
      <c r="H260">
        <v>116659</v>
      </c>
      <c r="I260">
        <v>14706</v>
      </c>
      <c r="J260" t="s">
        <v>54</v>
      </c>
      <c r="K260" t="s">
        <v>41</v>
      </c>
      <c r="L260" t="s">
        <v>49</v>
      </c>
      <c r="M260" t="s">
        <v>22</v>
      </c>
    </row>
    <row r="261" spans="1:13">
      <c r="A261" t="s">
        <v>537</v>
      </c>
      <c r="B261" t="s">
        <v>538</v>
      </c>
      <c r="C261" t="s">
        <v>33</v>
      </c>
      <c r="D261" t="s">
        <v>40</v>
      </c>
      <c r="E261" t="s">
        <v>17</v>
      </c>
      <c r="F261" t="s">
        <v>18</v>
      </c>
      <c r="G261">
        <v>238394</v>
      </c>
      <c r="H261">
        <v>193466</v>
      </c>
      <c r="I261">
        <v>-44928</v>
      </c>
      <c r="J261" t="s">
        <v>19</v>
      </c>
      <c r="K261" t="s">
        <v>41</v>
      </c>
      <c r="L261" t="s">
        <v>30</v>
      </c>
      <c r="M261" t="s">
        <v>22</v>
      </c>
    </row>
    <row r="262" spans="1:13">
      <c r="A262" t="s">
        <v>539</v>
      </c>
      <c r="B262" t="s">
        <v>540</v>
      </c>
      <c r="C262" t="s">
        <v>33</v>
      </c>
      <c r="D262" t="s">
        <v>40</v>
      </c>
      <c r="E262" t="s">
        <v>27</v>
      </c>
      <c r="F262" t="s">
        <v>28</v>
      </c>
      <c r="G262">
        <v>238516</v>
      </c>
      <c r="H262">
        <v>230833</v>
      </c>
      <c r="I262">
        <v>-7683</v>
      </c>
      <c r="J262" t="s">
        <v>37</v>
      </c>
      <c r="K262" t="s">
        <v>41</v>
      </c>
      <c r="L262" t="s">
        <v>21</v>
      </c>
      <c r="M262" t="s">
        <v>42</v>
      </c>
    </row>
    <row r="263" spans="1:13">
      <c r="A263" t="s">
        <v>541</v>
      </c>
      <c r="B263" t="s">
        <v>542</v>
      </c>
      <c r="C263" t="s">
        <v>64</v>
      </c>
      <c r="D263" t="s">
        <v>16</v>
      </c>
      <c r="E263" t="s">
        <v>85</v>
      </c>
      <c r="F263" t="s">
        <v>86</v>
      </c>
      <c r="G263">
        <v>230904</v>
      </c>
      <c r="H263">
        <v>175100</v>
      </c>
      <c r="I263">
        <v>-55804</v>
      </c>
      <c r="J263" t="s">
        <v>37</v>
      </c>
      <c r="K263" t="s">
        <v>41</v>
      </c>
      <c r="L263" t="s">
        <v>68</v>
      </c>
      <c r="M263" t="s">
        <v>42</v>
      </c>
    </row>
    <row r="264" spans="1:13">
      <c r="A264" t="s">
        <v>543</v>
      </c>
      <c r="B264" t="s">
        <v>544</v>
      </c>
      <c r="C264" t="s">
        <v>35</v>
      </c>
      <c r="D264" t="s">
        <v>26</v>
      </c>
      <c r="E264" t="s">
        <v>71</v>
      </c>
      <c r="F264" t="s">
        <v>72</v>
      </c>
      <c r="G264">
        <v>68288</v>
      </c>
      <c r="H264">
        <v>51042</v>
      </c>
      <c r="I264">
        <v>-17246</v>
      </c>
      <c r="J264" t="s">
        <v>19</v>
      </c>
      <c r="K264" t="s">
        <v>67</v>
      </c>
      <c r="L264" t="s">
        <v>68</v>
      </c>
      <c r="M264" t="s">
        <v>22</v>
      </c>
    </row>
    <row r="265" spans="1:13">
      <c r="A265" t="s">
        <v>545</v>
      </c>
      <c r="B265" t="s">
        <v>546</v>
      </c>
      <c r="C265" t="s">
        <v>25</v>
      </c>
      <c r="D265" t="s">
        <v>26</v>
      </c>
      <c r="E265" t="s">
        <v>85</v>
      </c>
      <c r="F265" t="s">
        <v>86</v>
      </c>
      <c r="G265">
        <v>53897</v>
      </c>
      <c r="H265">
        <v>66142</v>
      </c>
      <c r="I265">
        <v>12245</v>
      </c>
      <c r="J265" t="s">
        <v>19</v>
      </c>
      <c r="K265" t="s">
        <v>20</v>
      </c>
      <c r="L265" t="s">
        <v>68</v>
      </c>
      <c r="M265" t="s">
        <v>42</v>
      </c>
    </row>
    <row r="266" spans="1:13">
      <c r="A266" t="s">
        <v>547</v>
      </c>
      <c r="B266" t="s">
        <v>548</v>
      </c>
      <c r="C266" t="s">
        <v>25</v>
      </c>
      <c r="D266" t="s">
        <v>34</v>
      </c>
      <c r="E266" t="s">
        <v>46</v>
      </c>
      <c r="F266" t="s">
        <v>47</v>
      </c>
      <c r="G266">
        <v>123460</v>
      </c>
      <c r="H266">
        <v>109423</v>
      </c>
      <c r="I266">
        <v>-14037</v>
      </c>
      <c r="J266" t="s">
        <v>37</v>
      </c>
      <c r="K266" t="s">
        <v>48</v>
      </c>
      <c r="L266" t="s">
        <v>68</v>
      </c>
      <c r="M266" t="s">
        <v>22</v>
      </c>
    </row>
    <row r="267" spans="1:13">
      <c r="A267" t="s">
        <v>549</v>
      </c>
      <c r="B267" t="s">
        <v>550</v>
      </c>
      <c r="C267" t="s">
        <v>45</v>
      </c>
      <c r="D267" t="s">
        <v>16</v>
      </c>
      <c r="E267" t="s">
        <v>85</v>
      </c>
      <c r="F267" t="s">
        <v>86</v>
      </c>
      <c r="G267">
        <v>70812</v>
      </c>
      <c r="H267">
        <v>94327</v>
      </c>
      <c r="I267">
        <v>23515</v>
      </c>
      <c r="J267" t="s">
        <v>37</v>
      </c>
      <c r="K267" t="s">
        <v>29</v>
      </c>
      <c r="L267" t="s">
        <v>68</v>
      </c>
      <c r="M267" t="s">
        <v>22</v>
      </c>
    </row>
    <row r="268" spans="1:13">
      <c r="A268" t="s">
        <v>551</v>
      </c>
      <c r="B268" t="s">
        <v>552</v>
      </c>
      <c r="C268" t="s">
        <v>35</v>
      </c>
      <c r="D268" t="s">
        <v>26</v>
      </c>
      <c r="E268" t="s">
        <v>27</v>
      </c>
      <c r="F268" t="s">
        <v>28</v>
      </c>
      <c r="G268">
        <v>328844</v>
      </c>
      <c r="H268">
        <v>295162</v>
      </c>
      <c r="I268">
        <v>-33682</v>
      </c>
      <c r="J268" t="s">
        <v>54</v>
      </c>
      <c r="K268" t="s">
        <v>29</v>
      </c>
      <c r="L268" t="s">
        <v>49</v>
      </c>
      <c r="M268" t="s">
        <v>42</v>
      </c>
    </row>
    <row r="269" spans="1:13">
      <c r="A269" t="s">
        <v>553</v>
      </c>
      <c r="B269" t="s">
        <v>554</v>
      </c>
      <c r="C269" t="s">
        <v>15</v>
      </c>
      <c r="D269" t="s">
        <v>16</v>
      </c>
      <c r="E269" t="s">
        <v>27</v>
      </c>
      <c r="F269" t="s">
        <v>28</v>
      </c>
      <c r="G269">
        <v>429345</v>
      </c>
      <c r="H269">
        <v>473758</v>
      </c>
      <c r="I269">
        <v>44413</v>
      </c>
      <c r="J269" t="s">
        <v>37</v>
      </c>
      <c r="K269" t="s">
        <v>20</v>
      </c>
      <c r="L269" t="s">
        <v>21</v>
      </c>
      <c r="M269" t="s">
        <v>42</v>
      </c>
    </row>
    <row r="270" spans="1:13">
      <c r="A270" t="s">
        <v>555</v>
      </c>
      <c r="B270" t="s">
        <v>556</v>
      </c>
      <c r="C270" t="s">
        <v>64</v>
      </c>
      <c r="D270" t="s">
        <v>40</v>
      </c>
      <c r="E270" t="s">
        <v>71</v>
      </c>
      <c r="F270" t="s">
        <v>72</v>
      </c>
      <c r="G270">
        <v>477480</v>
      </c>
      <c r="H270">
        <v>353267</v>
      </c>
      <c r="I270">
        <v>-124213</v>
      </c>
      <c r="J270" t="s">
        <v>54</v>
      </c>
      <c r="K270" t="s">
        <v>20</v>
      </c>
      <c r="L270" t="s">
        <v>21</v>
      </c>
      <c r="M270" t="s">
        <v>42</v>
      </c>
    </row>
    <row r="271" spans="1:13">
      <c r="A271" t="s">
        <v>557</v>
      </c>
      <c r="B271" t="s">
        <v>202</v>
      </c>
      <c r="C271" t="s">
        <v>15</v>
      </c>
      <c r="D271" t="s">
        <v>34</v>
      </c>
      <c r="E271" t="s">
        <v>17</v>
      </c>
      <c r="F271" t="s">
        <v>18</v>
      </c>
      <c r="G271">
        <v>214750</v>
      </c>
      <c r="H271">
        <v>242031</v>
      </c>
      <c r="I271">
        <v>27281</v>
      </c>
      <c r="J271" t="s">
        <v>37</v>
      </c>
      <c r="K271" t="s">
        <v>29</v>
      </c>
      <c r="L271" t="s">
        <v>21</v>
      </c>
      <c r="M271" t="s">
        <v>22</v>
      </c>
    </row>
    <row r="272" spans="1:13">
      <c r="A272" t="s">
        <v>558</v>
      </c>
      <c r="B272" t="s">
        <v>559</v>
      </c>
      <c r="C272" t="s">
        <v>15</v>
      </c>
      <c r="D272" t="s">
        <v>34</v>
      </c>
      <c r="E272" t="s">
        <v>46</v>
      </c>
      <c r="F272" t="s">
        <v>47</v>
      </c>
      <c r="G272">
        <v>470286</v>
      </c>
      <c r="H272">
        <v>451211</v>
      </c>
      <c r="I272">
        <v>-19075</v>
      </c>
      <c r="J272" t="s">
        <v>54</v>
      </c>
      <c r="K272" t="s">
        <v>48</v>
      </c>
      <c r="L272" t="s">
        <v>30</v>
      </c>
      <c r="M272" t="s">
        <v>42</v>
      </c>
    </row>
    <row r="273" spans="1:13">
      <c r="A273" t="s">
        <v>560</v>
      </c>
      <c r="B273" t="s">
        <v>561</v>
      </c>
      <c r="C273" t="s">
        <v>25</v>
      </c>
      <c r="D273" t="s">
        <v>34</v>
      </c>
      <c r="E273" t="s">
        <v>27</v>
      </c>
      <c r="F273" t="s">
        <v>28</v>
      </c>
      <c r="G273">
        <v>226019</v>
      </c>
      <c r="H273">
        <v>193969</v>
      </c>
      <c r="I273">
        <v>-32050</v>
      </c>
      <c r="J273" t="s">
        <v>19</v>
      </c>
      <c r="K273" t="s">
        <v>67</v>
      </c>
      <c r="L273" t="s">
        <v>49</v>
      </c>
      <c r="M273" t="s">
        <v>22</v>
      </c>
    </row>
    <row r="274" spans="1:13">
      <c r="A274" t="s">
        <v>562</v>
      </c>
      <c r="B274" t="s">
        <v>473</v>
      </c>
      <c r="C274" t="s">
        <v>64</v>
      </c>
      <c r="D274" t="s">
        <v>26</v>
      </c>
      <c r="E274" t="s">
        <v>27</v>
      </c>
      <c r="F274" t="s">
        <v>28</v>
      </c>
      <c r="G274">
        <v>391070</v>
      </c>
      <c r="H274">
        <v>364508</v>
      </c>
      <c r="I274">
        <v>-26562</v>
      </c>
      <c r="J274" t="s">
        <v>19</v>
      </c>
      <c r="K274" t="s">
        <v>29</v>
      </c>
      <c r="L274" t="s">
        <v>68</v>
      </c>
      <c r="M274" t="s">
        <v>22</v>
      </c>
    </row>
    <row r="275" spans="1:13">
      <c r="A275" t="s">
        <v>563</v>
      </c>
      <c r="B275" t="s">
        <v>564</v>
      </c>
      <c r="C275" t="s">
        <v>64</v>
      </c>
      <c r="D275" t="s">
        <v>16</v>
      </c>
      <c r="E275" t="s">
        <v>17</v>
      </c>
      <c r="F275" t="s">
        <v>18</v>
      </c>
      <c r="G275">
        <v>60719</v>
      </c>
      <c r="H275">
        <v>77160</v>
      </c>
      <c r="I275">
        <v>16441</v>
      </c>
      <c r="J275" t="s">
        <v>54</v>
      </c>
      <c r="K275" t="s">
        <v>41</v>
      </c>
      <c r="L275" t="s">
        <v>21</v>
      </c>
      <c r="M275" t="s">
        <v>22</v>
      </c>
    </row>
    <row r="276" spans="1:13">
      <c r="A276" t="s">
        <v>565</v>
      </c>
      <c r="B276" t="s">
        <v>566</v>
      </c>
      <c r="C276" t="s">
        <v>33</v>
      </c>
      <c r="D276" t="s">
        <v>26</v>
      </c>
      <c r="E276" t="s">
        <v>27</v>
      </c>
      <c r="F276" t="s">
        <v>28</v>
      </c>
      <c r="G276">
        <v>186234</v>
      </c>
      <c r="H276">
        <v>138393</v>
      </c>
      <c r="I276">
        <v>-47841</v>
      </c>
      <c r="J276" t="s">
        <v>54</v>
      </c>
      <c r="K276" t="s">
        <v>48</v>
      </c>
      <c r="L276" t="s">
        <v>49</v>
      </c>
      <c r="M276" t="s">
        <v>42</v>
      </c>
    </row>
    <row r="277" spans="1:13">
      <c r="A277" t="s">
        <v>567</v>
      </c>
      <c r="B277" t="s">
        <v>568</v>
      </c>
      <c r="C277" t="s">
        <v>25</v>
      </c>
      <c r="D277" t="s">
        <v>61</v>
      </c>
      <c r="E277" t="s">
        <v>85</v>
      </c>
      <c r="F277" t="s">
        <v>86</v>
      </c>
      <c r="G277">
        <v>478091</v>
      </c>
      <c r="H277">
        <v>505039</v>
      </c>
      <c r="I277">
        <v>26948</v>
      </c>
      <c r="J277" t="s">
        <v>19</v>
      </c>
      <c r="K277" t="s">
        <v>48</v>
      </c>
      <c r="L277" t="s">
        <v>30</v>
      </c>
      <c r="M277" t="s">
        <v>42</v>
      </c>
    </row>
    <row r="278" spans="1:13">
      <c r="A278" t="s">
        <v>569</v>
      </c>
      <c r="B278" t="s">
        <v>570</v>
      </c>
      <c r="C278" t="s">
        <v>64</v>
      </c>
      <c r="D278" t="s">
        <v>61</v>
      </c>
      <c r="E278" t="s">
        <v>85</v>
      </c>
      <c r="F278" t="s">
        <v>86</v>
      </c>
      <c r="G278">
        <v>367318</v>
      </c>
      <c r="H278">
        <v>310288</v>
      </c>
      <c r="I278">
        <v>-57030</v>
      </c>
      <c r="J278" t="s">
        <v>19</v>
      </c>
      <c r="K278" t="s">
        <v>29</v>
      </c>
      <c r="L278" t="s">
        <v>30</v>
      </c>
      <c r="M278" t="s">
        <v>42</v>
      </c>
    </row>
    <row r="279" spans="1:13">
      <c r="A279" t="s">
        <v>571</v>
      </c>
      <c r="B279" t="s">
        <v>572</v>
      </c>
      <c r="C279" t="s">
        <v>33</v>
      </c>
      <c r="D279" t="s">
        <v>40</v>
      </c>
      <c r="E279" t="s">
        <v>46</v>
      </c>
      <c r="F279" t="s">
        <v>47</v>
      </c>
      <c r="G279">
        <v>104174</v>
      </c>
      <c r="H279">
        <v>89689</v>
      </c>
      <c r="I279">
        <v>-14485</v>
      </c>
      <c r="J279" t="s">
        <v>54</v>
      </c>
      <c r="K279" t="s">
        <v>41</v>
      </c>
      <c r="L279" t="s">
        <v>49</v>
      </c>
      <c r="M279" t="s">
        <v>22</v>
      </c>
    </row>
    <row r="280" spans="1:13">
      <c r="A280" t="s">
        <v>573</v>
      </c>
      <c r="B280" t="s">
        <v>574</v>
      </c>
      <c r="C280" t="s">
        <v>45</v>
      </c>
      <c r="D280" t="s">
        <v>26</v>
      </c>
      <c r="E280" t="s">
        <v>71</v>
      </c>
      <c r="F280" t="s">
        <v>72</v>
      </c>
      <c r="G280">
        <v>269466</v>
      </c>
      <c r="H280">
        <v>291434</v>
      </c>
      <c r="I280">
        <v>21968</v>
      </c>
      <c r="J280" t="s">
        <v>37</v>
      </c>
      <c r="K280" t="s">
        <v>48</v>
      </c>
      <c r="L280" t="s">
        <v>30</v>
      </c>
      <c r="M280" t="s">
        <v>42</v>
      </c>
    </row>
    <row r="281" spans="1:13">
      <c r="A281" t="s">
        <v>575</v>
      </c>
      <c r="B281" t="s">
        <v>320</v>
      </c>
      <c r="C281" t="s">
        <v>45</v>
      </c>
      <c r="D281" t="s">
        <v>61</v>
      </c>
      <c r="E281" t="s">
        <v>85</v>
      </c>
      <c r="F281" t="s">
        <v>86</v>
      </c>
      <c r="G281">
        <v>339684</v>
      </c>
      <c r="H281">
        <v>278733</v>
      </c>
      <c r="I281">
        <v>-60951</v>
      </c>
      <c r="J281" t="s">
        <v>37</v>
      </c>
      <c r="K281" t="s">
        <v>48</v>
      </c>
      <c r="L281" t="s">
        <v>30</v>
      </c>
      <c r="M281" t="s">
        <v>22</v>
      </c>
    </row>
    <row r="282" spans="1:13">
      <c r="A282" t="s">
        <v>576</v>
      </c>
      <c r="B282" t="s">
        <v>272</v>
      </c>
      <c r="C282" t="s">
        <v>15</v>
      </c>
      <c r="D282" t="s">
        <v>34</v>
      </c>
      <c r="E282" t="s">
        <v>85</v>
      </c>
      <c r="F282" t="s">
        <v>86</v>
      </c>
      <c r="G282">
        <v>155732</v>
      </c>
      <c r="H282">
        <v>181421</v>
      </c>
      <c r="I282">
        <v>25689</v>
      </c>
      <c r="J282" t="s">
        <v>54</v>
      </c>
      <c r="K282" t="s">
        <v>67</v>
      </c>
      <c r="L282" t="s">
        <v>49</v>
      </c>
      <c r="M282" t="s">
        <v>22</v>
      </c>
    </row>
    <row r="283" spans="1:13">
      <c r="A283" t="s">
        <v>577</v>
      </c>
      <c r="B283" t="s">
        <v>578</v>
      </c>
      <c r="C283" t="s">
        <v>33</v>
      </c>
      <c r="D283" t="s">
        <v>26</v>
      </c>
      <c r="E283" t="s">
        <v>35</v>
      </c>
      <c r="F283" t="s">
        <v>36</v>
      </c>
      <c r="G283">
        <v>79700</v>
      </c>
      <c r="H283">
        <v>98225</v>
      </c>
      <c r="I283">
        <v>18525</v>
      </c>
      <c r="J283" t="s">
        <v>19</v>
      </c>
      <c r="K283" t="s">
        <v>29</v>
      </c>
      <c r="L283" t="s">
        <v>49</v>
      </c>
      <c r="M283" t="s">
        <v>22</v>
      </c>
    </row>
    <row r="284" spans="1:13">
      <c r="A284" t="s">
        <v>579</v>
      </c>
      <c r="B284" t="s">
        <v>580</v>
      </c>
      <c r="C284" t="s">
        <v>35</v>
      </c>
      <c r="D284" t="s">
        <v>16</v>
      </c>
      <c r="E284" t="s">
        <v>17</v>
      </c>
      <c r="F284" t="s">
        <v>18</v>
      </c>
      <c r="G284">
        <v>116426</v>
      </c>
      <c r="H284">
        <v>125336</v>
      </c>
      <c r="I284">
        <v>8910</v>
      </c>
      <c r="J284" t="s">
        <v>19</v>
      </c>
      <c r="K284" t="s">
        <v>20</v>
      </c>
      <c r="L284" t="s">
        <v>49</v>
      </c>
      <c r="M284" t="s">
        <v>22</v>
      </c>
    </row>
    <row r="285" spans="1:13">
      <c r="A285" t="s">
        <v>581</v>
      </c>
      <c r="B285" t="s">
        <v>582</v>
      </c>
      <c r="C285" t="s">
        <v>64</v>
      </c>
      <c r="D285" t="s">
        <v>40</v>
      </c>
      <c r="E285" t="s">
        <v>27</v>
      </c>
      <c r="F285" t="s">
        <v>28</v>
      </c>
      <c r="G285">
        <v>493828</v>
      </c>
      <c r="H285">
        <v>485458</v>
      </c>
      <c r="I285">
        <v>-8370</v>
      </c>
      <c r="J285" t="s">
        <v>19</v>
      </c>
      <c r="K285" t="s">
        <v>29</v>
      </c>
      <c r="L285" t="s">
        <v>21</v>
      </c>
      <c r="M285" t="s">
        <v>42</v>
      </c>
    </row>
    <row r="286" spans="1:13">
      <c r="A286" t="s">
        <v>583</v>
      </c>
      <c r="B286" t="s">
        <v>584</v>
      </c>
      <c r="C286" t="s">
        <v>33</v>
      </c>
      <c r="D286" t="s">
        <v>40</v>
      </c>
      <c r="E286" t="s">
        <v>17</v>
      </c>
      <c r="F286" t="s">
        <v>18</v>
      </c>
      <c r="G286">
        <v>284024</v>
      </c>
      <c r="H286">
        <v>280683</v>
      </c>
      <c r="I286">
        <v>-3341</v>
      </c>
      <c r="J286" t="s">
        <v>54</v>
      </c>
      <c r="K286" t="s">
        <v>29</v>
      </c>
      <c r="L286" t="s">
        <v>49</v>
      </c>
      <c r="M286" t="s">
        <v>42</v>
      </c>
    </row>
    <row r="287" spans="1:13">
      <c r="A287" t="s">
        <v>585</v>
      </c>
      <c r="B287" t="s">
        <v>586</v>
      </c>
      <c r="C287" t="s">
        <v>15</v>
      </c>
      <c r="D287" t="s">
        <v>34</v>
      </c>
      <c r="E287" t="s">
        <v>85</v>
      </c>
      <c r="F287" t="s">
        <v>86</v>
      </c>
      <c r="G287">
        <v>444896</v>
      </c>
      <c r="H287">
        <v>509996</v>
      </c>
      <c r="I287">
        <v>65100</v>
      </c>
      <c r="J287" t="s">
        <v>54</v>
      </c>
      <c r="K287" t="s">
        <v>41</v>
      </c>
      <c r="L287" t="s">
        <v>68</v>
      </c>
      <c r="M287" t="s">
        <v>22</v>
      </c>
    </row>
    <row r="288" spans="1:13">
      <c r="A288" t="s">
        <v>587</v>
      </c>
      <c r="B288" t="s">
        <v>588</v>
      </c>
      <c r="C288" t="s">
        <v>33</v>
      </c>
      <c r="D288" t="s">
        <v>16</v>
      </c>
      <c r="E288" t="s">
        <v>46</v>
      </c>
      <c r="F288" t="s">
        <v>47</v>
      </c>
      <c r="G288">
        <v>337591</v>
      </c>
      <c r="H288">
        <v>355609</v>
      </c>
      <c r="I288">
        <v>18018</v>
      </c>
      <c r="J288" t="s">
        <v>54</v>
      </c>
      <c r="K288" t="s">
        <v>29</v>
      </c>
      <c r="L288" t="s">
        <v>30</v>
      </c>
      <c r="M288" t="s">
        <v>22</v>
      </c>
    </row>
    <row r="289" spans="1:13">
      <c r="A289" t="s">
        <v>589</v>
      </c>
      <c r="B289" t="s">
        <v>590</v>
      </c>
      <c r="C289" t="s">
        <v>64</v>
      </c>
      <c r="D289" t="s">
        <v>16</v>
      </c>
      <c r="E289" t="s">
        <v>85</v>
      </c>
      <c r="F289" t="s">
        <v>86</v>
      </c>
      <c r="G289">
        <v>193180</v>
      </c>
      <c r="H289">
        <v>166524</v>
      </c>
      <c r="I289">
        <v>-26656</v>
      </c>
      <c r="J289" t="s">
        <v>19</v>
      </c>
      <c r="K289" t="s">
        <v>48</v>
      </c>
      <c r="L289" t="s">
        <v>30</v>
      </c>
      <c r="M289" t="s">
        <v>22</v>
      </c>
    </row>
    <row r="290" spans="1:13">
      <c r="A290" t="s">
        <v>591</v>
      </c>
      <c r="B290" t="s">
        <v>568</v>
      </c>
      <c r="C290" t="s">
        <v>15</v>
      </c>
      <c r="D290" t="s">
        <v>34</v>
      </c>
      <c r="E290" t="s">
        <v>46</v>
      </c>
      <c r="F290" t="s">
        <v>47</v>
      </c>
      <c r="G290">
        <v>163071</v>
      </c>
      <c r="H290">
        <v>177133</v>
      </c>
      <c r="I290">
        <v>14062</v>
      </c>
      <c r="J290" t="s">
        <v>19</v>
      </c>
      <c r="K290" t="s">
        <v>29</v>
      </c>
      <c r="L290" t="s">
        <v>30</v>
      </c>
      <c r="M290" t="s">
        <v>42</v>
      </c>
    </row>
    <row r="291" spans="1:13">
      <c r="A291" t="s">
        <v>592</v>
      </c>
      <c r="B291" t="s">
        <v>593</v>
      </c>
      <c r="C291" t="s">
        <v>35</v>
      </c>
      <c r="D291" t="s">
        <v>40</v>
      </c>
      <c r="E291" t="s">
        <v>71</v>
      </c>
      <c r="F291" t="s">
        <v>72</v>
      </c>
      <c r="G291">
        <v>217764</v>
      </c>
      <c r="H291">
        <v>176308</v>
      </c>
      <c r="I291">
        <v>-41456</v>
      </c>
      <c r="J291" t="s">
        <v>19</v>
      </c>
      <c r="K291" t="s">
        <v>67</v>
      </c>
      <c r="L291" t="s">
        <v>21</v>
      </c>
      <c r="M291" t="s">
        <v>42</v>
      </c>
    </row>
    <row r="292" spans="1:13">
      <c r="A292" t="s">
        <v>594</v>
      </c>
      <c r="B292" t="s">
        <v>595</v>
      </c>
      <c r="C292" t="s">
        <v>45</v>
      </c>
      <c r="D292" t="s">
        <v>26</v>
      </c>
      <c r="E292" t="s">
        <v>85</v>
      </c>
      <c r="F292" t="s">
        <v>86</v>
      </c>
      <c r="G292">
        <v>287991</v>
      </c>
      <c r="H292">
        <v>338417</v>
      </c>
      <c r="I292">
        <v>50426</v>
      </c>
      <c r="J292" t="s">
        <v>37</v>
      </c>
      <c r="K292" t="s">
        <v>48</v>
      </c>
      <c r="L292" t="s">
        <v>30</v>
      </c>
      <c r="M292" t="s">
        <v>42</v>
      </c>
    </row>
    <row r="293" spans="1:13">
      <c r="A293" t="s">
        <v>596</v>
      </c>
      <c r="B293" t="s">
        <v>597</v>
      </c>
      <c r="C293" t="s">
        <v>33</v>
      </c>
      <c r="D293" t="s">
        <v>26</v>
      </c>
      <c r="E293" t="s">
        <v>85</v>
      </c>
      <c r="F293" t="s">
        <v>86</v>
      </c>
      <c r="G293">
        <v>245052</v>
      </c>
      <c r="H293">
        <v>182490</v>
      </c>
      <c r="I293">
        <v>-62562</v>
      </c>
      <c r="J293" t="s">
        <v>37</v>
      </c>
      <c r="K293" t="s">
        <v>48</v>
      </c>
      <c r="L293" t="s">
        <v>68</v>
      </c>
      <c r="M293" t="s">
        <v>42</v>
      </c>
    </row>
    <row r="294" spans="1:13">
      <c r="A294" t="s">
        <v>598</v>
      </c>
      <c r="B294" t="s">
        <v>599</v>
      </c>
      <c r="C294" t="s">
        <v>35</v>
      </c>
      <c r="D294" t="s">
        <v>61</v>
      </c>
      <c r="E294" t="s">
        <v>71</v>
      </c>
      <c r="F294" t="s">
        <v>72</v>
      </c>
      <c r="G294">
        <v>390508</v>
      </c>
      <c r="H294">
        <v>544224</v>
      </c>
      <c r="I294">
        <v>153716</v>
      </c>
      <c r="J294" t="s">
        <v>54</v>
      </c>
      <c r="K294" t="s">
        <v>48</v>
      </c>
      <c r="L294" t="s">
        <v>21</v>
      </c>
      <c r="M294" t="s">
        <v>42</v>
      </c>
    </row>
    <row r="295" spans="1:13">
      <c r="A295" t="s">
        <v>600</v>
      </c>
      <c r="B295" t="s">
        <v>601</v>
      </c>
      <c r="C295" t="s">
        <v>15</v>
      </c>
      <c r="D295" t="s">
        <v>16</v>
      </c>
      <c r="E295" t="s">
        <v>71</v>
      </c>
      <c r="F295" t="s">
        <v>72</v>
      </c>
      <c r="G295">
        <v>281047</v>
      </c>
      <c r="H295">
        <v>377489</v>
      </c>
      <c r="I295">
        <v>96442</v>
      </c>
      <c r="J295" t="s">
        <v>19</v>
      </c>
      <c r="K295" t="s">
        <v>20</v>
      </c>
      <c r="L295" t="s">
        <v>49</v>
      </c>
      <c r="M295" t="s">
        <v>22</v>
      </c>
    </row>
    <row r="296" spans="1:13">
      <c r="A296" t="s">
        <v>602</v>
      </c>
      <c r="B296" t="s">
        <v>603</v>
      </c>
      <c r="C296" t="s">
        <v>35</v>
      </c>
      <c r="D296" t="s">
        <v>40</v>
      </c>
      <c r="E296" t="s">
        <v>85</v>
      </c>
      <c r="F296" t="s">
        <v>86</v>
      </c>
      <c r="G296">
        <v>201558</v>
      </c>
      <c r="H296">
        <v>201073</v>
      </c>
      <c r="I296">
        <v>-485</v>
      </c>
      <c r="J296" t="s">
        <v>54</v>
      </c>
      <c r="K296" t="s">
        <v>48</v>
      </c>
      <c r="L296" t="s">
        <v>49</v>
      </c>
      <c r="M296" t="s">
        <v>22</v>
      </c>
    </row>
    <row r="297" spans="1:13">
      <c r="A297" t="s">
        <v>604</v>
      </c>
      <c r="B297" t="s">
        <v>605</v>
      </c>
      <c r="C297" t="s">
        <v>64</v>
      </c>
      <c r="D297" t="s">
        <v>16</v>
      </c>
      <c r="E297" t="s">
        <v>85</v>
      </c>
      <c r="F297" t="s">
        <v>86</v>
      </c>
      <c r="G297">
        <v>422192</v>
      </c>
      <c r="H297">
        <v>394991</v>
      </c>
      <c r="I297">
        <v>-27201</v>
      </c>
      <c r="J297" t="s">
        <v>54</v>
      </c>
      <c r="K297" t="s">
        <v>29</v>
      </c>
      <c r="L297" t="s">
        <v>30</v>
      </c>
      <c r="M297" t="s">
        <v>42</v>
      </c>
    </row>
    <row r="298" spans="1:13">
      <c r="A298" t="s">
        <v>606</v>
      </c>
      <c r="B298" t="s">
        <v>607</v>
      </c>
      <c r="C298" t="s">
        <v>33</v>
      </c>
      <c r="D298" t="s">
        <v>26</v>
      </c>
      <c r="E298" t="s">
        <v>71</v>
      </c>
      <c r="F298" t="s">
        <v>72</v>
      </c>
      <c r="G298">
        <v>149354</v>
      </c>
      <c r="H298">
        <v>163058</v>
      </c>
      <c r="I298">
        <v>13704</v>
      </c>
      <c r="J298" t="s">
        <v>54</v>
      </c>
      <c r="K298" t="s">
        <v>41</v>
      </c>
      <c r="L298" t="s">
        <v>21</v>
      </c>
      <c r="M298" t="s">
        <v>42</v>
      </c>
    </row>
    <row r="299" spans="1:13">
      <c r="A299" t="s">
        <v>608</v>
      </c>
      <c r="B299" t="s">
        <v>609</v>
      </c>
      <c r="C299" t="s">
        <v>33</v>
      </c>
      <c r="D299" t="s">
        <v>61</v>
      </c>
      <c r="E299" t="s">
        <v>46</v>
      </c>
      <c r="F299" t="s">
        <v>47</v>
      </c>
      <c r="G299">
        <v>134500</v>
      </c>
      <c r="H299">
        <v>96167</v>
      </c>
      <c r="I299">
        <v>-38333</v>
      </c>
      <c r="J299" t="s">
        <v>37</v>
      </c>
      <c r="K299" t="s">
        <v>29</v>
      </c>
      <c r="L299" t="s">
        <v>49</v>
      </c>
      <c r="M299" t="s">
        <v>22</v>
      </c>
    </row>
    <row r="300" spans="1:13">
      <c r="A300" t="s">
        <v>610</v>
      </c>
      <c r="B300" t="s">
        <v>406</v>
      </c>
      <c r="C300" t="s">
        <v>25</v>
      </c>
      <c r="D300" t="s">
        <v>26</v>
      </c>
      <c r="E300" t="s">
        <v>35</v>
      </c>
      <c r="F300" t="s">
        <v>36</v>
      </c>
      <c r="G300">
        <v>364770</v>
      </c>
      <c r="H300">
        <v>336906</v>
      </c>
      <c r="I300">
        <v>-27864</v>
      </c>
      <c r="J300" t="s">
        <v>37</v>
      </c>
      <c r="K300" t="s">
        <v>41</v>
      </c>
      <c r="L300" t="s">
        <v>21</v>
      </c>
      <c r="M300" t="s">
        <v>22</v>
      </c>
    </row>
    <row r="301" spans="1:13">
      <c r="A301" t="s">
        <v>611</v>
      </c>
      <c r="B301" t="s">
        <v>289</v>
      </c>
      <c r="C301" t="s">
        <v>33</v>
      </c>
      <c r="D301" t="s">
        <v>40</v>
      </c>
      <c r="E301" t="s">
        <v>35</v>
      </c>
      <c r="F301" t="s">
        <v>36</v>
      </c>
      <c r="G301">
        <v>350159</v>
      </c>
      <c r="H301">
        <v>277827</v>
      </c>
      <c r="I301">
        <v>-72332</v>
      </c>
      <c r="J301" t="s">
        <v>54</v>
      </c>
      <c r="K301" t="s">
        <v>48</v>
      </c>
      <c r="L301" t="s">
        <v>68</v>
      </c>
      <c r="M301" t="s">
        <v>42</v>
      </c>
    </row>
    <row r="302" spans="1:13">
      <c r="A302" t="s">
        <v>612</v>
      </c>
      <c r="B302" t="s">
        <v>613</v>
      </c>
      <c r="C302" t="s">
        <v>25</v>
      </c>
      <c r="D302" t="s">
        <v>16</v>
      </c>
      <c r="E302" t="s">
        <v>17</v>
      </c>
      <c r="F302" t="s">
        <v>18</v>
      </c>
      <c r="G302">
        <v>319402</v>
      </c>
      <c r="H302">
        <v>310264</v>
      </c>
      <c r="I302">
        <v>-9138</v>
      </c>
      <c r="J302" t="s">
        <v>54</v>
      </c>
      <c r="K302" t="s">
        <v>41</v>
      </c>
      <c r="L302" t="s">
        <v>49</v>
      </c>
      <c r="M302" t="s">
        <v>22</v>
      </c>
    </row>
    <row r="303" spans="1:13">
      <c r="A303" t="s">
        <v>614</v>
      </c>
      <c r="B303" t="s">
        <v>615</v>
      </c>
      <c r="C303" t="s">
        <v>33</v>
      </c>
      <c r="D303" t="s">
        <v>16</v>
      </c>
      <c r="E303" t="s">
        <v>71</v>
      </c>
      <c r="F303" t="s">
        <v>72</v>
      </c>
      <c r="G303">
        <v>162692</v>
      </c>
      <c r="H303">
        <v>139371</v>
      </c>
      <c r="I303">
        <v>-23321</v>
      </c>
      <c r="J303" t="s">
        <v>37</v>
      </c>
      <c r="K303" t="s">
        <v>67</v>
      </c>
      <c r="L303" t="s">
        <v>21</v>
      </c>
      <c r="M303" t="s">
        <v>42</v>
      </c>
    </row>
    <row r="304" spans="1:13">
      <c r="A304" t="s">
        <v>616</v>
      </c>
      <c r="B304" t="s">
        <v>588</v>
      </c>
      <c r="C304" t="s">
        <v>25</v>
      </c>
      <c r="D304" t="s">
        <v>26</v>
      </c>
      <c r="E304" t="s">
        <v>85</v>
      </c>
      <c r="F304" t="s">
        <v>86</v>
      </c>
      <c r="G304">
        <v>462453</v>
      </c>
      <c r="H304">
        <v>454510</v>
      </c>
      <c r="I304">
        <v>-7943</v>
      </c>
      <c r="J304" t="s">
        <v>19</v>
      </c>
      <c r="K304" t="s">
        <v>20</v>
      </c>
      <c r="L304" t="s">
        <v>21</v>
      </c>
      <c r="M304" t="s">
        <v>42</v>
      </c>
    </row>
    <row r="305" spans="1:13">
      <c r="A305" t="s">
        <v>617</v>
      </c>
      <c r="B305" t="s">
        <v>618</v>
      </c>
      <c r="C305" t="s">
        <v>25</v>
      </c>
      <c r="D305" t="s">
        <v>16</v>
      </c>
      <c r="E305" t="s">
        <v>35</v>
      </c>
      <c r="F305" t="s">
        <v>36</v>
      </c>
      <c r="G305">
        <v>471905</v>
      </c>
      <c r="H305">
        <v>537409</v>
      </c>
      <c r="I305">
        <v>65504</v>
      </c>
      <c r="J305" t="s">
        <v>37</v>
      </c>
      <c r="K305" t="s">
        <v>29</v>
      </c>
      <c r="L305" t="s">
        <v>30</v>
      </c>
      <c r="M305" t="s">
        <v>22</v>
      </c>
    </row>
    <row r="306" spans="1:13">
      <c r="A306" t="s">
        <v>619</v>
      </c>
      <c r="B306" t="s">
        <v>620</v>
      </c>
      <c r="C306" t="s">
        <v>15</v>
      </c>
      <c r="D306" t="s">
        <v>34</v>
      </c>
      <c r="E306" t="s">
        <v>27</v>
      </c>
      <c r="F306" t="s">
        <v>28</v>
      </c>
      <c r="G306">
        <v>259761</v>
      </c>
      <c r="H306">
        <v>243779</v>
      </c>
      <c r="I306">
        <v>-15982</v>
      </c>
      <c r="J306" t="s">
        <v>37</v>
      </c>
      <c r="K306" t="s">
        <v>48</v>
      </c>
      <c r="L306" t="s">
        <v>49</v>
      </c>
      <c r="M306" t="s">
        <v>22</v>
      </c>
    </row>
    <row r="307" spans="1:13">
      <c r="A307" t="s">
        <v>621</v>
      </c>
      <c r="B307" t="s">
        <v>622</v>
      </c>
      <c r="C307" t="s">
        <v>64</v>
      </c>
      <c r="D307" t="s">
        <v>26</v>
      </c>
      <c r="E307" t="s">
        <v>71</v>
      </c>
      <c r="F307" t="s">
        <v>72</v>
      </c>
      <c r="G307">
        <v>281862</v>
      </c>
      <c r="H307">
        <v>369224</v>
      </c>
      <c r="I307">
        <v>87362</v>
      </c>
      <c r="J307" t="s">
        <v>19</v>
      </c>
      <c r="K307" t="s">
        <v>29</v>
      </c>
      <c r="L307" t="s">
        <v>21</v>
      </c>
      <c r="M307" t="s">
        <v>22</v>
      </c>
    </row>
    <row r="308" spans="1:13">
      <c r="A308" t="s">
        <v>623</v>
      </c>
      <c r="B308" t="s">
        <v>624</v>
      </c>
      <c r="C308" t="s">
        <v>45</v>
      </c>
      <c r="D308" t="s">
        <v>26</v>
      </c>
      <c r="E308" t="s">
        <v>71</v>
      </c>
      <c r="F308" t="s">
        <v>72</v>
      </c>
      <c r="G308">
        <v>113251</v>
      </c>
      <c r="H308">
        <v>111150</v>
      </c>
      <c r="I308">
        <v>-2101</v>
      </c>
      <c r="J308" t="s">
        <v>19</v>
      </c>
      <c r="K308" t="s">
        <v>48</v>
      </c>
      <c r="L308" t="s">
        <v>68</v>
      </c>
      <c r="M308" t="s">
        <v>42</v>
      </c>
    </row>
    <row r="309" spans="1:13">
      <c r="A309" t="s">
        <v>625</v>
      </c>
      <c r="B309" t="s">
        <v>626</v>
      </c>
      <c r="C309" t="s">
        <v>33</v>
      </c>
      <c r="D309" t="s">
        <v>40</v>
      </c>
      <c r="E309" t="s">
        <v>85</v>
      </c>
      <c r="F309" t="s">
        <v>86</v>
      </c>
      <c r="G309">
        <v>429180</v>
      </c>
      <c r="H309">
        <v>408516</v>
      </c>
      <c r="I309">
        <v>-20664</v>
      </c>
      <c r="J309" t="s">
        <v>54</v>
      </c>
      <c r="K309" t="s">
        <v>48</v>
      </c>
      <c r="L309" t="s">
        <v>68</v>
      </c>
      <c r="M309" t="s">
        <v>42</v>
      </c>
    </row>
    <row r="310" spans="1:13">
      <c r="A310" t="s">
        <v>627</v>
      </c>
      <c r="B310" t="s">
        <v>597</v>
      </c>
      <c r="C310" t="s">
        <v>33</v>
      </c>
      <c r="D310" t="s">
        <v>26</v>
      </c>
      <c r="E310" t="s">
        <v>27</v>
      </c>
      <c r="F310" t="s">
        <v>28</v>
      </c>
      <c r="G310">
        <v>180333</v>
      </c>
      <c r="H310">
        <v>136810</v>
      </c>
      <c r="I310">
        <v>-43523</v>
      </c>
      <c r="J310" t="s">
        <v>54</v>
      </c>
      <c r="K310" t="s">
        <v>41</v>
      </c>
      <c r="L310" t="s">
        <v>30</v>
      </c>
      <c r="M310" t="s">
        <v>22</v>
      </c>
    </row>
    <row r="311" spans="1:13">
      <c r="A311" t="s">
        <v>628</v>
      </c>
      <c r="B311" t="s">
        <v>629</v>
      </c>
      <c r="C311" t="s">
        <v>45</v>
      </c>
      <c r="D311" t="s">
        <v>16</v>
      </c>
      <c r="E311" t="s">
        <v>46</v>
      </c>
      <c r="F311" t="s">
        <v>47</v>
      </c>
      <c r="G311">
        <v>436966</v>
      </c>
      <c r="H311">
        <v>314990</v>
      </c>
      <c r="I311">
        <v>-121976</v>
      </c>
      <c r="J311" t="s">
        <v>54</v>
      </c>
      <c r="K311" t="s">
        <v>41</v>
      </c>
      <c r="L311" t="s">
        <v>21</v>
      </c>
      <c r="M311" t="s">
        <v>22</v>
      </c>
    </row>
    <row r="312" spans="1:13">
      <c r="A312" t="s">
        <v>630</v>
      </c>
      <c r="B312" t="s">
        <v>631</v>
      </c>
      <c r="C312" t="s">
        <v>64</v>
      </c>
      <c r="D312" t="s">
        <v>26</v>
      </c>
      <c r="E312" t="s">
        <v>17</v>
      </c>
      <c r="F312" t="s">
        <v>18</v>
      </c>
      <c r="G312">
        <v>483414</v>
      </c>
      <c r="H312">
        <v>544500</v>
      </c>
      <c r="I312">
        <v>61086</v>
      </c>
      <c r="J312" t="s">
        <v>37</v>
      </c>
      <c r="K312" t="s">
        <v>48</v>
      </c>
      <c r="L312" t="s">
        <v>30</v>
      </c>
      <c r="M312" t="s">
        <v>42</v>
      </c>
    </row>
    <row r="313" spans="1:13">
      <c r="A313" t="s">
        <v>632</v>
      </c>
      <c r="B313" t="s">
        <v>633</v>
      </c>
      <c r="C313" t="s">
        <v>35</v>
      </c>
      <c r="D313" t="s">
        <v>61</v>
      </c>
      <c r="E313" t="s">
        <v>17</v>
      </c>
      <c r="F313" t="s">
        <v>18</v>
      </c>
      <c r="G313">
        <v>354576</v>
      </c>
      <c r="H313">
        <v>345696</v>
      </c>
      <c r="I313">
        <v>-8880</v>
      </c>
      <c r="J313" t="s">
        <v>54</v>
      </c>
      <c r="K313" t="s">
        <v>41</v>
      </c>
      <c r="L313" t="s">
        <v>68</v>
      </c>
      <c r="M313" t="s">
        <v>22</v>
      </c>
    </row>
    <row r="314" spans="1:13">
      <c r="A314" t="s">
        <v>634</v>
      </c>
      <c r="B314" t="s">
        <v>170</v>
      </c>
      <c r="C314" t="s">
        <v>35</v>
      </c>
      <c r="D314" t="s">
        <v>16</v>
      </c>
      <c r="E314" t="s">
        <v>27</v>
      </c>
      <c r="F314" t="s">
        <v>28</v>
      </c>
      <c r="G314">
        <v>394239</v>
      </c>
      <c r="H314">
        <v>401347</v>
      </c>
      <c r="I314">
        <v>7108</v>
      </c>
      <c r="J314" t="s">
        <v>19</v>
      </c>
      <c r="K314" t="s">
        <v>20</v>
      </c>
      <c r="L314" t="s">
        <v>68</v>
      </c>
      <c r="M314" t="s">
        <v>22</v>
      </c>
    </row>
    <row r="315" spans="1:13">
      <c r="A315" t="s">
        <v>635</v>
      </c>
      <c r="B315" t="s">
        <v>636</v>
      </c>
      <c r="C315" t="s">
        <v>25</v>
      </c>
      <c r="D315" t="s">
        <v>16</v>
      </c>
      <c r="E315" t="s">
        <v>46</v>
      </c>
      <c r="F315" t="s">
        <v>47</v>
      </c>
      <c r="G315">
        <v>287123</v>
      </c>
      <c r="H315">
        <v>329720</v>
      </c>
      <c r="I315">
        <v>42597</v>
      </c>
      <c r="J315" t="s">
        <v>37</v>
      </c>
      <c r="K315" t="s">
        <v>48</v>
      </c>
      <c r="L315" t="s">
        <v>30</v>
      </c>
      <c r="M315" t="s">
        <v>22</v>
      </c>
    </row>
    <row r="316" spans="1:13">
      <c r="A316" t="s">
        <v>637</v>
      </c>
      <c r="B316" t="s">
        <v>638</v>
      </c>
      <c r="C316" t="s">
        <v>35</v>
      </c>
      <c r="D316" t="s">
        <v>61</v>
      </c>
      <c r="E316" t="s">
        <v>27</v>
      </c>
      <c r="F316" t="s">
        <v>28</v>
      </c>
      <c r="G316">
        <v>96376</v>
      </c>
      <c r="H316">
        <v>85989</v>
      </c>
      <c r="I316">
        <v>-10387</v>
      </c>
      <c r="J316" t="s">
        <v>54</v>
      </c>
      <c r="K316" t="s">
        <v>20</v>
      </c>
      <c r="L316" t="s">
        <v>68</v>
      </c>
      <c r="M316" t="s">
        <v>22</v>
      </c>
    </row>
    <row r="317" spans="1:13">
      <c r="A317" t="s">
        <v>639</v>
      </c>
      <c r="B317" t="s">
        <v>640</v>
      </c>
      <c r="C317" t="s">
        <v>45</v>
      </c>
      <c r="D317" t="s">
        <v>26</v>
      </c>
      <c r="E317" t="s">
        <v>46</v>
      </c>
      <c r="F317" t="s">
        <v>47</v>
      </c>
      <c r="G317">
        <v>323909</v>
      </c>
      <c r="H317">
        <v>315658</v>
      </c>
      <c r="I317">
        <v>-8251</v>
      </c>
      <c r="J317" t="s">
        <v>19</v>
      </c>
      <c r="K317" t="s">
        <v>41</v>
      </c>
      <c r="L317" t="s">
        <v>49</v>
      </c>
      <c r="M317" t="s">
        <v>22</v>
      </c>
    </row>
    <row r="318" spans="1:13">
      <c r="A318" t="s">
        <v>641</v>
      </c>
      <c r="B318" t="s">
        <v>146</v>
      </c>
      <c r="C318" t="s">
        <v>25</v>
      </c>
      <c r="D318" t="s">
        <v>40</v>
      </c>
      <c r="E318" t="s">
        <v>17</v>
      </c>
      <c r="F318" t="s">
        <v>18</v>
      </c>
      <c r="G318">
        <v>485954</v>
      </c>
      <c r="H318">
        <v>609932</v>
      </c>
      <c r="I318">
        <v>123978</v>
      </c>
      <c r="J318" t="s">
        <v>37</v>
      </c>
      <c r="K318" t="s">
        <v>48</v>
      </c>
      <c r="L318" t="s">
        <v>21</v>
      </c>
      <c r="M318" t="s">
        <v>42</v>
      </c>
    </row>
    <row r="319" spans="1:13">
      <c r="A319" t="s">
        <v>642</v>
      </c>
      <c r="B319" t="s">
        <v>643</v>
      </c>
      <c r="C319" t="s">
        <v>64</v>
      </c>
      <c r="D319" t="s">
        <v>61</v>
      </c>
      <c r="E319" t="s">
        <v>35</v>
      </c>
      <c r="F319" t="s">
        <v>36</v>
      </c>
      <c r="G319">
        <v>127954</v>
      </c>
      <c r="H319">
        <v>139538</v>
      </c>
      <c r="I319">
        <v>11584</v>
      </c>
      <c r="J319" t="s">
        <v>54</v>
      </c>
      <c r="K319" t="s">
        <v>20</v>
      </c>
      <c r="L319" t="s">
        <v>49</v>
      </c>
      <c r="M319" t="s">
        <v>22</v>
      </c>
    </row>
    <row r="320" spans="1:13">
      <c r="A320" t="s">
        <v>644</v>
      </c>
      <c r="B320" t="s">
        <v>251</v>
      </c>
      <c r="C320" t="s">
        <v>35</v>
      </c>
      <c r="D320" t="s">
        <v>34</v>
      </c>
      <c r="E320" t="s">
        <v>46</v>
      </c>
      <c r="F320" t="s">
        <v>47</v>
      </c>
      <c r="G320">
        <v>63780</v>
      </c>
      <c r="H320">
        <v>45901</v>
      </c>
      <c r="I320">
        <v>-17879</v>
      </c>
      <c r="J320" t="s">
        <v>54</v>
      </c>
      <c r="K320" t="s">
        <v>48</v>
      </c>
      <c r="L320" t="s">
        <v>30</v>
      </c>
      <c r="M320" t="s">
        <v>42</v>
      </c>
    </row>
    <row r="321" spans="1:13">
      <c r="A321" t="s">
        <v>645</v>
      </c>
      <c r="B321" t="s">
        <v>646</v>
      </c>
      <c r="C321" t="s">
        <v>45</v>
      </c>
      <c r="D321" t="s">
        <v>40</v>
      </c>
      <c r="E321" t="s">
        <v>27</v>
      </c>
      <c r="F321" t="s">
        <v>28</v>
      </c>
      <c r="G321">
        <v>277845</v>
      </c>
      <c r="H321">
        <v>241398</v>
      </c>
      <c r="I321">
        <v>-36447</v>
      </c>
      <c r="J321" t="s">
        <v>37</v>
      </c>
      <c r="K321" t="s">
        <v>41</v>
      </c>
      <c r="L321" t="s">
        <v>68</v>
      </c>
      <c r="M321" t="s">
        <v>42</v>
      </c>
    </row>
    <row r="322" spans="1:13">
      <c r="A322" t="s">
        <v>647</v>
      </c>
      <c r="B322" t="s">
        <v>648</v>
      </c>
      <c r="C322" t="s">
        <v>25</v>
      </c>
      <c r="D322" t="s">
        <v>34</v>
      </c>
      <c r="E322" t="s">
        <v>46</v>
      </c>
      <c r="F322" t="s">
        <v>47</v>
      </c>
      <c r="G322">
        <v>162875</v>
      </c>
      <c r="H322">
        <v>196018</v>
      </c>
      <c r="I322">
        <v>33143</v>
      </c>
      <c r="J322" t="s">
        <v>54</v>
      </c>
      <c r="K322" t="s">
        <v>41</v>
      </c>
      <c r="L322" t="s">
        <v>68</v>
      </c>
      <c r="M322" t="s">
        <v>42</v>
      </c>
    </row>
    <row r="323" spans="1:13">
      <c r="A323" t="s">
        <v>649</v>
      </c>
      <c r="B323" t="s">
        <v>650</v>
      </c>
      <c r="C323" t="s">
        <v>35</v>
      </c>
      <c r="D323" t="s">
        <v>40</v>
      </c>
      <c r="E323" t="s">
        <v>71</v>
      </c>
      <c r="F323" t="s">
        <v>72</v>
      </c>
      <c r="G323">
        <v>317318</v>
      </c>
      <c r="H323">
        <v>262303</v>
      </c>
      <c r="I323">
        <v>-55015</v>
      </c>
      <c r="J323" t="s">
        <v>37</v>
      </c>
      <c r="K323" t="s">
        <v>67</v>
      </c>
      <c r="L323" t="s">
        <v>21</v>
      </c>
      <c r="M323" t="s">
        <v>42</v>
      </c>
    </row>
    <row r="324" spans="1:13">
      <c r="A324" t="s">
        <v>651</v>
      </c>
      <c r="B324" t="s">
        <v>652</v>
      </c>
      <c r="C324" t="s">
        <v>35</v>
      </c>
      <c r="D324" t="s">
        <v>61</v>
      </c>
      <c r="E324" t="s">
        <v>46</v>
      </c>
      <c r="F324" t="s">
        <v>47</v>
      </c>
      <c r="G324">
        <v>161420</v>
      </c>
      <c r="H324">
        <v>181698</v>
      </c>
      <c r="I324">
        <v>20278</v>
      </c>
      <c r="J324" t="s">
        <v>37</v>
      </c>
      <c r="K324" t="s">
        <v>67</v>
      </c>
      <c r="L324" t="s">
        <v>49</v>
      </c>
      <c r="M324" t="s">
        <v>42</v>
      </c>
    </row>
    <row r="325" spans="1:13">
      <c r="A325" t="s">
        <v>653</v>
      </c>
      <c r="B325" t="s">
        <v>654</v>
      </c>
      <c r="C325" t="s">
        <v>25</v>
      </c>
      <c r="D325" t="s">
        <v>40</v>
      </c>
      <c r="E325" t="s">
        <v>71</v>
      </c>
      <c r="F325" t="s">
        <v>72</v>
      </c>
      <c r="G325">
        <v>255513</v>
      </c>
      <c r="H325">
        <v>263163</v>
      </c>
      <c r="I325">
        <v>7650</v>
      </c>
      <c r="J325" t="s">
        <v>19</v>
      </c>
      <c r="K325" t="s">
        <v>20</v>
      </c>
      <c r="L325" t="s">
        <v>68</v>
      </c>
      <c r="M325" t="s">
        <v>22</v>
      </c>
    </row>
    <row r="326" spans="1:13">
      <c r="A326" t="s">
        <v>655</v>
      </c>
      <c r="B326" t="s">
        <v>656</v>
      </c>
      <c r="C326" t="s">
        <v>33</v>
      </c>
      <c r="D326" t="s">
        <v>40</v>
      </c>
      <c r="E326" t="s">
        <v>71</v>
      </c>
      <c r="F326" t="s">
        <v>72</v>
      </c>
      <c r="G326">
        <v>458804</v>
      </c>
      <c r="H326">
        <v>452955</v>
      </c>
      <c r="I326">
        <v>-5849</v>
      </c>
      <c r="J326" t="s">
        <v>19</v>
      </c>
      <c r="K326" t="s">
        <v>48</v>
      </c>
      <c r="L326" t="s">
        <v>21</v>
      </c>
      <c r="M326" t="s">
        <v>42</v>
      </c>
    </row>
    <row r="327" spans="1:13">
      <c r="A327" t="s">
        <v>657</v>
      </c>
      <c r="B327" t="s">
        <v>658</v>
      </c>
      <c r="C327" t="s">
        <v>64</v>
      </c>
      <c r="D327" t="s">
        <v>34</v>
      </c>
      <c r="E327" t="s">
        <v>85</v>
      </c>
      <c r="F327" t="s">
        <v>86</v>
      </c>
      <c r="G327">
        <v>114512</v>
      </c>
      <c r="H327">
        <v>104406</v>
      </c>
      <c r="I327">
        <v>-10106</v>
      </c>
      <c r="J327" t="s">
        <v>37</v>
      </c>
      <c r="K327" t="s">
        <v>67</v>
      </c>
      <c r="L327" t="s">
        <v>49</v>
      </c>
      <c r="M327" t="s">
        <v>42</v>
      </c>
    </row>
    <row r="328" spans="1:13">
      <c r="A328" t="s">
        <v>659</v>
      </c>
      <c r="B328" t="s">
        <v>660</v>
      </c>
      <c r="C328" t="s">
        <v>64</v>
      </c>
      <c r="D328" t="s">
        <v>61</v>
      </c>
      <c r="E328" t="s">
        <v>46</v>
      </c>
      <c r="F328" t="s">
        <v>47</v>
      </c>
      <c r="G328">
        <v>68464</v>
      </c>
      <c r="H328">
        <v>72613</v>
      </c>
      <c r="I328">
        <v>4149</v>
      </c>
      <c r="J328" t="s">
        <v>19</v>
      </c>
      <c r="K328" t="s">
        <v>48</v>
      </c>
      <c r="L328" t="s">
        <v>49</v>
      </c>
      <c r="M328" t="s">
        <v>42</v>
      </c>
    </row>
    <row r="329" spans="1:13">
      <c r="A329" t="s">
        <v>661</v>
      </c>
      <c r="B329" t="s">
        <v>202</v>
      </c>
      <c r="C329" t="s">
        <v>15</v>
      </c>
      <c r="D329" t="s">
        <v>61</v>
      </c>
      <c r="E329" t="s">
        <v>17</v>
      </c>
      <c r="F329" t="s">
        <v>18</v>
      </c>
      <c r="G329">
        <v>335625</v>
      </c>
      <c r="H329">
        <v>272114</v>
      </c>
      <c r="I329">
        <v>-63511</v>
      </c>
      <c r="J329" t="s">
        <v>19</v>
      </c>
      <c r="K329" t="s">
        <v>67</v>
      </c>
      <c r="L329" t="s">
        <v>30</v>
      </c>
      <c r="M329" t="s">
        <v>42</v>
      </c>
    </row>
    <row r="330" spans="1:13">
      <c r="A330" t="s">
        <v>662</v>
      </c>
      <c r="B330" t="s">
        <v>663</v>
      </c>
      <c r="C330" t="s">
        <v>15</v>
      </c>
      <c r="D330" t="s">
        <v>16</v>
      </c>
      <c r="E330" t="s">
        <v>27</v>
      </c>
      <c r="F330" t="s">
        <v>28</v>
      </c>
      <c r="G330">
        <v>164470</v>
      </c>
      <c r="H330">
        <v>186218</v>
      </c>
      <c r="I330">
        <v>21748</v>
      </c>
      <c r="J330" t="s">
        <v>54</v>
      </c>
      <c r="K330" t="s">
        <v>48</v>
      </c>
      <c r="L330" t="s">
        <v>30</v>
      </c>
      <c r="M330" t="s">
        <v>42</v>
      </c>
    </row>
    <row r="331" spans="1:13">
      <c r="A331" t="s">
        <v>664</v>
      </c>
      <c r="B331" t="s">
        <v>665</v>
      </c>
      <c r="C331" t="s">
        <v>33</v>
      </c>
      <c r="D331" t="s">
        <v>16</v>
      </c>
      <c r="E331" t="s">
        <v>71</v>
      </c>
      <c r="F331" t="s">
        <v>72</v>
      </c>
      <c r="G331">
        <v>368222</v>
      </c>
      <c r="H331">
        <v>465305</v>
      </c>
      <c r="I331">
        <v>97083</v>
      </c>
      <c r="J331" t="s">
        <v>19</v>
      </c>
      <c r="K331" t="s">
        <v>67</v>
      </c>
      <c r="L331" t="s">
        <v>49</v>
      </c>
      <c r="M331" t="s">
        <v>22</v>
      </c>
    </row>
    <row r="332" spans="1:13">
      <c r="A332" t="s">
        <v>666</v>
      </c>
      <c r="B332" t="s">
        <v>462</v>
      </c>
      <c r="C332" t="s">
        <v>25</v>
      </c>
      <c r="D332" t="s">
        <v>26</v>
      </c>
      <c r="E332" t="s">
        <v>46</v>
      </c>
      <c r="F332" t="s">
        <v>47</v>
      </c>
      <c r="G332">
        <v>485338</v>
      </c>
      <c r="H332">
        <v>421054</v>
      </c>
      <c r="I332">
        <v>-64284</v>
      </c>
      <c r="J332" t="s">
        <v>19</v>
      </c>
      <c r="K332" t="s">
        <v>20</v>
      </c>
      <c r="L332" t="s">
        <v>21</v>
      </c>
      <c r="M332" t="s">
        <v>42</v>
      </c>
    </row>
    <row r="333" spans="1:13">
      <c r="A333" t="s">
        <v>667</v>
      </c>
      <c r="B333" t="s">
        <v>668</v>
      </c>
      <c r="C333" t="s">
        <v>35</v>
      </c>
      <c r="D333" t="s">
        <v>34</v>
      </c>
      <c r="E333" t="s">
        <v>17</v>
      </c>
      <c r="F333" t="s">
        <v>18</v>
      </c>
      <c r="G333">
        <v>290957</v>
      </c>
      <c r="H333">
        <v>351194</v>
      </c>
      <c r="I333">
        <v>60237</v>
      </c>
      <c r="J333" t="s">
        <v>19</v>
      </c>
      <c r="K333" t="s">
        <v>20</v>
      </c>
      <c r="L333" t="s">
        <v>30</v>
      </c>
      <c r="M333" t="s">
        <v>42</v>
      </c>
    </row>
    <row r="334" spans="1:13">
      <c r="A334" t="s">
        <v>669</v>
      </c>
      <c r="B334" t="s">
        <v>670</v>
      </c>
      <c r="C334" t="s">
        <v>35</v>
      </c>
      <c r="D334" t="s">
        <v>40</v>
      </c>
      <c r="E334" t="s">
        <v>27</v>
      </c>
      <c r="F334" t="s">
        <v>28</v>
      </c>
      <c r="G334">
        <v>63479</v>
      </c>
      <c r="H334">
        <v>44469</v>
      </c>
      <c r="I334">
        <v>-19010</v>
      </c>
      <c r="J334" t="s">
        <v>19</v>
      </c>
      <c r="K334" t="s">
        <v>67</v>
      </c>
      <c r="L334" t="s">
        <v>21</v>
      </c>
      <c r="M334" t="s">
        <v>22</v>
      </c>
    </row>
    <row r="335" spans="1:13">
      <c r="A335" t="s">
        <v>671</v>
      </c>
      <c r="B335" t="s">
        <v>672</v>
      </c>
      <c r="C335" t="s">
        <v>33</v>
      </c>
      <c r="D335" t="s">
        <v>40</v>
      </c>
      <c r="E335" t="s">
        <v>27</v>
      </c>
      <c r="F335" t="s">
        <v>28</v>
      </c>
      <c r="G335">
        <v>102207</v>
      </c>
      <c r="H335">
        <v>133022</v>
      </c>
      <c r="I335">
        <v>30815</v>
      </c>
      <c r="J335" t="s">
        <v>54</v>
      </c>
      <c r="K335" t="s">
        <v>41</v>
      </c>
      <c r="L335" t="s">
        <v>49</v>
      </c>
      <c r="M335" t="s">
        <v>42</v>
      </c>
    </row>
    <row r="336" spans="1:13">
      <c r="A336" t="s">
        <v>673</v>
      </c>
      <c r="B336" t="s">
        <v>456</v>
      </c>
      <c r="C336" t="s">
        <v>25</v>
      </c>
      <c r="D336" t="s">
        <v>26</v>
      </c>
      <c r="E336" t="s">
        <v>71</v>
      </c>
      <c r="F336" t="s">
        <v>72</v>
      </c>
      <c r="G336">
        <v>296026</v>
      </c>
      <c r="H336">
        <v>223743</v>
      </c>
      <c r="I336">
        <v>-72283</v>
      </c>
      <c r="J336" t="s">
        <v>37</v>
      </c>
      <c r="K336" t="s">
        <v>29</v>
      </c>
      <c r="L336" t="s">
        <v>30</v>
      </c>
      <c r="M336" t="s">
        <v>42</v>
      </c>
    </row>
    <row r="337" spans="1:13">
      <c r="A337" t="s">
        <v>674</v>
      </c>
      <c r="B337" t="s">
        <v>312</v>
      </c>
      <c r="C337" t="s">
        <v>35</v>
      </c>
      <c r="D337" t="s">
        <v>16</v>
      </c>
      <c r="E337" t="s">
        <v>17</v>
      </c>
      <c r="F337" t="s">
        <v>18</v>
      </c>
      <c r="G337">
        <v>133568</v>
      </c>
      <c r="H337">
        <v>126629</v>
      </c>
      <c r="I337">
        <v>-6939</v>
      </c>
      <c r="J337" t="s">
        <v>19</v>
      </c>
      <c r="K337" t="s">
        <v>67</v>
      </c>
      <c r="L337" t="s">
        <v>21</v>
      </c>
      <c r="M337" t="s">
        <v>22</v>
      </c>
    </row>
    <row r="338" spans="1:13">
      <c r="A338" t="s">
        <v>675</v>
      </c>
      <c r="B338" t="s">
        <v>676</v>
      </c>
      <c r="C338" t="s">
        <v>15</v>
      </c>
      <c r="D338" t="s">
        <v>16</v>
      </c>
      <c r="E338" t="s">
        <v>85</v>
      </c>
      <c r="F338" t="s">
        <v>86</v>
      </c>
      <c r="G338">
        <v>420261</v>
      </c>
      <c r="H338">
        <v>351448</v>
      </c>
      <c r="I338">
        <v>-68813</v>
      </c>
      <c r="J338" t="s">
        <v>37</v>
      </c>
      <c r="K338" t="s">
        <v>41</v>
      </c>
      <c r="L338" t="s">
        <v>49</v>
      </c>
      <c r="M338" t="s">
        <v>22</v>
      </c>
    </row>
    <row r="339" spans="1:13">
      <c r="A339" t="s">
        <v>677</v>
      </c>
      <c r="B339" t="s">
        <v>300</v>
      </c>
      <c r="C339" t="s">
        <v>15</v>
      </c>
      <c r="D339" t="s">
        <v>16</v>
      </c>
      <c r="E339" t="s">
        <v>17</v>
      </c>
      <c r="F339" t="s">
        <v>18</v>
      </c>
      <c r="G339">
        <v>465634</v>
      </c>
      <c r="H339">
        <v>377305</v>
      </c>
      <c r="I339">
        <v>-88329</v>
      </c>
      <c r="J339" t="s">
        <v>54</v>
      </c>
      <c r="K339" t="s">
        <v>48</v>
      </c>
      <c r="L339" t="s">
        <v>30</v>
      </c>
      <c r="M339" t="s">
        <v>22</v>
      </c>
    </row>
    <row r="340" spans="1:13">
      <c r="A340" t="s">
        <v>678</v>
      </c>
      <c r="B340" t="s">
        <v>679</v>
      </c>
      <c r="C340" t="s">
        <v>45</v>
      </c>
      <c r="D340" t="s">
        <v>26</v>
      </c>
      <c r="E340" t="s">
        <v>27</v>
      </c>
      <c r="F340" t="s">
        <v>28</v>
      </c>
      <c r="G340">
        <v>69558</v>
      </c>
      <c r="H340">
        <v>79236</v>
      </c>
      <c r="I340">
        <v>9678</v>
      </c>
      <c r="J340" t="s">
        <v>19</v>
      </c>
      <c r="K340" t="s">
        <v>48</v>
      </c>
      <c r="L340" t="s">
        <v>30</v>
      </c>
      <c r="M340" t="s">
        <v>22</v>
      </c>
    </row>
    <row r="341" spans="1:13">
      <c r="A341" t="s">
        <v>680</v>
      </c>
      <c r="B341" t="s">
        <v>479</v>
      </c>
      <c r="C341" t="s">
        <v>33</v>
      </c>
      <c r="D341" t="s">
        <v>61</v>
      </c>
      <c r="E341" t="s">
        <v>27</v>
      </c>
      <c r="F341" t="s">
        <v>28</v>
      </c>
      <c r="G341">
        <v>474731</v>
      </c>
      <c r="H341">
        <v>378768</v>
      </c>
      <c r="I341">
        <v>-95963</v>
      </c>
      <c r="J341" t="s">
        <v>37</v>
      </c>
      <c r="K341" t="s">
        <v>29</v>
      </c>
      <c r="L341" t="s">
        <v>49</v>
      </c>
      <c r="M341" t="s">
        <v>22</v>
      </c>
    </row>
    <row r="342" spans="1:13">
      <c r="A342" t="s">
        <v>681</v>
      </c>
      <c r="B342" t="s">
        <v>682</v>
      </c>
      <c r="C342" t="s">
        <v>25</v>
      </c>
      <c r="D342" t="s">
        <v>61</v>
      </c>
      <c r="E342" t="s">
        <v>46</v>
      </c>
      <c r="F342" t="s">
        <v>47</v>
      </c>
      <c r="G342">
        <v>469153</v>
      </c>
      <c r="H342">
        <v>521232</v>
      </c>
      <c r="I342">
        <v>52079</v>
      </c>
      <c r="J342" t="s">
        <v>37</v>
      </c>
      <c r="K342" t="s">
        <v>29</v>
      </c>
      <c r="L342" t="s">
        <v>30</v>
      </c>
      <c r="M342" t="s">
        <v>22</v>
      </c>
    </row>
    <row r="343" spans="1:13">
      <c r="A343" t="s">
        <v>683</v>
      </c>
      <c r="B343" t="s">
        <v>684</v>
      </c>
      <c r="C343" t="s">
        <v>45</v>
      </c>
      <c r="D343" t="s">
        <v>34</v>
      </c>
      <c r="E343" t="s">
        <v>46</v>
      </c>
      <c r="F343" t="s">
        <v>47</v>
      </c>
      <c r="G343">
        <v>373555</v>
      </c>
      <c r="H343">
        <v>262078</v>
      </c>
      <c r="I343">
        <v>-111477</v>
      </c>
      <c r="J343" t="s">
        <v>19</v>
      </c>
      <c r="K343" t="s">
        <v>41</v>
      </c>
      <c r="L343" t="s">
        <v>68</v>
      </c>
      <c r="M343" t="s">
        <v>22</v>
      </c>
    </row>
    <row r="344" spans="1:13">
      <c r="A344" t="s">
        <v>685</v>
      </c>
      <c r="B344" t="s">
        <v>540</v>
      </c>
      <c r="C344" t="s">
        <v>64</v>
      </c>
      <c r="D344" t="s">
        <v>34</v>
      </c>
      <c r="E344" t="s">
        <v>27</v>
      </c>
      <c r="F344" t="s">
        <v>28</v>
      </c>
      <c r="G344">
        <v>392204</v>
      </c>
      <c r="H344">
        <v>517946</v>
      </c>
      <c r="I344">
        <v>125742</v>
      </c>
      <c r="J344" t="s">
        <v>19</v>
      </c>
      <c r="K344" t="s">
        <v>20</v>
      </c>
      <c r="L344" t="s">
        <v>49</v>
      </c>
      <c r="M344" t="s">
        <v>42</v>
      </c>
    </row>
    <row r="345" spans="1:13">
      <c r="A345" t="s">
        <v>686</v>
      </c>
      <c r="B345" t="s">
        <v>437</v>
      </c>
      <c r="C345" t="s">
        <v>15</v>
      </c>
      <c r="D345" t="s">
        <v>16</v>
      </c>
      <c r="E345" t="s">
        <v>35</v>
      </c>
      <c r="F345" t="s">
        <v>36</v>
      </c>
      <c r="G345">
        <v>464911</v>
      </c>
      <c r="H345">
        <v>341782</v>
      </c>
      <c r="I345">
        <v>-123129</v>
      </c>
      <c r="J345" t="s">
        <v>54</v>
      </c>
      <c r="K345" t="s">
        <v>20</v>
      </c>
      <c r="L345" t="s">
        <v>49</v>
      </c>
      <c r="M345" t="s">
        <v>42</v>
      </c>
    </row>
    <row r="346" spans="1:13">
      <c r="A346" t="s">
        <v>687</v>
      </c>
      <c r="B346" t="s">
        <v>688</v>
      </c>
      <c r="C346" t="s">
        <v>33</v>
      </c>
      <c r="D346" t="s">
        <v>40</v>
      </c>
      <c r="E346" t="s">
        <v>27</v>
      </c>
      <c r="F346" t="s">
        <v>28</v>
      </c>
      <c r="G346">
        <v>457602</v>
      </c>
      <c r="H346">
        <v>545209</v>
      </c>
      <c r="I346">
        <v>87607</v>
      </c>
      <c r="J346" t="s">
        <v>37</v>
      </c>
      <c r="K346" t="s">
        <v>20</v>
      </c>
      <c r="L346" t="s">
        <v>68</v>
      </c>
      <c r="M346" t="s">
        <v>22</v>
      </c>
    </row>
    <row r="347" spans="1:13">
      <c r="A347" t="s">
        <v>689</v>
      </c>
      <c r="B347" t="s">
        <v>550</v>
      </c>
      <c r="C347" t="s">
        <v>15</v>
      </c>
      <c r="D347" t="s">
        <v>61</v>
      </c>
      <c r="E347" t="s">
        <v>46</v>
      </c>
      <c r="F347" t="s">
        <v>47</v>
      </c>
      <c r="G347">
        <v>300249</v>
      </c>
      <c r="H347">
        <v>393280</v>
      </c>
      <c r="I347">
        <v>93031</v>
      </c>
      <c r="J347" t="s">
        <v>54</v>
      </c>
      <c r="K347" t="s">
        <v>48</v>
      </c>
      <c r="L347" t="s">
        <v>30</v>
      </c>
      <c r="M347" t="s">
        <v>22</v>
      </c>
    </row>
    <row r="348" spans="1:13">
      <c r="A348" t="s">
        <v>690</v>
      </c>
      <c r="B348" t="s">
        <v>578</v>
      </c>
      <c r="C348" t="s">
        <v>15</v>
      </c>
      <c r="D348" t="s">
        <v>26</v>
      </c>
      <c r="E348" t="s">
        <v>46</v>
      </c>
      <c r="F348" t="s">
        <v>47</v>
      </c>
      <c r="G348">
        <v>320762</v>
      </c>
      <c r="H348">
        <v>437897</v>
      </c>
      <c r="I348">
        <v>117135</v>
      </c>
      <c r="J348" t="s">
        <v>54</v>
      </c>
      <c r="K348" t="s">
        <v>67</v>
      </c>
      <c r="L348" t="s">
        <v>68</v>
      </c>
      <c r="M348" t="s">
        <v>42</v>
      </c>
    </row>
    <row r="349" spans="1:13">
      <c r="A349" t="s">
        <v>691</v>
      </c>
      <c r="B349" t="s">
        <v>295</v>
      </c>
      <c r="C349" t="s">
        <v>64</v>
      </c>
      <c r="D349" t="s">
        <v>40</v>
      </c>
      <c r="E349" t="s">
        <v>46</v>
      </c>
      <c r="F349" t="s">
        <v>47</v>
      </c>
      <c r="G349">
        <v>198602</v>
      </c>
      <c r="H349">
        <v>275275</v>
      </c>
      <c r="I349">
        <v>76673</v>
      </c>
      <c r="J349" t="s">
        <v>37</v>
      </c>
      <c r="K349" t="s">
        <v>20</v>
      </c>
      <c r="L349" t="s">
        <v>30</v>
      </c>
      <c r="M349" t="s">
        <v>42</v>
      </c>
    </row>
    <row r="350" spans="1:13">
      <c r="A350" t="s">
        <v>692</v>
      </c>
      <c r="B350" t="s">
        <v>693</v>
      </c>
      <c r="C350" t="s">
        <v>15</v>
      </c>
      <c r="D350" t="s">
        <v>26</v>
      </c>
      <c r="E350" t="s">
        <v>27</v>
      </c>
      <c r="F350" t="s">
        <v>28</v>
      </c>
      <c r="G350">
        <v>187141</v>
      </c>
      <c r="H350">
        <v>150562</v>
      </c>
      <c r="I350">
        <v>-36579</v>
      </c>
      <c r="J350" t="s">
        <v>37</v>
      </c>
      <c r="K350" t="s">
        <v>67</v>
      </c>
      <c r="L350" t="s">
        <v>68</v>
      </c>
      <c r="M350" t="s">
        <v>22</v>
      </c>
    </row>
    <row r="351" spans="1:13">
      <c r="A351" t="s">
        <v>694</v>
      </c>
      <c r="B351" t="s">
        <v>544</v>
      </c>
      <c r="C351" t="s">
        <v>35</v>
      </c>
      <c r="D351" t="s">
        <v>40</v>
      </c>
      <c r="E351" t="s">
        <v>85</v>
      </c>
      <c r="F351" t="s">
        <v>86</v>
      </c>
      <c r="G351">
        <v>298107</v>
      </c>
      <c r="H351">
        <v>362910</v>
      </c>
      <c r="I351">
        <v>64803</v>
      </c>
      <c r="J351" t="s">
        <v>37</v>
      </c>
      <c r="K351" t="s">
        <v>29</v>
      </c>
      <c r="L351" t="s">
        <v>68</v>
      </c>
      <c r="M351" t="s">
        <v>22</v>
      </c>
    </row>
    <row r="352" spans="1:13">
      <c r="A352" t="s">
        <v>695</v>
      </c>
      <c r="B352" t="s">
        <v>696</v>
      </c>
      <c r="C352" t="s">
        <v>25</v>
      </c>
      <c r="D352" t="s">
        <v>16</v>
      </c>
      <c r="E352" t="s">
        <v>46</v>
      </c>
      <c r="F352" t="s">
        <v>47</v>
      </c>
      <c r="G352">
        <v>373324</v>
      </c>
      <c r="H352">
        <v>368564</v>
      </c>
      <c r="I352">
        <v>-4760</v>
      </c>
      <c r="J352" t="s">
        <v>37</v>
      </c>
      <c r="K352" t="s">
        <v>67</v>
      </c>
      <c r="L352" t="s">
        <v>68</v>
      </c>
      <c r="M352" t="s">
        <v>42</v>
      </c>
    </row>
    <row r="353" spans="1:13">
      <c r="A353" t="s">
        <v>697</v>
      </c>
      <c r="B353" t="s">
        <v>261</v>
      </c>
      <c r="C353" t="s">
        <v>35</v>
      </c>
      <c r="D353" t="s">
        <v>16</v>
      </c>
      <c r="E353" t="s">
        <v>27</v>
      </c>
      <c r="F353" t="s">
        <v>28</v>
      </c>
      <c r="G353">
        <v>118897</v>
      </c>
      <c r="H353">
        <v>150196</v>
      </c>
      <c r="I353">
        <v>31299</v>
      </c>
      <c r="J353" t="s">
        <v>37</v>
      </c>
      <c r="K353" t="s">
        <v>20</v>
      </c>
      <c r="L353" t="s">
        <v>30</v>
      </c>
      <c r="M353" t="s">
        <v>42</v>
      </c>
    </row>
    <row r="354" spans="1:13">
      <c r="A354" t="s">
        <v>698</v>
      </c>
      <c r="B354" t="s">
        <v>699</v>
      </c>
      <c r="C354" t="s">
        <v>25</v>
      </c>
      <c r="D354" t="s">
        <v>40</v>
      </c>
      <c r="E354" t="s">
        <v>71</v>
      </c>
      <c r="F354" t="s">
        <v>72</v>
      </c>
      <c r="G354">
        <v>87501</v>
      </c>
      <c r="H354">
        <v>105013</v>
      </c>
      <c r="I354">
        <v>17512</v>
      </c>
      <c r="J354" t="s">
        <v>54</v>
      </c>
      <c r="K354" t="s">
        <v>29</v>
      </c>
      <c r="L354" t="s">
        <v>30</v>
      </c>
      <c r="M354" t="s">
        <v>22</v>
      </c>
    </row>
    <row r="355" spans="1:13">
      <c r="A355" t="s">
        <v>700</v>
      </c>
      <c r="B355" t="s">
        <v>701</v>
      </c>
      <c r="C355" t="s">
        <v>25</v>
      </c>
      <c r="D355" t="s">
        <v>40</v>
      </c>
      <c r="E355" t="s">
        <v>17</v>
      </c>
      <c r="F355" t="s">
        <v>18</v>
      </c>
      <c r="G355">
        <v>496350</v>
      </c>
      <c r="H355">
        <v>473685</v>
      </c>
      <c r="I355">
        <v>-22665</v>
      </c>
      <c r="J355" t="s">
        <v>37</v>
      </c>
      <c r="K355" t="s">
        <v>41</v>
      </c>
      <c r="L355" t="s">
        <v>49</v>
      </c>
      <c r="M355" t="s">
        <v>42</v>
      </c>
    </row>
    <row r="356" spans="1:13">
      <c r="A356" t="s">
        <v>702</v>
      </c>
      <c r="B356" t="s">
        <v>703</v>
      </c>
      <c r="C356" t="s">
        <v>25</v>
      </c>
      <c r="D356" t="s">
        <v>34</v>
      </c>
      <c r="E356" t="s">
        <v>46</v>
      </c>
      <c r="F356" t="s">
        <v>47</v>
      </c>
      <c r="G356">
        <v>448298</v>
      </c>
      <c r="H356">
        <v>360386</v>
      </c>
      <c r="I356">
        <v>-87912</v>
      </c>
      <c r="J356" t="s">
        <v>19</v>
      </c>
      <c r="K356" t="s">
        <v>29</v>
      </c>
      <c r="L356" t="s">
        <v>30</v>
      </c>
      <c r="M356" t="s">
        <v>42</v>
      </c>
    </row>
    <row r="357" spans="1:13">
      <c r="A357" t="s">
        <v>704</v>
      </c>
      <c r="B357" t="s">
        <v>705</v>
      </c>
      <c r="C357" t="s">
        <v>35</v>
      </c>
      <c r="D357" t="s">
        <v>61</v>
      </c>
      <c r="E357" t="s">
        <v>17</v>
      </c>
      <c r="F357" t="s">
        <v>18</v>
      </c>
      <c r="G357">
        <v>292944</v>
      </c>
      <c r="H357">
        <v>247405</v>
      </c>
      <c r="I357">
        <v>-45539</v>
      </c>
      <c r="J357" t="s">
        <v>37</v>
      </c>
      <c r="K357" t="s">
        <v>67</v>
      </c>
      <c r="L357" t="s">
        <v>30</v>
      </c>
      <c r="M357" t="s">
        <v>42</v>
      </c>
    </row>
    <row r="358" spans="1:13">
      <c r="A358" t="s">
        <v>706</v>
      </c>
      <c r="B358" t="s">
        <v>707</v>
      </c>
      <c r="C358" t="s">
        <v>45</v>
      </c>
      <c r="D358" t="s">
        <v>34</v>
      </c>
      <c r="E358" t="s">
        <v>46</v>
      </c>
      <c r="F358" t="s">
        <v>47</v>
      </c>
      <c r="G358">
        <v>163295</v>
      </c>
      <c r="H358">
        <v>193246</v>
      </c>
      <c r="I358">
        <v>29951</v>
      </c>
      <c r="J358" t="s">
        <v>19</v>
      </c>
      <c r="K358" t="s">
        <v>29</v>
      </c>
      <c r="L358" t="s">
        <v>49</v>
      </c>
      <c r="M358" t="s">
        <v>22</v>
      </c>
    </row>
    <row r="359" spans="1:13">
      <c r="A359" t="s">
        <v>708</v>
      </c>
      <c r="B359" t="s">
        <v>709</v>
      </c>
      <c r="C359" t="s">
        <v>15</v>
      </c>
      <c r="D359" t="s">
        <v>40</v>
      </c>
      <c r="E359" t="s">
        <v>71</v>
      </c>
      <c r="F359" t="s">
        <v>72</v>
      </c>
      <c r="G359">
        <v>90725</v>
      </c>
      <c r="H359">
        <v>67466</v>
      </c>
      <c r="I359">
        <v>-23259</v>
      </c>
      <c r="J359" t="s">
        <v>37</v>
      </c>
      <c r="K359" t="s">
        <v>67</v>
      </c>
      <c r="L359" t="s">
        <v>68</v>
      </c>
      <c r="M359" t="s">
        <v>22</v>
      </c>
    </row>
    <row r="360" spans="1:13">
      <c r="A360" t="s">
        <v>710</v>
      </c>
      <c r="B360" t="s">
        <v>556</v>
      </c>
      <c r="C360" t="s">
        <v>33</v>
      </c>
      <c r="D360" t="s">
        <v>40</v>
      </c>
      <c r="E360" t="s">
        <v>71</v>
      </c>
      <c r="F360" t="s">
        <v>72</v>
      </c>
      <c r="G360">
        <v>256251</v>
      </c>
      <c r="H360">
        <v>281320</v>
      </c>
      <c r="I360">
        <v>25069</v>
      </c>
      <c r="J360" t="s">
        <v>54</v>
      </c>
      <c r="K360" t="s">
        <v>20</v>
      </c>
      <c r="L360" t="s">
        <v>68</v>
      </c>
      <c r="M360" t="s">
        <v>42</v>
      </c>
    </row>
    <row r="361" spans="1:13">
      <c r="A361" t="s">
        <v>711</v>
      </c>
      <c r="B361" t="s">
        <v>712</v>
      </c>
      <c r="C361" t="s">
        <v>45</v>
      </c>
      <c r="D361" t="s">
        <v>40</v>
      </c>
      <c r="E361" t="s">
        <v>46</v>
      </c>
      <c r="F361" t="s">
        <v>47</v>
      </c>
      <c r="G361">
        <v>358057</v>
      </c>
      <c r="H361">
        <v>363059</v>
      </c>
      <c r="I361">
        <v>5002</v>
      </c>
      <c r="J361" t="s">
        <v>37</v>
      </c>
      <c r="K361" t="s">
        <v>48</v>
      </c>
      <c r="L361" t="s">
        <v>21</v>
      </c>
      <c r="M361" t="s">
        <v>42</v>
      </c>
    </row>
    <row r="362" spans="1:13">
      <c r="A362" t="s">
        <v>713</v>
      </c>
      <c r="B362" t="s">
        <v>714</v>
      </c>
      <c r="C362" t="s">
        <v>25</v>
      </c>
      <c r="D362" t="s">
        <v>26</v>
      </c>
      <c r="E362" t="s">
        <v>35</v>
      </c>
      <c r="F362" t="s">
        <v>36</v>
      </c>
      <c r="G362">
        <v>452796</v>
      </c>
      <c r="H362">
        <v>600409</v>
      </c>
      <c r="I362">
        <v>147613</v>
      </c>
      <c r="J362" t="s">
        <v>54</v>
      </c>
      <c r="K362" t="s">
        <v>48</v>
      </c>
      <c r="L362" t="s">
        <v>30</v>
      </c>
      <c r="M362" t="s">
        <v>22</v>
      </c>
    </row>
    <row r="363" spans="1:13">
      <c r="A363" t="s">
        <v>715</v>
      </c>
      <c r="B363" t="s">
        <v>590</v>
      </c>
      <c r="C363" t="s">
        <v>35</v>
      </c>
      <c r="D363" t="s">
        <v>26</v>
      </c>
      <c r="E363" t="s">
        <v>46</v>
      </c>
      <c r="F363" t="s">
        <v>47</v>
      </c>
      <c r="G363">
        <v>332769</v>
      </c>
      <c r="H363">
        <v>268899</v>
      </c>
      <c r="I363">
        <v>-63870</v>
      </c>
      <c r="J363" t="s">
        <v>19</v>
      </c>
      <c r="K363" t="s">
        <v>20</v>
      </c>
      <c r="L363" t="s">
        <v>68</v>
      </c>
      <c r="M363" t="s">
        <v>22</v>
      </c>
    </row>
    <row r="364" spans="1:13">
      <c r="A364" t="s">
        <v>716</v>
      </c>
      <c r="B364" t="s">
        <v>717</v>
      </c>
      <c r="C364" t="s">
        <v>64</v>
      </c>
      <c r="D364" t="s">
        <v>26</v>
      </c>
      <c r="E364" t="s">
        <v>27</v>
      </c>
      <c r="F364" t="s">
        <v>28</v>
      </c>
      <c r="G364">
        <v>417258</v>
      </c>
      <c r="H364">
        <v>564787</v>
      </c>
      <c r="I364">
        <v>147529</v>
      </c>
      <c r="J364" t="s">
        <v>54</v>
      </c>
      <c r="K364" t="s">
        <v>48</v>
      </c>
      <c r="L364" t="s">
        <v>30</v>
      </c>
      <c r="M364" t="s">
        <v>22</v>
      </c>
    </row>
    <row r="365" spans="1:13">
      <c r="A365" t="s">
        <v>718</v>
      </c>
      <c r="B365" t="s">
        <v>719</v>
      </c>
      <c r="C365" t="s">
        <v>25</v>
      </c>
      <c r="D365" t="s">
        <v>34</v>
      </c>
      <c r="E365" t="s">
        <v>17</v>
      </c>
      <c r="F365" t="s">
        <v>18</v>
      </c>
      <c r="G365">
        <v>484508</v>
      </c>
      <c r="H365">
        <v>558729</v>
      </c>
      <c r="I365">
        <v>74221</v>
      </c>
      <c r="J365" t="s">
        <v>54</v>
      </c>
      <c r="K365" t="s">
        <v>20</v>
      </c>
      <c r="L365" t="s">
        <v>30</v>
      </c>
      <c r="M365" t="s">
        <v>22</v>
      </c>
    </row>
    <row r="366" spans="1:13">
      <c r="A366" t="s">
        <v>720</v>
      </c>
      <c r="B366" t="s">
        <v>629</v>
      </c>
      <c r="C366" t="s">
        <v>64</v>
      </c>
      <c r="D366" t="s">
        <v>34</v>
      </c>
      <c r="E366" t="s">
        <v>17</v>
      </c>
      <c r="F366" t="s">
        <v>18</v>
      </c>
      <c r="G366">
        <v>169087</v>
      </c>
      <c r="H366">
        <v>217732</v>
      </c>
      <c r="I366">
        <v>48645</v>
      </c>
      <c r="J366" t="s">
        <v>54</v>
      </c>
      <c r="K366" t="s">
        <v>29</v>
      </c>
      <c r="L366" t="s">
        <v>30</v>
      </c>
      <c r="M366" t="s">
        <v>42</v>
      </c>
    </row>
    <row r="367" spans="1:13">
      <c r="A367" t="s">
        <v>721</v>
      </c>
      <c r="B367" t="s">
        <v>82</v>
      </c>
      <c r="C367" t="s">
        <v>15</v>
      </c>
      <c r="D367" t="s">
        <v>34</v>
      </c>
      <c r="E367" t="s">
        <v>85</v>
      </c>
      <c r="F367" t="s">
        <v>86</v>
      </c>
      <c r="G367">
        <v>246241</v>
      </c>
      <c r="H367">
        <v>314301</v>
      </c>
      <c r="I367">
        <v>68060</v>
      </c>
      <c r="J367" t="s">
        <v>37</v>
      </c>
      <c r="K367" t="s">
        <v>41</v>
      </c>
      <c r="L367" t="s">
        <v>30</v>
      </c>
      <c r="M367" t="s">
        <v>22</v>
      </c>
    </row>
    <row r="368" spans="1:13">
      <c r="A368" t="s">
        <v>722</v>
      </c>
      <c r="B368" t="s">
        <v>357</v>
      </c>
      <c r="C368" t="s">
        <v>25</v>
      </c>
      <c r="D368" t="s">
        <v>26</v>
      </c>
      <c r="E368" t="s">
        <v>46</v>
      </c>
      <c r="F368" t="s">
        <v>47</v>
      </c>
      <c r="G368">
        <v>123055</v>
      </c>
      <c r="H368">
        <v>152906</v>
      </c>
      <c r="I368">
        <v>29851</v>
      </c>
      <c r="J368" t="s">
        <v>54</v>
      </c>
      <c r="K368" t="s">
        <v>29</v>
      </c>
      <c r="L368" t="s">
        <v>21</v>
      </c>
      <c r="M368" t="s">
        <v>22</v>
      </c>
    </row>
    <row r="369" spans="1:13">
      <c r="A369" t="s">
        <v>723</v>
      </c>
      <c r="B369" t="s">
        <v>510</v>
      </c>
      <c r="C369" t="s">
        <v>25</v>
      </c>
      <c r="D369" t="s">
        <v>16</v>
      </c>
      <c r="E369" t="s">
        <v>27</v>
      </c>
      <c r="F369" t="s">
        <v>28</v>
      </c>
      <c r="G369">
        <v>122495</v>
      </c>
      <c r="H369">
        <v>114381</v>
      </c>
      <c r="I369">
        <v>-8114</v>
      </c>
      <c r="J369" t="s">
        <v>54</v>
      </c>
      <c r="K369" t="s">
        <v>20</v>
      </c>
      <c r="L369" t="s">
        <v>49</v>
      </c>
      <c r="M369" t="s">
        <v>42</v>
      </c>
    </row>
    <row r="370" spans="1:13">
      <c r="A370" t="s">
        <v>724</v>
      </c>
      <c r="B370" t="s">
        <v>725</v>
      </c>
      <c r="C370" t="s">
        <v>64</v>
      </c>
      <c r="D370" t="s">
        <v>61</v>
      </c>
      <c r="E370" t="s">
        <v>17</v>
      </c>
      <c r="F370" t="s">
        <v>18</v>
      </c>
      <c r="G370">
        <v>50670</v>
      </c>
      <c r="H370">
        <v>43285</v>
      </c>
      <c r="I370">
        <v>-7385</v>
      </c>
      <c r="J370" t="s">
        <v>54</v>
      </c>
      <c r="K370" t="s">
        <v>48</v>
      </c>
      <c r="L370" t="s">
        <v>49</v>
      </c>
      <c r="M370" t="s">
        <v>22</v>
      </c>
    </row>
    <row r="371" spans="1:13">
      <c r="A371" t="s">
        <v>726</v>
      </c>
      <c r="B371" t="s">
        <v>124</v>
      </c>
      <c r="C371" t="s">
        <v>15</v>
      </c>
      <c r="D371" t="s">
        <v>16</v>
      </c>
      <c r="E371" t="s">
        <v>17</v>
      </c>
      <c r="F371" t="s">
        <v>18</v>
      </c>
      <c r="G371">
        <v>430211</v>
      </c>
      <c r="H371">
        <v>382345</v>
      </c>
      <c r="I371">
        <v>-47866</v>
      </c>
      <c r="J371" t="s">
        <v>54</v>
      </c>
      <c r="K371" t="s">
        <v>41</v>
      </c>
      <c r="L371" t="s">
        <v>21</v>
      </c>
      <c r="M371" t="s">
        <v>22</v>
      </c>
    </row>
    <row r="372" spans="1:13">
      <c r="A372" t="s">
        <v>727</v>
      </c>
      <c r="B372" t="s">
        <v>237</v>
      </c>
      <c r="C372" t="s">
        <v>35</v>
      </c>
      <c r="D372" t="s">
        <v>16</v>
      </c>
      <c r="E372" t="s">
        <v>46</v>
      </c>
      <c r="F372" t="s">
        <v>47</v>
      </c>
      <c r="G372">
        <v>485376</v>
      </c>
      <c r="H372">
        <v>502753</v>
      </c>
      <c r="I372">
        <v>17377</v>
      </c>
      <c r="J372" t="s">
        <v>54</v>
      </c>
      <c r="K372" t="s">
        <v>20</v>
      </c>
      <c r="L372" t="s">
        <v>49</v>
      </c>
      <c r="M372" t="s">
        <v>22</v>
      </c>
    </row>
    <row r="373" spans="1:13">
      <c r="A373" t="s">
        <v>728</v>
      </c>
      <c r="B373" t="s">
        <v>729</v>
      </c>
      <c r="C373" t="s">
        <v>33</v>
      </c>
      <c r="D373" t="s">
        <v>61</v>
      </c>
      <c r="E373" t="s">
        <v>46</v>
      </c>
      <c r="F373" t="s">
        <v>47</v>
      </c>
      <c r="G373">
        <v>220619</v>
      </c>
      <c r="H373">
        <v>163891</v>
      </c>
      <c r="I373">
        <v>-56728</v>
      </c>
      <c r="J373" t="s">
        <v>37</v>
      </c>
      <c r="K373" t="s">
        <v>48</v>
      </c>
      <c r="L373" t="s">
        <v>21</v>
      </c>
      <c r="M373" t="s">
        <v>22</v>
      </c>
    </row>
    <row r="374" spans="1:13">
      <c r="A374" t="s">
        <v>730</v>
      </c>
      <c r="B374" t="s">
        <v>731</v>
      </c>
      <c r="C374" t="s">
        <v>33</v>
      </c>
      <c r="D374" t="s">
        <v>16</v>
      </c>
      <c r="E374" t="s">
        <v>71</v>
      </c>
      <c r="F374" t="s">
        <v>72</v>
      </c>
      <c r="G374">
        <v>95682</v>
      </c>
      <c r="H374">
        <v>93869</v>
      </c>
      <c r="I374">
        <v>-1813</v>
      </c>
      <c r="J374" t="s">
        <v>54</v>
      </c>
      <c r="K374" t="s">
        <v>20</v>
      </c>
      <c r="L374" t="s">
        <v>21</v>
      </c>
      <c r="M374" t="s">
        <v>42</v>
      </c>
    </row>
    <row r="375" spans="1:13">
      <c r="A375" t="s">
        <v>732</v>
      </c>
      <c r="B375" t="s">
        <v>233</v>
      </c>
      <c r="C375" t="s">
        <v>25</v>
      </c>
      <c r="D375" t="s">
        <v>16</v>
      </c>
      <c r="E375" t="s">
        <v>27</v>
      </c>
      <c r="F375" t="s">
        <v>28</v>
      </c>
      <c r="G375">
        <v>150315</v>
      </c>
      <c r="H375">
        <v>149975</v>
      </c>
      <c r="I375">
        <v>-340</v>
      </c>
      <c r="J375" t="s">
        <v>54</v>
      </c>
      <c r="K375" t="s">
        <v>20</v>
      </c>
      <c r="L375" t="s">
        <v>68</v>
      </c>
      <c r="M375" t="s">
        <v>42</v>
      </c>
    </row>
    <row r="376" spans="1:13">
      <c r="A376" t="s">
        <v>733</v>
      </c>
      <c r="B376" t="s">
        <v>734</v>
      </c>
      <c r="C376" t="s">
        <v>25</v>
      </c>
      <c r="D376" t="s">
        <v>40</v>
      </c>
      <c r="E376" t="s">
        <v>85</v>
      </c>
      <c r="F376" t="s">
        <v>86</v>
      </c>
      <c r="G376">
        <v>381857</v>
      </c>
      <c r="H376">
        <v>355574</v>
      </c>
      <c r="I376">
        <v>-26283</v>
      </c>
      <c r="J376" t="s">
        <v>19</v>
      </c>
      <c r="K376" t="s">
        <v>41</v>
      </c>
      <c r="L376" t="s">
        <v>68</v>
      </c>
      <c r="M376" t="s">
        <v>22</v>
      </c>
    </row>
    <row r="377" spans="1:13">
      <c r="A377" t="s">
        <v>735</v>
      </c>
      <c r="B377" t="s">
        <v>58</v>
      </c>
      <c r="C377" t="s">
        <v>25</v>
      </c>
      <c r="D377" t="s">
        <v>34</v>
      </c>
      <c r="E377" t="s">
        <v>27</v>
      </c>
      <c r="F377" t="s">
        <v>28</v>
      </c>
      <c r="G377">
        <v>174284</v>
      </c>
      <c r="H377">
        <v>222699</v>
      </c>
      <c r="I377">
        <v>48415</v>
      </c>
      <c r="J377" t="s">
        <v>54</v>
      </c>
      <c r="K377" t="s">
        <v>29</v>
      </c>
      <c r="L377" t="s">
        <v>21</v>
      </c>
      <c r="M377" t="s">
        <v>22</v>
      </c>
    </row>
    <row r="378" spans="1:13">
      <c r="A378" t="s">
        <v>736</v>
      </c>
      <c r="B378" t="s">
        <v>166</v>
      </c>
      <c r="C378" t="s">
        <v>45</v>
      </c>
      <c r="D378" t="s">
        <v>26</v>
      </c>
      <c r="E378" t="s">
        <v>46</v>
      </c>
      <c r="F378" t="s">
        <v>47</v>
      </c>
      <c r="G378">
        <v>180140</v>
      </c>
      <c r="H378">
        <v>150528</v>
      </c>
      <c r="I378">
        <v>-29612</v>
      </c>
      <c r="J378" t="s">
        <v>37</v>
      </c>
      <c r="K378" t="s">
        <v>20</v>
      </c>
      <c r="L378" t="s">
        <v>21</v>
      </c>
      <c r="M378" t="s">
        <v>22</v>
      </c>
    </row>
    <row r="379" spans="1:13">
      <c r="A379" t="s">
        <v>737</v>
      </c>
      <c r="B379" t="s">
        <v>568</v>
      </c>
      <c r="C379" t="s">
        <v>45</v>
      </c>
      <c r="D379" t="s">
        <v>26</v>
      </c>
      <c r="E379" t="s">
        <v>85</v>
      </c>
      <c r="F379" t="s">
        <v>86</v>
      </c>
      <c r="G379">
        <v>266831</v>
      </c>
      <c r="H379">
        <v>324404</v>
      </c>
      <c r="I379">
        <v>57573</v>
      </c>
      <c r="J379" t="s">
        <v>54</v>
      </c>
      <c r="K379" t="s">
        <v>48</v>
      </c>
      <c r="L379" t="s">
        <v>68</v>
      </c>
      <c r="M379" t="s">
        <v>42</v>
      </c>
    </row>
    <row r="380" spans="1:13">
      <c r="A380" t="s">
        <v>738</v>
      </c>
      <c r="B380" t="s">
        <v>739</v>
      </c>
      <c r="C380" t="s">
        <v>35</v>
      </c>
      <c r="D380" t="s">
        <v>61</v>
      </c>
      <c r="E380" t="s">
        <v>71</v>
      </c>
      <c r="F380" t="s">
        <v>72</v>
      </c>
      <c r="G380">
        <v>163883</v>
      </c>
      <c r="H380">
        <v>115301</v>
      </c>
      <c r="I380">
        <v>-48582</v>
      </c>
      <c r="J380" t="s">
        <v>19</v>
      </c>
      <c r="K380" t="s">
        <v>67</v>
      </c>
      <c r="L380" t="s">
        <v>68</v>
      </c>
      <c r="M380" t="s">
        <v>42</v>
      </c>
    </row>
    <row r="381" spans="1:13">
      <c r="A381" t="s">
        <v>740</v>
      </c>
      <c r="B381" t="s">
        <v>437</v>
      </c>
      <c r="C381" t="s">
        <v>45</v>
      </c>
      <c r="D381" t="s">
        <v>26</v>
      </c>
      <c r="E381" t="s">
        <v>85</v>
      </c>
      <c r="F381" t="s">
        <v>86</v>
      </c>
      <c r="G381">
        <v>171211</v>
      </c>
      <c r="H381">
        <v>228585</v>
      </c>
      <c r="I381">
        <v>57374</v>
      </c>
      <c r="J381" t="s">
        <v>54</v>
      </c>
      <c r="K381" t="s">
        <v>67</v>
      </c>
      <c r="L381" t="s">
        <v>49</v>
      </c>
      <c r="M381" t="s">
        <v>22</v>
      </c>
    </row>
    <row r="382" spans="1:13">
      <c r="A382" t="s">
        <v>741</v>
      </c>
      <c r="B382" t="s">
        <v>437</v>
      </c>
      <c r="C382" t="s">
        <v>45</v>
      </c>
      <c r="D382" t="s">
        <v>61</v>
      </c>
      <c r="E382" t="s">
        <v>17</v>
      </c>
      <c r="F382" t="s">
        <v>18</v>
      </c>
      <c r="G382">
        <v>140730</v>
      </c>
      <c r="H382">
        <v>192595</v>
      </c>
      <c r="I382">
        <v>51865</v>
      </c>
      <c r="J382" t="s">
        <v>54</v>
      </c>
      <c r="K382" t="s">
        <v>41</v>
      </c>
      <c r="L382" t="s">
        <v>21</v>
      </c>
      <c r="M382" t="s">
        <v>42</v>
      </c>
    </row>
    <row r="383" spans="1:13">
      <c r="A383" t="s">
        <v>742</v>
      </c>
      <c r="B383" t="s">
        <v>743</v>
      </c>
      <c r="C383" t="s">
        <v>64</v>
      </c>
      <c r="D383" t="s">
        <v>61</v>
      </c>
      <c r="E383" t="s">
        <v>46</v>
      </c>
      <c r="F383" t="s">
        <v>47</v>
      </c>
      <c r="G383">
        <v>240093</v>
      </c>
      <c r="H383">
        <v>316078</v>
      </c>
      <c r="I383">
        <v>75985</v>
      </c>
      <c r="J383" t="s">
        <v>54</v>
      </c>
      <c r="K383" t="s">
        <v>41</v>
      </c>
      <c r="L383" t="s">
        <v>68</v>
      </c>
      <c r="M383" t="s">
        <v>22</v>
      </c>
    </row>
    <row r="384" spans="1:13">
      <c r="A384" t="s">
        <v>744</v>
      </c>
      <c r="B384" t="s">
        <v>745</v>
      </c>
      <c r="C384" t="s">
        <v>45</v>
      </c>
      <c r="D384" t="s">
        <v>61</v>
      </c>
      <c r="E384" t="s">
        <v>17</v>
      </c>
      <c r="F384" t="s">
        <v>18</v>
      </c>
      <c r="G384">
        <v>431185</v>
      </c>
      <c r="H384">
        <v>589059</v>
      </c>
      <c r="I384">
        <v>157874</v>
      </c>
      <c r="J384" t="s">
        <v>54</v>
      </c>
      <c r="K384" t="s">
        <v>67</v>
      </c>
      <c r="L384" t="s">
        <v>21</v>
      </c>
      <c r="M384" t="s">
        <v>42</v>
      </c>
    </row>
    <row r="385" spans="1:13">
      <c r="A385" t="s">
        <v>746</v>
      </c>
      <c r="B385" t="s">
        <v>196</v>
      </c>
      <c r="C385" t="s">
        <v>64</v>
      </c>
      <c r="D385" t="s">
        <v>40</v>
      </c>
      <c r="E385" t="s">
        <v>71</v>
      </c>
      <c r="F385" t="s">
        <v>72</v>
      </c>
      <c r="G385">
        <v>341943</v>
      </c>
      <c r="H385">
        <v>247631</v>
      </c>
      <c r="I385">
        <v>-94312</v>
      </c>
      <c r="J385" t="s">
        <v>54</v>
      </c>
      <c r="K385" t="s">
        <v>48</v>
      </c>
      <c r="L385" t="s">
        <v>68</v>
      </c>
      <c r="M385" t="s">
        <v>42</v>
      </c>
    </row>
    <row r="386" spans="1:13">
      <c r="A386" t="s">
        <v>747</v>
      </c>
      <c r="B386" t="s">
        <v>748</v>
      </c>
      <c r="C386" t="s">
        <v>15</v>
      </c>
      <c r="D386" t="s">
        <v>16</v>
      </c>
      <c r="E386" t="s">
        <v>46</v>
      </c>
      <c r="F386" t="s">
        <v>47</v>
      </c>
      <c r="G386">
        <v>221650</v>
      </c>
      <c r="H386">
        <v>253010</v>
      </c>
      <c r="I386">
        <v>31360</v>
      </c>
      <c r="J386" t="s">
        <v>54</v>
      </c>
      <c r="K386" t="s">
        <v>20</v>
      </c>
      <c r="L386" t="s">
        <v>49</v>
      </c>
      <c r="M386" t="s">
        <v>42</v>
      </c>
    </row>
    <row r="387" spans="1:13">
      <c r="A387" t="s">
        <v>749</v>
      </c>
      <c r="B387" t="s">
        <v>750</v>
      </c>
      <c r="C387" t="s">
        <v>64</v>
      </c>
      <c r="D387" t="s">
        <v>26</v>
      </c>
      <c r="E387" t="s">
        <v>27</v>
      </c>
      <c r="F387" t="s">
        <v>28</v>
      </c>
      <c r="G387">
        <v>159469</v>
      </c>
      <c r="H387">
        <v>139681</v>
      </c>
      <c r="I387">
        <v>-19788</v>
      </c>
      <c r="J387" t="s">
        <v>37</v>
      </c>
      <c r="K387" t="s">
        <v>48</v>
      </c>
      <c r="L387" t="s">
        <v>30</v>
      </c>
      <c r="M387" t="s">
        <v>22</v>
      </c>
    </row>
    <row r="388" spans="1:13">
      <c r="A388" t="s">
        <v>751</v>
      </c>
      <c r="B388" t="s">
        <v>752</v>
      </c>
      <c r="C388" t="s">
        <v>45</v>
      </c>
      <c r="D388" t="s">
        <v>61</v>
      </c>
      <c r="E388" t="s">
        <v>71</v>
      </c>
      <c r="F388" t="s">
        <v>72</v>
      </c>
      <c r="G388">
        <v>422394</v>
      </c>
      <c r="H388">
        <v>548844</v>
      </c>
      <c r="I388">
        <v>126450</v>
      </c>
      <c r="J388" t="s">
        <v>37</v>
      </c>
      <c r="K388" t="s">
        <v>67</v>
      </c>
      <c r="L388" t="s">
        <v>68</v>
      </c>
      <c r="M388" t="s">
        <v>22</v>
      </c>
    </row>
    <row r="389" spans="1:13">
      <c r="A389" t="s">
        <v>753</v>
      </c>
      <c r="B389" t="s">
        <v>754</v>
      </c>
      <c r="C389" t="s">
        <v>45</v>
      </c>
      <c r="D389" t="s">
        <v>16</v>
      </c>
      <c r="E389" t="s">
        <v>71</v>
      </c>
      <c r="F389" t="s">
        <v>72</v>
      </c>
      <c r="G389">
        <v>303169</v>
      </c>
      <c r="H389">
        <v>387819</v>
      </c>
      <c r="I389">
        <v>84650</v>
      </c>
      <c r="J389" t="s">
        <v>54</v>
      </c>
      <c r="K389" t="s">
        <v>48</v>
      </c>
      <c r="L389" t="s">
        <v>68</v>
      </c>
      <c r="M389" t="s">
        <v>22</v>
      </c>
    </row>
    <row r="390" spans="1:13">
      <c r="A390" t="s">
        <v>755</v>
      </c>
      <c r="B390" t="s">
        <v>709</v>
      </c>
      <c r="C390" t="s">
        <v>33</v>
      </c>
      <c r="D390" t="s">
        <v>16</v>
      </c>
      <c r="E390" t="s">
        <v>35</v>
      </c>
      <c r="F390" t="s">
        <v>36</v>
      </c>
      <c r="G390">
        <v>107253</v>
      </c>
      <c r="H390">
        <v>92489</v>
      </c>
      <c r="I390">
        <v>-14764</v>
      </c>
      <c r="J390" t="s">
        <v>19</v>
      </c>
      <c r="K390" t="s">
        <v>29</v>
      </c>
      <c r="L390" t="s">
        <v>68</v>
      </c>
      <c r="M390" t="s">
        <v>42</v>
      </c>
    </row>
    <row r="391" spans="1:13">
      <c r="A391" t="s">
        <v>756</v>
      </c>
      <c r="B391" t="s">
        <v>757</v>
      </c>
      <c r="C391" t="s">
        <v>15</v>
      </c>
      <c r="D391" t="s">
        <v>40</v>
      </c>
      <c r="E391" t="s">
        <v>71</v>
      </c>
      <c r="F391" t="s">
        <v>72</v>
      </c>
      <c r="G391">
        <v>428681</v>
      </c>
      <c r="H391">
        <v>331800</v>
      </c>
      <c r="I391">
        <v>-96881</v>
      </c>
      <c r="J391" t="s">
        <v>19</v>
      </c>
      <c r="K391" t="s">
        <v>29</v>
      </c>
      <c r="L391" t="s">
        <v>49</v>
      </c>
      <c r="M391" t="s">
        <v>42</v>
      </c>
    </row>
    <row r="392" spans="1:13">
      <c r="A392" t="s">
        <v>758</v>
      </c>
      <c r="B392" t="s">
        <v>293</v>
      </c>
      <c r="C392" t="s">
        <v>25</v>
      </c>
      <c r="D392" t="s">
        <v>26</v>
      </c>
      <c r="E392" t="s">
        <v>46</v>
      </c>
      <c r="F392" t="s">
        <v>47</v>
      </c>
      <c r="G392">
        <v>412066</v>
      </c>
      <c r="H392">
        <v>456534</v>
      </c>
      <c r="I392">
        <v>44468</v>
      </c>
      <c r="J392" t="s">
        <v>19</v>
      </c>
      <c r="K392" t="s">
        <v>29</v>
      </c>
      <c r="L392" t="s">
        <v>21</v>
      </c>
      <c r="M392" t="s">
        <v>22</v>
      </c>
    </row>
    <row r="393" spans="1:13">
      <c r="A393" t="s">
        <v>759</v>
      </c>
      <c r="B393" t="s">
        <v>760</v>
      </c>
      <c r="C393" t="s">
        <v>25</v>
      </c>
      <c r="D393" t="s">
        <v>61</v>
      </c>
      <c r="E393" t="s">
        <v>27</v>
      </c>
      <c r="F393" t="s">
        <v>28</v>
      </c>
      <c r="G393">
        <v>240743</v>
      </c>
      <c r="H393">
        <v>294891</v>
      </c>
      <c r="I393">
        <v>54148</v>
      </c>
      <c r="J393" t="s">
        <v>54</v>
      </c>
      <c r="K393" t="s">
        <v>67</v>
      </c>
      <c r="L393" t="s">
        <v>68</v>
      </c>
      <c r="M393" t="s">
        <v>42</v>
      </c>
    </row>
    <row r="394" spans="1:13">
      <c r="A394" t="s">
        <v>761</v>
      </c>
      <c r="B394" t="s">
        <v>762</v>
      </c>
      <c r="C394" t="s">
        <v>45</v>
      </c>
      <c r="D394" t="s">
        <v>40</v>
      </c>
      <c r="E394" t="s">
        <v>35</v>
      </c>
      <c r="F394" t="s">
        <v>36</v>
      </c>
      <c r="G394">
        <v>302006</v>
      </c>
      <c r="H394">
        <v>212714</v>
      </c>
      <c r="I394">
        <v>-89292</v>
      </c>
      <c r="J394" t="s">
        <v>54</v>
      </c>
      <c r="K394" t="s">
        <v>41</v>
      </c>
      <c r="L394" t="s">
        <v>21</v>
      </c>
      <c r="M394" t="s">
        <v>22</v>
      </c>
    </row>
    <row r="395" spans="1:13">
      <c r="A395" t="s">
        <v>763</v>
      </c>
      <c r="B395" t="s">
        <v>764</v>
      </c>
      <c r="C395" t="s">
        <v>64</v>
      </c>
      <c r="D395" t="s">
        <v>40</v>
      </c>
      <c r="E395" t="s">
        <v>17</v>
      </c>
      <c r="F395" t="s">
        <v>18</v>
      </c>
      <c r="G395">
        <v>146739</v>
      </c>
      <c r="H395">
        <v>139970</v>
      </c>
      <c r="I395">
        <v>-6769</v>
      </c>
      <c r="J395" t="s">
        <v>19</v>
      </c>
      <c r="K395" t="s">
        <v>67</v>
      </c>
      <c r="L395" t="s">
        <v>49</v>
      </c>
      <c r="M395" t="s">
        <v>42</v>
      </c>
    </row>
    <row r="396" spans="1:13">
      <c r="A396" t="s">
        <v>765</v>
      </c>
      <c r="B396" t="s">
        <v>281</v>
      </c>
      <c r="C396" t="s">
        <v>64</v>
      </c>
      <c r="D396" t="s">
        <v>34</v>
      </c>
      <c r="E396" t="s">
        <v>17</v>
      </c>
      <c r="F396" t="s">
        <v>18</v>
      </c>
      <c r="G396">
        <v>336961</v>
      </c>
      <c r="H396">
        <v>275338</v>
      </c>
      <c r="I396">
        <v>-61623</v>
      </c>
      <c r="J396" t="s">
        <v>37</v>
      </c>
      <c r="K396" t="s">
        <v>48</v>
      </c>
      <c r="L396" t="s">
        <v>68</v>
      </c>
      <c r="M396" t="s">
        <v>22</v>
      </c>
    </row>
    <row r="397" spans="1:13">
      <c r="A397" t="s">
        <v>766</v>
      </c>
      <c r="B397" t="s">
        <v>767</v>
      </c>
      <c r="C397" t="s">
        <v>33</v>
      </c>
      <c r="D397" t="s">
        <v>40</v>
      </c>
      <c r="E397" t="s">
        <v>27</v>
      </c>
      <c r="F397" t="s">
        <v>28</v>
      </c>
      <c r="G397">
        <v>480105</v>
      </c>
      <c r="H397">
        <v>618673</v>
      </c>
      <c r="I397">
        <v>138568</v>
      </c>
      <c r="J397" t="s">
        <v>37</v>
      </c>
      <c r="K397" t="s">
        <v>29</v>
      </c>
      <c r="L397" t="s">
        <v>21</v>
      </c>
      <c r="M397" t="s">
        <v>42</v>
      </c>
    </row>
    <row r="398" spans="1:13">
      <c r="A398" t="s">
        <v>768</v>
      </c>
      <c r="B398" t="s">
        <v>769</v>
      </c>
      <c r="C398" t="s">
        <v>33</v>
      </c>
      <c r="D398" t="s">
        <v>34</v>
      </c>
      <c r="E398" t="s">
        <v>17</v>
      </c>
      <c r="F398" t="s">
        <v>18</v>
      </c>
      <c r="G398">
        <v>382388</v>
      </c>
      <c r="H398">
        <v>402104</v>
      </c>
      <c r="I398">
        <v>19716</v>
      </c>
      <c r="J398" t="s">
        <v>37</v>
      </c>
      <c r="K398" t="s">
        <v>41</v>
      </c>
      <c r="L398" t="s">
        <v>21</v>
      </c>
      <c r="M398" t="s">
        <v>42</v>
      </c>
    </row>
    <row r="399" spans="1:13">
      <c r="A399" t="s">
        <v>770</v>
      </c>
      <c r="B399" t="s">
        <v>771</v>
      </c>
      <c r="C399" t="s">
        <v>15</v>
      </c>
      <c r="D399" t="s">
        <v>26</v>
      </c>
      <c r="E399" t="s">
        <v>27</v>
      </c>
      <c r="F399" t="s">
        <v>28</v>
      </c>
      <c r="G399">
        <v>73154</v>
      </c>
      <c r="H399">
        <v>97950</v>
      </c>
      <c r="I399">
        <v>24796</v>
      </c>
      <c r="J399" t="s">
        <v>54</v>
      </c>
      <c r="K399" t="s">
        <v>29</v>
      </c>
      <c r="L399" t="s">
        <v>21</v>
      </c>
      <c r="M399" t="s">
        <v>42</v>
      </c>
    </row>
    <row r="400" spans="1:13">
      <c r="A400" t="s">
        <v>772</v>
      </c>
      <c r="B400" t="s">
        <v>773</v>
      </c>
      <c r="C400" t="s">
        <v>64</v>
      </c>
      <c r="D400" t="s">
        <v>26</v>
      </c>
      <c r="E400" t="s">
        <v>71</v>
      </c>
      <c r="F400" t="s">
        <v>72</v>
      </c>
      <c r="G400">
        <v>72533</v>
      </c>
      <c r="H400">
        <v>77623</v>
      </c>
      <c r="I400">
        <v>5090</v>
      </c>
      <c r="J400" t="s">
        <v>19</v>
      </c>
      <c r="K400" t="s">
        <v>20</v>
      </c>
      <c r="L400" t="s">
        <v>49</v>
      </c>
      <c r="M400" t="s">
        <v>42</v>
      </c>
    </row>
    <row r="401" spans="1:13">
      <c r="A401" t="s">
        <v>774</v>
      </c>
      <c r="B401" t="s">
        <v>132</v>
      </c>
      <c r="C401" t="s">
        <v>64</v>
      </c>
      <c r="D401" t="s">
        <v>26</v>
      </c>
      <c r="E401" t="s">
        <v>46</v>
      </c>
      <c r="F401" t="s">
        <v>47</v>
      </c>
      <c r="G401">
        <v>82542</v>
      </c>
      <c r="H401">
        <v>85261</v>
      </c>
      <c r="I401">
        <v>2719</v>
      </c>
      <c r="J401" t="s">
        <v>37</v>
      </c>
      <c r="K401" t="s">
        <v>67</v>
      </c>
      <c r="L401" t="s">
        <v>21</v>
      </c>
      <c r="M401" t="s">
        <v>22</v>
      </c>
    </row>
    <row r="402" spans="1:13">
      <c r="A402" t="s">
        <v>775</v>
      </c>
      <c r="B402" t="s">
        <v>776</v>
      </c>
      <c r="C402" t="s">
        <v>25</v>
      </c>
      <c r="D402" t="s">
        <v>40</v>
      </c>
      <c r="E402" t="s">
        <v>17</v>
      </c>
      <c r="F402" t="s">
        <v>18</v>
      </c>
      <c r="G402">
        <v>232894</v>
      </c>
      <c r="H402">
        <v>174176</v>
      </c>
      <c r="I402">
        <v>-58718</v>
      </c>
      <c r="J402" t="s">
        <v>19</v>
      </c>
      <c r="K402" t="s">
        <v>20</v>
      </c>
      <c r="L402" t="s">
        <v>49</v>
      </c>
      <c r="M402" t="s">
        <v>22</v>
      </c>
    </row>
    <row r="403" spans="1:13">
      <c r="A403" t="s">
        <v>777</v>
      </c>
      <c r="B403" t="s">
        <v>778</v>
      </c>
      <c r="C403" t="s">
        <v>15</v>
      </c>
      <c r="D403" t="s">
        <v>40</v>
      </c>
      <c r="E403" t="s">
        <v>35</v>
      </c>
      <c r="F403" t="s">
        <v>36</v>
      </c>
      <c r="G403">
        <v>56379</v>
      </c>
      <c r="H403">
        <v>71355</v>
      </c>
      <c r="I403">
        <v>14976</v>
      </c>
      <c r="J403" t="s">
        <v>37</v>
      </c>
      <c r="K403" t="s">
        <v>48</v>
      </c>
      <c r="L403" t="s">
        <v>30</v>
      </c>
      <c r="M403" t="s">
        <v>22</v>
      </c>
    </row>
    <row r="404" spans="1:13">
      <c r="A404" t="s">
        <v>779</v>
      </c>
      <c r="B404" t="s">
        <v>780</v>
      </c>
      <c r="C404" t="s">
        <v>64</v>
      </c>
      <c r="D404" t="s">
        <v>40</v>
      </c>
      <c r="E404" t="s">
        <v>71</v>
      </c>
      <c r="F404" t="s">
        <v>72</v>
      </c>
      <c r="G404">
        <v>378397</v>
      </c>
      <c r="H404">
        <v>415655</v>
      </c>
      <c r="I404">
        <v>37258</v>
      </c>
      <c r="J404" t="s">
        <v>54</v>
      </c>
      <c r="K404" t="s">
        <v>20</v>
      </c>
      <c r="L404" t="s">
        <v>49</v>
      </c>
      <c r="M404" t="s">
        <v>22</v>
      </c>
    </row>
    <row r="405" spans="1:13">
      <c r="A405" t="s">
        <v>781</v>
      </c>
      <c r="B405" t="s">
        <v>782</v>
      </c>
      <c r="C405" t="s">
        <v>35</v>
      </c>
      <c r="D405" t="s">
        <v>40</v>
      </c>
      <c r="E405" t="s">
        <v>35</v>
      </c>
      <c r="F405" t="s">
        <v>36</v>
      </c>
      <c r="G405">
        <v>283062</v>
      </c>
      <c r="H405">
        <v>381788</v>
      </c>
      <c r="I405">
        <v>98726</v>
      </c>
      <c r="J405" t="s">
        <v>37</v>
      </c>
      <c r="K405" t="s">
        <v>29</v>
      </c>
      <c r="L405" t="s">
        <v>68</v>
      </c>
      <c r="M405" t="s">
        <v>22</v>
      </c>
    </row>
    <row r="406" spans="1:13">
      <c r="A406" t="s">
        <v>783</v>
      </c>
      <c r="B406" t="s">
        <v>404</v>
      </c>
      <c r="C406" t="s">
        <v>35</v>
      </c>
      <c r="D406" t="s">
        <v>61</v>
      </c>
      <c r="E406" t="s">
        <v>27</v>
      </c>
      <c r="F406" t="s">
        <v>28</v>
      </c>
      <c r="G406">
        <v>160569</v>
      </c>
      <c r="H406">
        <v>159923</v>
      </c>
      <c r="I406">
        <v>-646</v>
      </c>
      <c r="J406" t="s">
        <v>37</v>
      </c>
      <c r="K406" t="s">
        <v>29</v>
      </c>
      <c r="L406" t="s">
        <v>30</v>
      </c>
      <c r="M406" t="s">
        <v>42</v>
      </c>
    </row>
    <row r="407" spans="1:13">
      <c r="A407" t="s">
        <v>784</v>
      </c>
      <c r="B407" t="s">
        <v>196</v>
      </c>
      <c r="C407" t="s">
        <v>25</v>
      </c>
      <c r="D407" t="s">
        <v>16</v>
      </c>
      <c r="E407" t="s">
        <v>46</v>
      </c>
      <c r="F407" t="s">
        <v>47</v>
      </c>
      <c r="G407">
        <v>449837</v>
      </c>
      <c r="H407">
        <v>435313</v>
      </c>
      <c r="I407">
        <v>-14524</v>
      </c>
      <c r="J407" t="s">
        <v>19</v>
      </c>
      <c r="K407" t="s">
        <v>48</v>
      </c>
      <c r="L407" t="s">
        <v>21</v>
      </c>
      <c r="M407" t="s">
        <v>42</v>
      </c>
    </row>
    <row r="408" spans="1:13">
      <c r="A408" t="s">
        <v>785</v>
      </c>
      <c r="B408" t="s">
        <v>786</v>
      </c>
      <c r="C408" t="s">
        <v>64</v>
      </c>
      <c r="D408" t="s">
        <v>34</v>
      </c>
      <c r="E408" t="s">
        <v>35</v>
      </c>
      <c r="F408" t="s">
        <v>36</v>
      </c>
      <c r="G408">
        <v>178534</v>
      </c>
      <c r="H408">
        <v>238542</v>
      </c>
      <c r="I408">
        <v>60008</v>
      </c>
      <c r="J408" t="s">
        <v>37</v>
      </c>
      <c r="K408" t="s">
        <v>29</v>
      </c>
      <c r="L408" t="s">
        <v>30</v>
      </c>
      <c r="M408" t="s">
        <v>22</v>
      </c>
    </row>
    <row r="409" spans="1:13">
      <c r="A409" t="s">
        <v>787</v>
      </c>
      <c r="B409" t="s">
        <v>506</v>
      </c>
      <c r="C409" t="s">
        <v>64</v>
      </c>
      <c r="D409" t="s">
        <v>61</v>
      </c>
      <c r="E409" t="s">
        <v>71</v>
      </c>
      <c r="F409" t="s">
        <v>72</v>
      </c>
      <c r="G409">
        <v>412032</v>
      </c>
      <c r="H409">
        <v>356153</v>
      </c>
      <c r="I409">
        <v>-55879</v>
      </c>
      <c r="J409" t="s">
        <v>19</v>
      </c>
      <c r="K409" t="s">
        <v>29</v>
      </c>
      <c r="L409" t="s">
        <v>21</v>
      </c>
      <c r="M409" t="s">
        <v>42</v>
      </c>
    </row>
    <row r="410" spans="1:13">
      <c r="A410" t="s">
        <v>788</v>
      </c>
      <c r="B410" t="s">
        <v>789</v>
      </c>
      <c r="C410" t="s">
        <v>25</v>
      </c>
      <c r="D410" t="s">
        <v>34</v>
      </c>
      <c r="E410" t="s">
        <v>46</v>
      </c>
      <c r="F410" t="s">
        <v>47</v>
      </c>
      <c r="G410">
        <v>193101</v>
      </c>
      <c r="H410">
        <v>152259</v>
      </c>
      <c r="I410">
        <v>-40842</v>
      </c>
      <c r="J410" t="s">
        <v>54</v>
      </c>
      <c r="K410" t="s">
        <v>20</v>
      </c>
      <c r="L410" t="s">
        <v>68</v>
      </c>
      <c r="M410" t="s">
        <v>42</v>
      </c>
    </row>
    <row r="411" spans="1:13">
      <c r="A411" t="s">
        <v>790</v>
      </c>
      <c r="B411" t="s">
        <v>80</v>
      </c>
      <c r="C411" t="s">
        <v>35</v>
      </c>
      <c r="D411" t="s">
        <v>40</v>
      </c>
      <c r="E411" t="s">
        <v>71</v>
      </c>
      <c r="F411" t="s">
        <v>72</v>
      </c>
      <c r="G411">
        <v>390667</v>
      </c>
      <c r="H411">
        <v>406816</v>
      </c>
      <c r="I411">
        <v>16149</v>
      </c>
      <c r="J411" t="s">
        <v>19</v>
      </c>
      <c r="K411" t="s">
        <v>29</v>
      </c>
      <c r="L411" t="s">
        <v>68</v>
      </c>
      <c r="M411" t="s">
        <v>42</v>
      </c>
    </row>
    <row r="412" spans="1:13">
      <c r="A412" t="s">
        <v>791</v>
      </c>
      <c r="B412" t="s">
        <v>792</v>
      </c>
      <c r="C412" t="s">
        <v>45</v>
      </c>
      <c r="D412" t="s">
        <v>16</v>
      </c>
      <c r="E412" t="s">
        <v>71</v>
      </c>
      <c r="F412" t="s">
        <v>72</v>
      </c>
      <c r="G412">
        <v>89991</v>
      </c>
      <c r="H412">
        <v>108930</v>
      </c>
      <c r="I412">
        <v>18939</v>
      </c>
      <c r="J412" t="s">
        <v>54</v>
      </c>
      <c r="K412" t="s">
        <v>41</v>
      </c>
      <c r="L412" t="s">
        <v>21</v>
      </c>
      <c r="M412" t="s">
        <v>22</v>
      </c>
    </row>
    <row r="413" spans="1:13">
      <c r="A413" t="s">
        <v>793</v>
      </c>
      <c r="B413" t="s">
        <v>794</v>
      </c>
      <c r="C413" t="s">
        <v>45</v>
      </c>
      <c r="D413" t="s">
        <v>61</v>
      </c>
      <c r="E413" t="s">
        <v>85</v>
      </c>
      <c r="F413" t="s">
        <v>86</v>
      </c>
      <c r="G413">
        <v>277360</v>
      </c>
      <c r="H413">
        <v>337548</v>
      </c>
      <c r="I413">
        <v>60188</v>
      </c>
      <c r="J413" t="s">
        <v>37</v>
      </c>
      <c r="K413" t="s">
        <v>48</v>
      </c>
      <c r="L413" t="s">
        <v>21</v>
      </c>
      <c r="M413" t="s">
        <v>42</v>
      </c>
    </row>
    <row r="414" spans="1:13">
      <c r="A414" t="s">
        <v>795</v>
      </c>
      <c r="B414" t="s">
        <v>796</v>
      </c>
      <c r="C414" t="s">
        <v>33</v>
      </c>
      <c r="D414" t="s">
        <v>40</v>
      </c>
      <c r="E414" t="s">
        <v>17</v>
      </c>
      <c r="F414" t="s">
        <v>18</v>
      </c>
      <c r="G414">
        <v>410985</v>
      </c>
      <c r="H414">
        <v>437868</v>
      </c>
      <c r="I414">
        <v>26883</v>
      </c>
      <c r="J414" t="s">
        <v>54</v>
      </c>
      <c r="K414" t="s">
        <v>20</v>
      </c>
      <c r="L414" t="s">
        <v>68</v>
      </c>
      <c r="M414" t="s">
        <v>42</v>
      </c>
    </row>
    <row r="415" spans="1:13">
      <c r="A415" t="s">
        <v>797</v>
      </c>
      <c r="B415" t="s">
        <v>798</v>
      </c>
      <c r="C415" t="s">
        <v>15</v>
      </c>
      <c r="D415" t="s">
        <v>16</v>
      </c>
      <c r="E415" t="s">
        <v>71</v>
      </c>
      <c r="F415" t="s">
        <v>72</v>
      </c>
      <c r="G415">
        <v>403874</v>
      </c>
      <c r="H415">
        <v>297783</v>
      </c>
      <c r="I415">
        <v>-106091</v>
      </c>
      <c r="J415" t="s">
        <v>37</v>
      </c>
      <c r="K415" t="s">
        <v>20</v>
      </c>
      <c r="L415" t="s">
        <v>49</v>
      </c>
      <c r="M415" t="s">
        <v>42</v>
      </c>
    </row>
    <row r="416" spans="1:13">
      <c r="A416" t="s">
        <v>799</v>
      </c>
      <c r="B416" t="s">
        <v>800</v>
      </c>
      <c r="C416" t="s">
        <v>15</v>
      </c>
      <c r="D416" t="s">
        <v>16</v>
      </c>
      <c r="E416" t="s">
        <v>17</v>
      </c>
      <c r="F416" t="s">
        <v>18</v>
      </c>
      <c r="G416">
        <v>215927</v>
      </c>
      <c r="H416">
        <v>265064</v>
      </c>
      <c r="I416">
        <v>49137</v>
      </c>
      <c r="J416" t="s">
        <v>19</v>
      </c>
      <c r="K416" t="s">
        <v>67</v>
      </c>
      <c r="L416" t="s">
        <v>21</v>
      </c>
      <c r="M416" t="s">
        <v>22</v>
      </c>
    </row>
    <row r="417" spans="1:13">
      <c r="A417" t="s">
        <v>801</v>
      </c>
      <c r="B417" t="s">
        <v>300</v>
      </c>
      <c r="C417" t="s">
        <v>33</v>
      </c>
      <c r="D417" t="s">
        <v>61</v>
      </c>
      <c r="E417" t="s">
        <v>71</v>
      </c>
      <c r="F417" t="s">
        <v>72</v>
      </c>
      <c r="G417">
        <v>102080</v>
      </c>
      <c r="H417">
        <v>72763</v>
      </c>
      <c r="I417">
        <v>-29317</v>
      </c>
      <c r="J417" t="s">
        <v>19</v>
      </c>
      <c r="K417" t="s">
        <v>20</v>
      </c>
      <c r="L417" t="s">
        <v>68</v>
      </c>
      <c r="M417" t="s">
        <v>22</v>
      </c>
    </row>
    <row r="418" spans="1:13">
      <c r="A418" t="s">
        <v>802</v>
      </c>
      <c r="B418" t="s">
        <v>803</v>
      </c>
      <c r="C418" t="s">
        <v>35</v>
      </c>
      <c r="D418" t="s">
        <v>16</v>
      </c>
      <c r="E418" t="s">
        <v>85</v>
      </c>
      <c r="F418" t="s">
        <v>86</v>
      </c>
      <c r="G418">
        <v>404556</v>
      </c>
      <c r="H418">
        <v>351092</v>
      </c>
      <c r="I418">
        <v>-53464</v>
      </c>
      <c r="J418" t="s">
        <v>19</v>
      </c>
      <c r="K418" t="s">
        <v>20</v>
      </c>
      <c r="L418" t="s">
        <v>21</v>
      </c>
      <c r="M418" t="s">
        <v>22</v>
      </c>
    </row>
    <row r="419" spans="1:13">
      <c r="A419" t="s">
        <v>804</v>
      </c>
      <c r="B419" t="s">
        <v>672</v>
      </c>
      <c r="C419" t="s">
        <v>33</v>
      </c>
      <c r="D419" t="s">
        <v>61</v>
      </c>
      <c r="E419" t="s">
        <v>71</v>
      </c>
      <c r="F419" t="s">
        <v>72</v>
      </c>
      <c r="G419">
        <v>351231</v>
      </c>
      <c r="H419">
        <v>312472</v>
      </c>
      <c r="I419">
        <v>-38759</v>
      </c>
      <c r="J419" t="s">
        <v>37</v>
      </c>
      <c r="K419" t="s">
        <v>67</v>
      </c>
      <c r="L419" t="s">
        <v>49</v>
      </c>
      <c r="M419" t="s">
        <v>22</v>
      </c>
    </row>
    <row r="420" spans="1:13">
      <c r="A420" t="s">
        <v>805</v>
      </c>
      <c r="B420" t="s">
        <v>806</v>
      </c>
      <c r="C420" t="s">
        <v>35</v>
      </c>
      <c r="D420" t="s">
        <v>40</v>
      </c>
      <c r="E420" t="s">
        <v>17</v>
      </c>
      <c r="F420" t="s">
        <v>18</v>
      </c>
      <c r="G420">
        <v>169095</v>
      </c>
      <c r="H420">
        <v>175480</v>
      </c>
      <c r="I420">
        <v>6385</v>
      </c>
      <c r="J420" t="s">
        <v>54</v>
      </c>
      <c r="K420" t="s">
        <v>29</v>
      </c>
      <c r="L420" t="s">
        <v>30</v>
      </c>
      <c r="M420" t="s">
        <v>42</v>
      </c>
    </row>
    <row r="421" spans="1:13">
      <c r="A421" t="s">
        <v>807</v>
      </c>
      <c r="B421" t="s">
        <v>808</v>
      </c>
      <c r="C421" t="s">
        <v>35</v>
      </c>
      <c r="D421" t="s">
        <v>16</v>
      </c>
      <c r="E421" t="s">
        <v>85</v>
      </c>
      <c r="F421" t="s">
        <v>86</v>
      </c>
      <c r="G421">
        <v>117531</v>
      </c>
      <c r="H421">
        <v>98632</v>
      </c>
      <c r="I421">
        <v>-18899</v>
      </c>
      <c r="J421" t="s">
        <v>54</v>
      </c>
      <c r="K421" t="s">
        <v>20</v>
      </c>
      <c r="L421" t="s">
        <v>68</v>
      </c>
      <c r="M421" t="s">
        <v>42</v>
      </c>
    </row>
    <row r="422" spans="1:13">
      <c r="A422" t="s">
        <v>809</v>
      </c>
      <c r="B422" t="s">
        <v>810</v>
      </c>
      <c r="C422" t="s">
        <v>15</v>
      </c>
      <c r="D422" t="s">
        <v>40</v>
      </c>
      <c r="E422" t="s">
        <v>17</v>
      </c>
      <c r="F422" t="s">
        <v>18</v>
      </c>
      <c r="G422">
        <v>342149</v>
      </c>
      <c r="H422">
        <v>330630</v>
      </c>
      <c r="I422">
        <v>-11519</v>
      </c>
      <c r="J422" t="s">
        <v>54</v>
      </c>
      <c r="K422" t="s">
        <v>29</v>
      </c>
      <c r="L422" t="s">
        <v>68</v>
      </c>
      <c r="M422" t="s">
        <v>42</v>
      </c>
    </row>
    <row r="423" spans="1:13">
      <c r="A423" t="s">
        <v>811</v>
      </c>
      <c r="B423" t="s">
        <v>812</v>
      </c>
      <c r="C423" t="s">
        <v>33</v>
      </c>
      <c r="D423" t="s">
        <v>61</v>
      </c>
      <c r="E423" t="s">
        <v>85</v>
      </c>
      <c r="F423" t="s">
        <v>86</v>
      </c>
      <c r="G423">
        <v>384914</v>
      </c>
      <c r="H423">
        <v>416858</v>
      </c>
      <c r="I423">
        <v>31944</v>
      </c>
      <c r="J423" t="s">
        <v>54</v>
      </c>
      <c r="K423" t="s">
        <v>20</v>
      </c>
      <c r="L423" t="s">
        <v>49</v>
      </c>
      <c r="M423" t="s">
        <v>22</v>
      </c>
    </row>
    <row r="424" spans="1:13">
      <c r="A424" t="s">
        <v>813</v>
      </c>
      <c r="B424" t="s">
        <v>814</v>
      </c>
      <c r="C424" t="s">
        <v>15</v>
      </c>
      <c r="D424" t="s">
        <v>61</v>
      </c>
      <c r="E424" t="s">
        <v>27</v>
      </c>
      <c r="F424" t="s">
        <v>28</v>
      </c>
      <c r="G424">
        <v>418077</v>
      </c>
      <c r="H424">
        <v>329084</v>
      </c>
      <c r="I424">
        <v>-88993</v>
      </c>
      <c r="J424" t="s">
        <v>37</v>
      </c>
      <c r="K424" t="s">
        <v>48</v>
      </c>
      <c r="L424" t="s">
        <v>21</v>
      </c>
      <c r="M424" t="s">
        <v>22</v>
      </c>
    </row>
    <row r="425" spans="1:13">
      <c r="A425" t="s">
        <v>815</v>
      </c>
      <c r="B425" t="s">
        <v>134</v>
      </c>
      <c r="C425" t="s">
        <v>64</v>
      </c>
      <c r="D425" t="s">
        <v>61</v>
      </c>
      <c r="E425" t="s">
        <v>46</v>
      </c>
      <c r="F425" t="s">
        <v>47</v>
      </c>
      <c r="G425">
        <v>355553</v>
      </c>
      <c r="H425">
        <v>464047</v>
      </c>
      <c r="I425">
        <v>108494</v>
      </c>
      <c r="J425" t="s">
        <v>19</v>
      </c>
      <c r="K425" t="s">
        <v>20</v>
      </c>
      <c r="L425" t="s">
        <v>21</v>
      </c>
      <c r="M425" t="s">
        <v>22</v>
      </c>
    </row>
    <row r="426" spans="1:13">
      <c r="A426" t="s">
        <v>816</v>
      </c>
      <c r="B426" t="s">
        <v>817</v>
      </c>
      <c r="C426" t="s">
        <v>64</v>
      </c>
      <c r="D426" t="s">
        <v>34</v>
      </c>
      <c r="E426" t="s">
        <v>27</v>
      </c>
      <c r="F426" t="s">
        <v>28</v>
      </c>
      <c r="G426">
        <v>427711</v>
      </c>
      <c r="H426">
        <v>527866</v>
      </c>
      <c r="I426">
        <v>100155</v>
      </c>
      <c r="J426" t="s">
        <v>19</v>
      </c>
      <c r="K426" t="s">
        <v>67</v>
      </c>
      <c r="L426" t="s">
        <v>21</v>
      </c>
      <c r="M426" t="s">
        <v>42</v>
      </c>
    </row>
    <row r="427" spans="1:13">
      <c r="A427" t="s">
        <v>818</v>
      </c>
      <c r="B427" t="s">
        <v>462</v>
      </c>
      <c r="C427" t="s">
        <v>45</v>
      </c>
      <c r="D427" t="s">
        <v>34</v>
      </c>
      <c r="E427" t="s">
        <v>85</v>
      </c>
      <c r="F427" t="s">
        <v>86</v>
      </c>
      <c r="G427">
        <v>150738</v>
      </c>
      <c r="H427">
        <v>199385</v>
      </c>
      <c r="I427">
        <v>48647</v>
      </c>
      <c r="J427" t="s">
        <v>54</v>
      </c>
      <c r="K427" t="s">
        <v>67</v>
      </c>
      <c r="L427" t="s">
        <v>68</v>
      </c>
      <c r="M427" t="s">
        <v>42</v>
      </c>
    </row>
    <row r="428" spans="1:13">
      <c r="A428" t="s">
        <v>819</v>
      </c>
      <c r="B428" t="s">
        <v>820</v>
      </c>
      <c r="C428" t="s">
        <v>35</v>
      </c>
      <c r="D428" t="s">
        <v>34</v>
      </c>
      <c r="E428" t="s">
        <v>85</v>
      </c>
      <c r="F428" t="s">
        <v>86</v>
      </c>
      <c r="G428">
        <v>203606</v>
      </c>
      <c r="H428">
        <v>150966</v>
      </c>
      <c r="I428">
        <v>-52640</v>
      </c>
      <c r="J428" t="s">
        <v>54</v>
      </c>
      <c r="K428" t="s">
        <v>41</v>
      </c>
      <c r="L428" t="s">
        <v>30</v>
      </c>
      <c r="M428" t="s">
        <v>22</v>
      </c>
    </row>
    <row r="429" spans="1:13">
      <c r="A429" t="s">
        <v>821</v>
      </c>
      <c r="B429" t="s">
        <v>578</v>
      </c>
      <c r="C429" t="s">
        <v>15</v>
      </c>
      <c r="D429" t="s">
        <v>26</v>
      </c>
      <c r="E429" t="s">
        <v>46</v>
      </c>
      <c r="F429" t="s">
        <v>47</v>
      </c>
      <c r="G429">
        <v>490489</v>
      </c>
      <c r="H429">
        <v>492711</v>
      </c>
      <c r="I429">
        <v>2222</v>
      </c>
      <c r="J429" t="s">
        <v>37</v>
      </c>
      <c r="K429" t="s">
        <v>20</v>
      </c>
      <c r="L429" t="s">
        <v>68</v>
      </c>
      <c r="M429" t="s">
        <v>42</v>
      </c>
    </row>
    <row r="430" spans="1:13">
      <c r="A430" t="s">
        <v>822</v>
      </c>
      <c r="B430" t="s">
        <v>823</v>
      </c>
      <c r="C430" t="s">
        <v>45</v>
      </c>
      <c r="D430" t="s">
        <v>34</v>
      </c>
      <c r="E430" t="s">
        <v>27</v>
      </c>
      <c r="F430" t="s">
        <v>28</v>
      </c>
      <c r="G430">
        <v>270730</v>
      </c>
      <c r="H430">
        <v>289419</v>
      </c>
      <c r="I430">
        <v>18689</v>
      </c>
      <c r="J430" t="s">
        <v>19</v>
      </c>
      <c r="K430" t="s">
        <v>20</v>
      </c>
      <c r="L430" t="s">
        <v>49</v>
      </c>
      <c r="M430" t="s">
        <v>42</v>
      </c>
    </row>
    <row r="431" spans="1:13">
      <c r="A431" t="s">
        <v>824</v>
      </c>
      <c r="B431" t="s">
        <v>582</v>
      </c>
      <c r="C431" t="s">
        <v>25</v>
      </c>
      <c r="D431" t="s">
        <v>16</v>
      </c>
      <c r="E431" t="s">
        <v>46</v>
      </c>
      <c r="F431" t="s">
        <v>47</v>
      </c>
      <c r="G431">
        <v>314309</v>
      </c>
      <c r="H431">
        <v>222525</v>
      </c>
      <c r="I431">
        <v>-91784</v>
      </c>
      <c r="J431" t="s">
        <v>54</v>
      </c>
      <c r="K431" t="s">
        <v>20</v>
      </c>
      <c r="L431" t="s">
        <v>68</v>
      </c>
      <c r="M431" t="s">
        <v>22</v>
      </c>
    </row>
    <row r="432" spans="1:13">
      <c r="A432" t="s">
        <v>825</v>
      </c>
      <c r="B432" t="s">
        <v>826</v>
      </c>
      <c r="C432" t="s">
        <v>25</v>
      </c>
      <c r="D432" t="s">
        <v>61</v>
      </c>
      <c r="E432" t="s">
        <v>85</v>
      </c>
      <c r="F432" t="s">
        <v>86</v>
      </c>
      <c r="G432">
        <v>189541</v>
      </c>
      <c r="H432">
        <v>220906</v>
      </c>
      <c r="I432">
        <v>31365</v>
      </c>
      <c r="J432" t="s">
        <v>54</v>
      </c>
      <c r="K432" t="s">
        <v>20</v>
      </c>
      <c r="L432" t="s">
        <v>30</v>
      </c>
      <c r="M432" t="s">
        <v>42</v>
      </c>
    </row>
    <row r="433" spans="1:13">
      <c r="A433" t="s">
        <v>827</v>
      </c>
      <c r="B433" t="s">
        <v>493</v>
      </c>
      <c r="C433" t="s">
        <v>45</v>
      </c>
      <c r="D433" t="s">
        <v>34</v>
      </c>
      <c r="E433" t="s">
        <v>46</v>
      </c>
      <c r="F433" t="s">
        <v>47</v>
      </c>
      <c r="G433">
        <v>233919</v>
      </c>
      <c r="H433">
        <v>315548</v>
      </c>
      <c r="I433">
        <v>81629</v>
      </c>
      <c r="J433" t="s">
        <v>54</v>
      </c>
      <c r="K433" t="s">
        <v>48</v>
      </c>
      <c r="L433" t="s">
        <v>21</v>
      </c>
      <c r="M433" t="s">
        <v>42</v>
      </c>
    </row>
    <row r="434" spans="1:13">
      <c r="A434" t="s">
        <v>828</v>
      </c>
      <c r="B434" t="s">
        <v>829</v>
      </c>
      <c r="C434" t="s">
        <v>45</v>
      </c>
      <c r="D434" t="s">
        <v>26</v>
      </c>
      <c r="E434" t="s">
        <v>35</v>
      </c>
      <c r="F434" t="s">
        <v>36</v>
      </c>
      <c r="G434">
        <v>125267</v>
      </c>
      <c r="H434">
        <v>109110</v>
      </c>
      <c r="I434">
        <v>-16157</v>
      </c>
      <c r="J434" t="s">
        <v>54</v>
      </c>
      <c r="K434" t="s">
        <v>67</v>
      </c>
      <c r="L434" t="s">
        <v>49</v>
      </c>
      <c r="M434" t="s">
        <v>22</v>
      </c>
    </row>
    <row r="435" spans="1:13">
      <c r="A435" t="s">
        <v>830</v>
      </c>
      <c r="B435" t="s">
        <v>831</v>
      </c>
      <c r="C435" t="s">
        <v>64</v>
      </c>
      <c r="D435" t="s">
        <v>16</v>
      </c>
      <c r="E435" t="s">
        <v>71</v>
      </c>
      <c r="F435" t="s">
        <v>72</v>
      </c>
      <c r="G435">
        <v>420668</v>
      </c>
      <c r="H435">
        <v>318742</v>
      </c>
      <c r="I435">
        <v>-101926</v>
      </c>
      <c r="J435" t="s">
        <v>54</v>
      </c>
      <c r="K435" t="s">
        <v>48</v>
      </c>
      <c r="L435" t="s">
        <v>49</v>
      </c>
      <c r="M435" t="s">
        <v>22</v>
      </c>
    </row>
    <row r="436" spans="1:13">
      <c r="A436" t="s">
        <v>832</v>
      </c>
      <c r="B436" t="s">
        <v>833</v>
      </c>
      <c r="C436" t="s">
        <v>64</v>
      </c>
      <c r="D436" t="s">
        <v>16</v>
      </c>
      <c r="E436" t="s">
        <v>27</v>
      </c>
      <c r="F436" t="s">
        <v>28</v>
      </c>
      <c r="G436">
        <v>119911</v>
      </c>
      <c r="H436">
        <v>144264</v>
      </c>
      <c r="I436">
        <v>24353</v>
      </c>
      <c r="J436" t="s">
        <v>54</v>
      </c>
      <c r="K436" t="s">
        <v>67</v>
      </c>
      <c r="L436" t="s">
        <v>21</v>
      </c>
      <c r="M436" t="s">
        <v>42</v>
      </c>
    </row>
    <row r="437" spans="1:13">
      <c r="A437" t="s">
        <v>834</v>
      </c>
      <c r="B437" t="s">
        <v>835</v>
      </c>
      <c r="C437" t="s">
        <v>15</v>
      </c>
      <c r="D437" t="s">
        <v>34</v>
      </c>
      <c r="E437" t="s">
        <v>85</v>
      </c>
      <c r="F437" t="s">
        <v>86</v>
      </c>
      <c r="G437">
        <v>349877</v>
      </c>
      <c r="H437">
        <v>458634</v>
      </c>
      <c r="I437">
        <v>108757</v>
      </c>
      <c r="J437" t="s">
        <v>54</v>
      </c>
      <c r="K437" t="s">
        <v>67</v>
      </c>
      <c r="L437" t="s">
        <v>21</v>
      </c>
      <c r="M437" t="s">
        <v>42</v>
      </c>
    </row>
    <row r="438" spans="1:13">
      <c r="A438" t="s">
        <v>836</v>
      </c>
      <c r="B438" t="s">
        <v>837</v>
      </c>
      <c r="C438" t="s">
        <v>15</v>
      </c>
      <c r="D438" t="s">
        <v>40</v>
      </c>
      <c r="E438" t="s">
        <v>27</v>
      </c>
      <c r="F438" t="s">
        <v>28</v>
      </c>
      <c r="G438">
        <v>229192</v>
      </c>
      <c r="H438">
        <v>160914</v>
      </c>
      <c r="I438">
        <v>-68278</v>
      </c>
      <c r="J438" t="s">
        <v>54</v>
      </c>
      <c r="K438" t="s">
        <v>48</v>
      </c>
      <c r="L438" t="s">
        <v>30</v>
      </c>
      <c r="M438" t="s">
        <v>22</v>
      </c>
    </row>
    <row r="439" spans="1:13">
      <c r="A439" t="s">
        <v>838</v>
      </c>
      <c r="B439" t="s">
        <v>190</v>
      </c>
      <c r="C439" t="s">
        <v>25</v>
      </c>
      <c r="D439" t="s">
        <v>61</v>
      </c>
      <c r="E439" t="s">
        <v>27</v>
      </c>
      <c r="F439" t="s">
        <v>28</v>
      </c>
      <c r="G439">
        <v>276850</v>
      </c>
      <c r="H439">
        <v>267941</v>
      </c>
      <c r="I439">
        <v>-8909</v>
      </c>
      <c r="J439" t="s">
        <v>37</v>
      </c>
      <c r="K439" t="s">
        <v>20</v>
      </c>
      <c r="L439" t="s">
        <v>68</v>
      </c>
      <c r="M439" t="s">
        <v>22</v>
      </c>
    </row>
    <row r="440" spans="1:13">
      <c r="A440" t="s">
        <v>839</v>
      </c>
      <c r="B440" t="s">
        <v>840</v>
      </c>
      <c r="C440" t="s">
        <v>25</v>
      </c>
      <c r="D440" t="s">
        <v>16</v>
      </c>
      <c r="E440" t="s">
        <v>85</v>
      </c>
      <c r="F440" t="s">
        <v>86</v>
      </c>
      <c r="G440">
        <v>139140</v>
      </c>
      <c r="H440">
        <v>186309</v>
      </c>
      <c r="I440">
        <v>47169</v>
      </c>
      <c r="J440" t="s">
        <v>54</v>
      </c>
      <c r="K440" t="s">
        <v>67</v>
      </c>
      <c r="L440" t="s">
        <v>68</v>
      </c>
      <c r="M440" t="s">
        <v>22</v>
      </c>
    </row>
    <row r="441" spans="1:13">
      <c r="A441" t="s">
        <v>841</v>
      </c>
      <c r="B441" t="s">
        <v>842</v>
      </c>
      <c r="C441" t="s">
        <v>33</v>
      </c>
      <c r="D441" t="s">
        <v>16</v>
      </c>
      <c r="E441" t="s">
        <v>27</v>
      </c>
      <c r="F441" t="s">
        <v>28</v>
      </c>
      <c r="G441">
        <v>260532</v>
      </c>
      <c r="H441">
        <v>237945</v>
      </c>
      <c r="I441">
        <v>-22587</v>
      </c>
      <c r="J441" t="s">
        <v>19</v>
      </c>
      <c r="K441" t="s">
        <v>41</v>
      </c>
      <c r="L441" t="s">
        <v>30</v>
      </c>
      <c r="M441" t="s">
        <v>22</v>
      </c>
    </row>
    <row r="442" spans="1:13">
      <c r="A442" t="s">
        <v>843</v>
      </c>
      <c r="B442" t="s">
        <v>312</v>
      </c>
      <c r="C442" t="s">
        <v>25</v>
      </c>
      <c r="D442" t="s">
        <v>40</v>
      </c>
      <c r="E442" t="s">
        <v>46</v>
      </c>
      <c r="F442" t="s">
        <v>47</v>
      </c>
      <c r="G442">
        <v>393536</v>
      </c>
      <c r="H442">
        <v>539097</v>
      </c>
      <c r="I442">
        <v>145561</v>
      </c>
      <c r="J442" t="s">
        <v>19</v>
      </c>
      <c r="K442" t="s">
        <v>67</v>
      </c>
      <c r="L442" t="s">
        <v>68</v>
      </c>
      <c r="M442" t="s">
        <v>22</v>
      </c>
    </row>
    <row r="443" spans="1:13">
      <c r="A443" t="s">
        <v>844</v>
      </c>
      <c r="B443" t="s">
        <v>845</v>
      </c>
      <c r="C443" t="s">
        <v>33</v>
      </c>
      <c r="D443" t="s">
        <v>40</v>
      </c>
      <c r="E443" t="s">
        <v>85</v>
      </c>
      <c r="F443" t="s">
        <v>86</v>
      </c>
      <c r="G443">
        <v>248486</v>
      </c>
      <c r="H443">
        <v>252846</v>
      </c>
      <c r="I443">
        <v>4360</v>
      </c>
      <c r="J443" t="s">
        <v>37</v>
      </c>
      <c r="K443" t="s">
        <v>67</v>
      </c>
      <c r="L443" t="s">
        <v>68</v>
      </c>
      <c r="M443" t="s">
        <v>22</v>
      </c>
    </row>
    <row r="444" spans="1:13">
      <c r="A444" t="s">
        <v>846</v>
      </c>
      <c r="B444" t="s">
        <v>633</v>
      </c>
      <c r="C444" t="s">
        <v>25</v>
      </c>
      <c r="D444" t="s">
        <v>40</v>
      </c>
      <c r="E444" t="s">
        <v>27</v>
      </c>
      <c r="F444" t="s">
        <v>28</v>
      </c>
      <c r="G444">
        <v>388997</v>
      </c>
      <c r="H444">
        <v>518088</v>
      </c>
      <c r="I444">
        <v>129091</v>
      </c>
      <c r="J444" t="s">
        <v>19</v>
      </c>
      <c r="K444" t="s">
        <v>41</v>
      </c>
      <c r="L444" t="s">
        <v>30</v>
      </c>
      <c r="M444" t="s">
        <v>22</v>
      </c>
    </row>
    <row r="445" spans="1:13">
      <c r="A445" t="s">
        <v>847</v>
      </c>
      <c r="B445" t="s">
        <v>848</v>
      </c>
      <c r="C445" t="s">
        <v>25</v>
      </c>
      <c r="D445" t="s">
        <v>40</v>
      </c>
      <c r="E445" t="s">
        <v>35</v>
      </c>
      <c r="F445" t="s">
        <v>36</v>
      </c>
      <c r="G445">
        <v>398520</v>
      </c>
      <c r="H445">
        <v>519826</v>
      </c>
      <c r="I445">
        <v>121306</v>
      </c>
      <c r="J445" t="s">
        <v>19</v>
      </c>
      <c r="K445" t="s">
        <v>29</v>
      </c>
      <c r="L445" t="s">
        <v>49</v>
      </c>
      <c r="M445" t="s">
        <v>22</v>
      </c>
    </row>
    <row r="446" spans="1:13">
      <c r="A446" t="s">
        <v>849</v>
      </c>
      <c r="B446" t="s">
        <v>850</v>
      </c>
      <c r="C446" t="s">
        <v>45</v>
      </c>
      <c r="D446" t="s">
        <v>34</v>
      </c>
      <c r="E446" t="s">
        <v>85</v>
      </c>
      <c r="F446" t="s">
        <v>86</v>
      </c>
      <c r="G446">
        <v>443707</v>
      </c>
      <c r="H446">
        <v>365499</v>
      </c>
      <c r="I446">
        <v>-78208</v>
      </c>
      <c r="J446" t="s">
        <v>19</v>
      </c>
      <c r="K446" t="s">
        <v>20</v>
      </c>
      <c r="L446" t="s">
        <v>30</v>
      </c>
      <c r="M446" t="s">
        <v>42</v>
      </c>
    </row>
    <row r="447" spans="1:13">
      <c r="A447" t="s">
        <v>851</v>
      </c>
      <c r="B447" t="s">
        <v>852</v>
      </c>
      <c r="C447" t="s">
        <v>45</v>
      </c>
      <c r="D447" t="s">
        <v>34</v>
      </c>
      <c r="E447" t="s">
        <v>27</v>
      </c>
      <c r="F447" t="s">
        <v>28</v>
      </c>
      <c r="G447">
        <v>467037</v>
      </c>
      <c r="H447">
        <v>574407</v>
      </c>
      <c r="I447">
        <v>107370</v>
      </c>
      <c r="J447" t="s">
        <v>54</v>
      </c>
      <c r="K447" t="s">
        <v>48</v>
      </c>
      <c r="L447" t="s">
        <v>30</v>
      </c>
      <c r="M447" t="s">
        <v>22</v>
      </c>
    </row>
    <row r="448" spans="1:13">
      <c r="A448" t="s">
        <v>853</v>
      </c>
      <c r="B448" t="s">
        <v>854</v>
      </c>
      <c r="C448" t="s">
        <v>33</v>
      </c>
      <c r="D448" t="s">
        <v>16</v>
      </c>
      <c r="E448" t="s">
        <v>27</v>
      </c>
      <c r="F448" t="s">
        <v>28</v>
      </c>
      <c r="G448">
        <v>444320</v>
      </c>
      <c r="H448">
        <v>604755</v>
      </c>
      <c r="I448">
        <v>160435</v>
      </c>
      <c r="J448" t="s">
        <v>37</v>
      </c>
      <c r="K448" t="s">
        <v>41</v>
      </c>
      <c r="L448" t="s">
        <v>68</v>
      </c>
      <c r="M448" t="s">
        <v>22</v>
      </c>
    </row>
    <row r="449" spans="1:13">
      <c r="A449" t="s">
        <v>855</v>
      </c>
      <c r="B449" t="s">
        <v>856</v>
      </c>
      <c r="C449" t="s">
        <v>45</v>
      </c>
      <c r="D449" t="s">
        <v>61</v>
      </c>
      <c r="E449" t="s">
        <v>85</v>
      </c>
      <c r="F449" t="s">
        <v>86</v>
      </c>
      <c r="G449">
        <v>109069</v>
      </c>
      <c r="H449">
        <v>127577</v>
      </c>
      <c r="I449">
        <v>18508</v>
      </c>
      <c r="J449" t="s">
        <v>19</v>
      </c>
      <c r="K449" t="s">
        <v>41</v>
      </c>
      <c r="L449" t="s">
        <v>21</v>
      </c>
      <c r="M449" t="s">
        <v>22</v>
      </c>
    </row>
    <row r="450" spans="1:13">
      <c r="A450" t="s">
        <v>857</v>
      </c>
      <c r="B450" t="s">
        <v>554</v>
      </c>
      <c r="C450" t="s">
        <v>64</v>
      </c>
      <c r="D450" t="s">
        <v>16</v>
      </c>
      <c r="E450" t="s">
        <v>17</v>
      </c>
      <c r="F450" t="s">
        <v>18</v>
      </c>
      <c r="G450">
        <v>86886</v>
      </c>
      <c r="H450">
        <v>70117</v>
      </c>
      <c r="I450">
        <v>-16769</v>
      </c>
      <c r="J450" t="s">
        <v>54</v>
      </c>
      <c r="K450" t="s">
        <v>41</v>
      </c>
      <c r="L450" t="s">
        <v>21</v>
      </c>
      <c r="M450" t="s">
        <v>22</v>
      </c>
    </row>
    <row r="451" spans="1:13">
      <c r="A451" t="s">
        <v>858</v>
      </c>
      <c r="B451" t="s">
        <v>859</v>
      </c>
      <c r="C451" t="s">
        <v>15</v>
      </c>
      <c r="D451" t="s">
        <v>34</v>
      </c>
      <c r="E451" t="s">
        <v>85</v>
      </c>
      <c r="F451" t="s">
        <v>86</v>
      </c>
      <c r="G451">
        <v>408372</v>
      </c>
      <c r="H451">
        <v>296904</v>
      </c>
      <c r="I451">
        <v>-111468</v>
      </c>
      <c r="J451" t="s">
        <v>54</v>
      </c>
      <c r="K451" t="s">
        <v>20</v>
      </c>
      <c r="L451" t="s">
        <v>30</v>
      </c>
      <c r="M451" t="s">
        <v>22</v>
      </c>
    </row>
    <row r="452" spans="1:13">
      <c r="A452" t="s">
        <v>860</v>
      </c>
      <c r="B452" t="s">
        <v>154</v>
      </c>
      <c r="C452" t="s">
        <v>33</v>
      </c>
      <c r="D452" t="s">
        <v>40</v>
      </c>
      <c r="E452" t="s">
        <v>46</v>
      </c>
      <c r="F452" t="s">
        <v>47</v>
      </c>
      <c r="G452">
        <v>212005</v>
      </c>
      <c r="H452">
        <v>225198</v>
      </c>
      <c r="I452">
        <v>13193</v>
      </c>
      <c r="J452" t="s">
        <v>19</v>
      </c>
      <c r="K452" t="s">
        <v>20</v>
      </c>
      <c r="L452" t="s">
        <v>21</v>
      </c>
      <c r="M452" t="s">
        <v>42</v>
      </c>
    </row>
    <row r="453" spans="1:13">
      <c r="A453" t="s">
        <v>861</v>
      </c>
      <c r="B453" t="s">
        <v>590</v>
      </c>
      <c r="C453" t="s">
        <v>33</v>
      </c>
      <c r="D453" t="s">
        <v>26</v>
      </c>
      <c r="E453" t="s">
        <v>46</v>
      </c>
      <c r="F453" t="s">
        <v>47</v>
      </c>
      <c r="G453">
        <v>281598</v>
      </c>
      <c r="H453">
        <v>305970</v>
      </c>
      <c r="I453">
        <v>24372</v>
      </c>
      <c r="J453" t="s">
        <v>54</v>
      </c>
      <c r="K453" t="s">
        <v>20</v>
      </c>
      <c r="L453" t="s">
        <v>30</v>
      </c>
      <c r="M453" t="s">
        <v>22</v>
      </c>
    </row>
    <row r="454" spans="1:13">
      <c r="A454" t="s">
        <v>862</v>
      </c>
      <c r="B454" t="s">
        <v>863</v>
      </c>
      <c r="C454" t="s">
        <v>25</v>
      </c>
      <c r="D454" t="s">
        <v>26</v>
      </c>
      <c r="E454" t="s">
        <v>27</v>
      </c>
      <c r="F454" t="s">
        <v>28</v>
      </c>
      <c r="G454">
        <v>423604</v>
      </c>
      <c r="H454">
        <v>577714</v>
      </c>
      <c r="I454">
        <v>154110</v>
      </c>
      <c r="J454" t="s">
        <v>19</v>
      </c>
      <c r="K454" t="s">
        <v>48</v>
      </c>
      <c r="L454" t="s">
        <v>68</v>
      </c>
      <c r="M454" t="s">
        <v>42</v>
      </c>
    </row>
    <row r="455" spans="1:13">
      <c r="A455" t="s">
        <v>864</v>
      </c>
      <c r="B455" t="s">
        <v>865</v>
      </c>
      <c r="C455" t="s">
        <v>45</v>
      </c>
      <c r="D455" t="s">
        <v>34</v>
      </c>
      <c r="E455" t="s">
        <v>27</v>
      </c>
      <c r="F455" t="s">
        <v>28</v>
      </c>
      <c r="G455">
        <v>287277</v>
      </c>
      <c r="H455">
        <v>359231</v>
      </c>
      <c r="I455">
        <v>71954</v>
      </c>
      <c r="J455" t="s">
        <v>54</v>
      </c>
      <c r="K455" t="s">
        <v>41</v>
      </c>
      <c r="L455" t="s">
        <v>68</v>
      </c>
      <c r="M455" t="s">
        <v>22</v>
      </c>
    </row>
    <row r="456" spans="1:13">
      <c r="A456" t="s">
        <v>866</v>
      </c>
      <c r="B456" t="s">
        <v>867</v>
      </c>
      <c r="C456" t="s">
        <v>25</v>
      </c>
      <c r="D456" t="s">
        <v>26</v>
      </c>
      <c r="E456" t="s">
        <v>17</v>
      </c>
      <c r="F456" t="s">
        <v>18</v>
      </c>
      <c r="G456">
        <v>167024</v>
      </c>
      <c r="H456">
        <v>203671</v>
      </c>
      <c r="I456">
        <v>36647</v>
      </c>
      <c r="J456" t="s">
        <v>37</v>
      </c>
      <c r="K456" t="s">
        <v>48</v>
      </c>
      <c r="L456" t="s">
        <v>30</v>
      </c>
      <c r="M456" t="s">
        <v>42</v>
      </c>
    </row>
    <row r="457" spans="1:13">
      <c r="A457" t="s">
        <v>868</v>
      </c>
      <c r="B457" t="s">
        <v>255</v>
      </c>
      <c r="C457" t="s">
        <v>33</v>
      </c>
      <c r="D457" t="s">
        <v>34</v>
      </c>
      <c r="E457" t="s">
        <v>27</v>
      </c>
      <c r="F457" t="s">
        <v>28</v>
      </c>
      <c r="G457">
        <v>215360</v>
      </c>
      <c r="H457">
        <v>299063</v>
      </c>
      <c r="I457">
        <v>83703</v>
      </c>
      <c r="J457" t="s">
        <v>37</v>
      </c>
      <c r="K457" t="s">
        <v>48</v>
      </c>
      <c r="L457" t="s">
        <v>30</v>
      </c>
      <c r="M457" t="s">
        <v>42</v>
      </c>
    </row>
    <row r="458" spans="1:13">
      <c r="A458" t="s">
        <v>869</v>
      </c>
      <c r="B458" t="s">
        <v>870</v>
      </c>
      <c r="C458" t="s">
        <v>64</v>
      </c>
      <c r="D458" t="s">
        <v>16</v>
      </c>
      <c r="E458" t="s">
        <v>71</v>
      </c>
      <c r="F458" t="s">
        <v>72</v>
      </c>
      <c r="G458">
        <v>236409</v>
      </c>
      <c r="H458">
        <v>319453</v>
      </c>
      <c r="I458">
        <v>83044</v>
      </c>
      <c r="J458" t="s">
        <v>19</v>
      </c>
      <c r="K458" t="s">
        <v>48</v>
      </c>
      <c r="L458" t="s">
        <v>68</v>
      </c>
      <c r="M458" t="s">
        <v>42</v>
      </c>
    </row>
    <row r="459" spans="1:13">
      <c r="A459" t="s">
        <v>871</v>
      </c>
      <c r="B459" t="s">
        <v>872</v>
      </c>
      <c r="C459" t="s">
        <v>35</v>
      </c>
      <c r="D459" t="s">
        <v>26</v>
      </c>
      <c r="E459" t="s">
        <v>85</v>
      </c>
      <c r="F459" t="s">
        <v>86</v>
      </c>
      <c r="G459">
        <v>85077</v>
      </c>
      <c r="H459">
        <v>97368</v>
      </c>
      <c r="I459">
        <v>12291</v>
      </c>
      <c r="J459" t="s">
        <v>37</v>
      </c>
      <c r="K459" t="s">
        <v>29</v>
      </c>
      <c r="L459" t="s">
        <v>30</v>
      </c>
      <c r="M459" t="s">
        <v>42</v>
      </c>
    </row>
    <row r="460" spans="1:13">
      <c r="A460" t="s">
        <v>873</v>
      </c>
      <c r="B460" t="s">
        <v>874</v>
      </c>
      <c r="C460" t="s">
        <v>35</v>
      </c>
      <c r="D460" t="s">
        <v>61</v>
      </c>
      <c r="E460" t="s">
        <v>17</v>
      </c>
      <c r="F460" t="s">
        <v>18</v>
      </c>
      <c r="G460">
        <v>301109</v>
      </c>
      <c r="H460">
        <v>305840</v>
      </c>
      <c r="I460">
        <v>4731</v>
      </c>
      <c r="J460" t="s">
        <v>37</v>
      </c>
      <c r="K460" t="s">
        <v>20</v>
      </c>
      <c r="L460" t="s">
        <v>68</v>
      </c>
      <c r="M460" t="s">
        <v>42</v>
      </c>
    </row>
    <row r="461" spans="1:13">
      <c r="A461" t="s">
        <v>875</v>
      </c>
      <c r="B461" t="s">
        <v>302</v>
      </c>
      <c r="C461" t="s">
        <v>15</v>
      </c>
      <c r="D461" t="s">
        <v>16</v>
      </c>
      <c r="E461" t="s">
        <v>85</v>
      </c>
      <c r="F461" t="s">
        <v>86</v>
      </c>
      <c r="G461">
        <v>251148</v>
      </c>
      <c r="H461">
        <v>184742</v>
      </c>
      <c r="I461">
        <v>-66406</v>
      </c>
      <c r="J461" t="s">
        <v>54</v>
      </c>
      <c r="K461" t="s">
        <v>29</v>
      </c>
      <c r="L461" t="s">
        <v>68</v>
      </c>
      <c r="M461" t="s">
        <v>22</v>
      </c>
    </row>
    <row r="462" spans="1:13">
      <c r="A462" t="s">
        <v>876</v>
      </c>
      <c r="B462" t="s">
        <v>877</v>
      </c>
      <c r="C462" t="s">
        <v>33</v>
      </c>
      <c r="D462" t="s">
        <v>34</v>
      </c>
      <c r="E462" t="s">
        <v>85</v>
      </c>
      <c r="F462" t="s">
        <v>86</v>
      </c>
      <c r="G462">
        <v>283635</v>
      </c>
      <c r="H462">
        <v>303522</v>
      </c>
      <c r="I462">
        <v>19887</v>
      </c>
      <c r="J462" t="s">
        <v>54</v>
      </c>
      <c r="K462" t="s">
        <v>41</v>
      </c>
      <c r="L462" t="s">
        <v>49</v>
      </c>
      <c r="M462" t="s">
        <v>42</v>
      </c>
    </row>
    <row r="463" spans="1:13">
      <c r="A463" t="s">
        <v>878</v>
      </c>
      <c r="B463" t="s">
        <v>879</v>
      </c>
      <c r="C463" t="s">
        <v>25</v>
      </c>
      <c r="D463" t="s">
        <v>26</v>
      </c>
      <c r="E463" t="s">
        <v>71</v>
      </c>
      <c r="F463" t="s">
        <v>72</v>
      </c>
      <c r="G463">
        <v>491959</v>
      </c>
      <c r="H463">
        <v>426701</v>
      </c>
      <c r="I463">
        <v>-65258</v>
      </c>
      <c r="J463" t="s">
        <v>19</v>
      </c>
      <c r="K463" t="s">
        <v>29</v>
      </c>
      <c r="L463" t="s">
        <v>68</v>
      </c>
      <c r="M463" t="s">
        <v>42</v>
      </c>
    </row>
    <row r="464" spans="1:13">
      <c r="A464" t="s">
        <v>880</v>
      </c>
      <c r="B464" t="s">
        <v>881</v>
      </c>
      <c r="C464" t="s">
        <v>35</v>
      </c>
      <c r="D464" t="s">
        <v>61</v>
      </c>
      <c r="E464" t="s">
        <v>46</v>
      </c>
      <c r="F464" t="s">
        <v>47</v>
      </c>
      <c r="G464">
        <v>312892</v>
      </c>
      <c r="H464">
        <v>333210</v>
      </c>
      <c r="I464">
        <v>20318</v>
      </c>
      <c r="J464" t="s">
        <v>37</v>
      </c>
      <c r="K464" t="s">
        <v>41</v>
      </c>
      <c r="L464" t="s">
        <v>68</v>
      </c>
      <c r="M464" t="s">
        <v>22</v>
      </c>
    </row>
    <row r="465" spans="1:13">
      <c r="A465" t="s">
        <v>882</v>
      </c>
      <c r="B465" t="s">
        <v>883</v>
      </c>
      <c r="C465" t="s">
        <v>35</v>
      </c>
      <c r="D465" t="s">
        <v>34</v>
      </c>
      <c r="E465" t="s">
        <v>71</v>
      </c>
      <c r="F465" t="s">
        <v>72</v>
      </c>
      <c r="G465">
        <v>80099</v>
      </c>
      <c r="H465">
        <v>94785</v>
      </c>
      <c r="I465">
        <v>14686</v>
      </c>
      <c r="J465" t="s">
        <v>19</v>
      </c>
      <c r="K465" t="s">
        <v>48</v>
      </c>
      <c r="L465" t="s">
        <v>21</v>
      </c>
      <c r="M465" t="s">
        <v>22</v>
      </c>
    </row>
    <row r="466" spans="1:13">
      <c r="A466" t="s">
        <v>884</v>
      </c>
      <c r="B466" t="s">
        <v>885</v>
      </c>
      <c r="C466" t="s">
        <v>64</v>
      </c>
      <c r="D466" t="s">
        <v>40</v>
      </c>
      <c r="E466" t="s">
        <v>85</v>
      </c>
      <c r="F466" t="s">
        <v>86</v>
      </c>
      <c r="G466">
        <v>94611</v>
      </c>
      <c r="H466">
        <v>108962</v>
      </c>
      <c r="I466">
        <v>14351</v>
      </c>
      <c r="J466" t="s">
        <v>54</v>
      </c>
      <c r="K466" t="s">
        <v>48</v>
      </c>
      <c r="L466" t="s">
        <v>49</v>
      </c>
      <c r="M466" t="s">
        <v>42</v>
      </c>
    </row>
    <row r="467" spans="1:13">
      <c r="A467" t="s">
        <v>886</v>
      </c>
      <c r="B467" t="s">
        <v>887</v>
      </c>
      <c r="C467" t="s">
        <v>45</v>
      </c>
      <c r="D467" t="s">
        <v>16</v>
      </c>
      <c r="E467" t="s">
        <v>71</v>
      </c>
      <c r="F467" t="s">
        <v>72</v>
      </c>
      <c r="G467">
        <v>493138</v>
      </c>
      <c r="H467">
        <v>573161</v>
      </c>
      <c r="I467">
        <v>80023</v>
      </c>
      <c r="J467" t="s">
        <v>19</v>
      </c>
      <c r="K467" t="s">
        <v>48</v>
      </c>
      <c r="L467" t="s">
        <v>68</v>
      </c>
      <c r="M467" t="s">
        <v>22</v>
      </c>
    </row>
    <row r="468" spans="1:13">
      <c r="A468" t="s">
        <v>888</v>
      </c>
      <c r="B468" t="s">
        <v>889</v>
      </c>
      <c r="C468" t="s">
        <v>45</v>
      </c>
      <c r="D468" t="s">
        <v>40</v>
      </c>
      <c r="E468" t="s">
        <v>71</v>
      </c>
      <c r="F468" t="s">
        <v>72</v>
      </c>
      <c r="G468">
        <v>294899</v>
      </c>
      <c r="H468">
        <v>318705</v>
      </c>
      <c r="I468">
        <v>23806</v>
      </c>
      <c r="J468" t="s">
        <v>19</v>
      </c>
      <c r="K468" t="s">
        <v>20</v>
      </c>
      <c r="L468" t="s">
        <v>49</v>
      </c>
      <c r="M468" t="s">
        <v>42</v>
      </c>
    </row>
    <row r="469" spans="1:13">
      <c r="A469" t="s">
        <v>890</v>
      </c>
      <c r="B469" t="s">
        <v>891</v>
      </c>
      <c r="C469" t="s">
        <v>64</v>
      </c>
      <c r="D469" t="s">
        <v>40</v>
      </c>
      <c r="E469" t="s">
        <v>71</v>
      </c>
      <c r="F469" t="s">
        <v>72</v>
      </c>
      <c r="G469">
        <v>476136</v>
      </c>
      <c r="H469">
        <v>516001</v>
      </c>
      <c r="I469">
        <v>39865</v>
      </c>
      <c r="J469" t="s">
        <v>19</v>
      </c>
      <c r="K469" t="s">
        <v>29</v>
      </c>
      <c r="L469" t="s">
        <v>68</v>
      </c>
      <c r="M469" t="s">
        <v>22</v>
      </c>
    </row>
    <row r="470" spans="1:13">
      <c r="A470" t="s">
        <v>892</v>
      </c>
      <c r="B470" t="s">
        <v>887</v>
      </c>
      <c r="C470" t="s">
        <v>15</v>
      </c>
      <c r="D470" t="s">
        <v>26</v>
      </c>
      <c r="E470" t="s">
        <v>71</v>
      </c>
      <c r="F470" t="s">
        <v>72</v>
      </c>
      <c r="G470">
        <v>366424</v>
      </c>
      <c r="H470">
        <v>273280</v>
      </c>
      <c r="I470">
        <v>-93144</v>
      </c>
      <c r="J470" t="s">
        <v>54</v>
      </c>
      <c r="K470" t="s">
        <v>29</v>
      </c>
      <c r="L470" t="s">
        <v>30</v>
      </c>
      <c r="M470" t="s">
        <v>42</v>
      </c>
    </row>
    <row r="471" spans="1:13">
      <c r="A471" t="s">
        <v>893</v>
      </c>
      <c r="B471" t="s">
        <v>699</v>
      </c>
      <c r="C471" t="s">
        <v>35</v>
      </c>
      <c r="D471" t="s">
        <v>26</v>
      </c>
      <c r="E471" t="s">
        <v>17</v>
      </c>
      <c r="F471" t="s">
        <v>18</v>
      </c>
      <c r="G471">
        <v>291963</v>
      </c>
      <c r="H471">
        <v>229985</v>
      </c>
      <c r="I471">
        <v>-61978</v>
      </c>
      <c r="J471" t="s">
        <v>54</v>
      </c>
      <c r="K471" t="s">
        <v>67</v>
      </c>
      <c r="L471" t="s">
        <v>30</v>
      </c>
      <c r="M471" t="s">
        <v>22</v>
      </c>
    </row>
    <row r="472" spans="1:13">
      <c r="A472" t="s">
        <v>894</v>
      </c>
      <c r="B472" t="s">
        <v>895</v>
      </c>
      <c r="C472" t="s">
        <v>15</v>
      </c>
      <c r="D472" t="s">
        <v>40</v>
      </c>
      <c r="E472" t="s">
        <v>85</v>
      </c>
      <c r="F472" t="s">
        <v>86</v>
      </c>
      <c r="G472">
        <v>105745</v>
      </c>
      <c r="H472">
        <v>118718</v>
      </c>
      <c r="I472">
        <v>12973</v>
      </c>
      <c r="J472" t="s">
        <v>37</v>
      </c>
      <c r="K472" t="s">
        <v>67</v>
      </c>
      <c r="L472" t="s">
        <v>68</v>
      </c>
      <c r="M472" t="s">
        <v>22</v>
      </c>
    </row>
    <row r="473" spans="1:13">
      <c r="A473" t="s">
        <v>896</v>
      </c>
      <c r="B473" t="s">
        <v>760</v>
      </c>
      <c r="C473" t="s">
        <v>35</v>
      </c>
      <c r="D473" t="s">
        <v>34</v>
      </c>
      <c r="E473" t="s">
        <v>27</v>
      </c>
      <c r="F473" t="s">
        <v>28</v>
      </c>
      <c r="G473">
        <v>98985</v>
      </c>
      <c r="H473">
        <v>124210</v>
      </c>
      <c r="I473">
        <v>25225</v>
      </c>
      <c r="J473" t="s">
        <v>37</v>
      </c>
      <c r="K473" t="s">
        <v>20</v>
      </c>
      <c r="L473" t="s">
        <v>49</v>
      </c>
      <c r="M473" t="s">
        <v>22</v>
      </c>
    </row>
    <row r="474" spans="1:13">
      <c r="A474" t="s">
        <v>897</v>
      </c>
      <c r="B474" t="s">
        <v>898</v>
      </c>
      <c r="C474" t="s">
        <v>45</v>
      </c>
      <c r="D474" t="s">
        <v>16</v>
      </c>
      <c r="E474" t="s">
        <v>46</v>
      </c>
      <c r="F474" t="s">
        <v>47</v>
      </c>
      <c r="G474">
        <v>50467</v>
      </c>
      <c r="H474">
        <v>35746</v>
      </c>
      <c r="I474">
        <v>-14721</v>
      </c>
      <c r="J474" t="s">
        <v>37</v>
      </c>
      <c r="K474" t="s">
        <v>48</v>
      </c>
      <c r="L474" t="s">
        <v>68</v>
      </c>
      <c r="M474" t="s">
        <v>42</v>
      </c>
    </row>
    <row r="475" spans="1:13">
      <c r="A475" t="s">
        <v>899</v>
      </c>
      <c r="B475" t="s">
        <v>223</v>
      </c>
      <c r="C475" t="s">
        <v>33</v>
      </c>
      <c r="D475" t="s">
        <v>16</v>
      </c>
      <c r="E475" t="s">
        <v>71</v>
      </c>
      <c r="F475" t="s">
        <v>72</v>
      </c>
      <c r="G475">
        <v>265498</v>
      </c>
      <c r="H475">
        <v>269711</v>
      </c>
      <c r="I475">
        <v>4213</v>
      </c>
      <c r="J475" t="s">
        <v>54</v>
      </c>
      <c r="K475" t="s">
        <v>41</v>
      </c>
      <c r="L475" t="s">
        <v>49</v>
      </c>
      <c r="M475" t="s">
        <v>42</v>
      </c>
    </row>
    <row r="476" spans="1:13">
      <c r="A476" t="s">
        <v>900</v>
      </c>
      <c r="B476" t="s">
        <v>439</v>
      </c>
      <c r="C476" t="s">
        <v>64</v>
      </c>
      <c r="D476" t="s">
        <v>16</v>
      </c>
      <c r="E476" t="s">
        <v>85</v>
      </c>
      <c r="F476" t="s">
        <v>86</v>
      </c>
      <c r="G476">
        <v>287177</v>
      </c>
      <c r="H476">
        <v>400133</v>
      </c>
      <c r="I476">
        <v>112956</v>
      </c>
      <c r="J476" t="s">
        <v>19</v>
      </c>
      <c r="K476" t="s">
        <v>29</v>
      </c>
      <c r="L476" t="s">
        <v>68</v>
      </c>
      <c r="M476" t="s">
        <v>42</v>
      </c>
    </row>
    <row r="477" spans="1:13">
      <c r="A477" t="s">
        <v>901</v>
      </c>
      <c r="B477" t="s">
        <v>902</v>
      </c>
      <c r="C477" t="s">
        <v>45</v>
      </c>
      <c r="D477" t="s">
        <v>61</v>
      </c>
      <c r="E477" t="s">
        <v>35</v>
      </c>
      <c r="F477" t="s">
        <v>36</v>
      </c>
      <c r="G477">
        <v>97379</v>
      </c>
      <c r="H477">
        <v>124623</v>
      </c>
      <c r="I477">
        <v>27244</v>
      </c>
      <c r="J477" t="s">
        <v>37</v>
      </c>
      <c r="K477" t="s">
        <v>48</v>
      </c>
      <c r="L477" t="s">
        <v>21</v>
      </c>
      <c r="M477" t="s">
        <v>42</v>
      </c>
    </row>
    <row r="478" spans="1:13">
      <c r="A478" t="s">
        <v>903</v>
      </c>
      <c r="B478" t="s">
        <v>904</v>
      </c>
      <c r="C478" t="s">
        <v>45</v>
      </c>
      <c r="D478" t="s">
        <v>40</v>
      </c>
      <c r="E478" t="s">
        <v>35</v>
      </c>
      <c r="F478" t="s">
        <v>36</v>
      </c>
      <c r="G478">
        <v>220615</v>
      </c>
      <c r="H478">
        <v>225443</v>
      </c>
      <c r="I478">
        <v>4828</v>
      </c>
      <c r="J478" t="s">
        <v>19</v>
      </c>
      <c r="K478" t="s">
        <v>48</v>
      </c>
      <c r="L478" t="s">
        <v>49</v>
      </c>
      <c r="M478" t="s">
        <v>42</v>
      </c>
    </row>
    <row r="479" spans="1:13">
      <c r="A479" t="s">
        <v>905</v>
      </c>
      <c r="B479" t="s">
        <v>906</v>
      </c>
      <c r="C479" t="s">
        <v>33</v>
      </c>
      <c r="D479" t="s">
        <v>40</v>
      </c>
      <c r="E479" t="s">
        <v>27</v>
      </c>
      <c r="F479" t="s">
        <v>28</v>
      </c>
      <c r="G479">
        <v>281598</v>
      </c>
      <c r="H479">
        <v>291762</v>
      </c>
      <c r="I479">
        <v>10164</v>
      </c>
      <c r="J479" t="s">
        <v>19</v>
      </c>
      <c r="K479" t="s">
        <v>67</v>
      </c>
      <c r="L479" t="s">
        <v>30</v>
      </c>
      <c r="M479" t="s">
        <v>22</v>
      </c>
    </row>
    <row r="480" spans="1:13">
      <c r="A480" t="s">
        <v>907</v>
      </c>
      <c r="B480" t="s">
        <v>908</v>
      </c>
      <c r="C480" t="s">
        <v>33</v>
      </c>
      <c r="D480" t="s">
        <v>61</v>
      </c>
      <c r="E480" t="s">
        <v>27</v>
      </c>
      <c r="F480" t="s">
        <v>28</v>
      </c>
      <c r="G480">
        <v>267909</v>
      </c>
      <c r="H480">
        <v>359088</v>
      </c>
      <c r="I480">
        <v>91179</v>
      </c>
      <c r="J480" t="s">
        <v>54</v>
      </c>
      <c r="K480" t="s">
        <v>20</v>
      </c>
      <c r="L480" t="s">
        <v>68</v>
      </c>
      <c r="M480" t="s">
        <v>22</v>
      </c>
    </row>
    <row r="481" spans="1:13">
      <c r="A481" t="s">
        <v>909</v>
      </c>
      <c r="B481" t="s">
        <v>910</v>
      </c>
      <c r="C481" t="s">
        <v>33</v>
      </c>
      <c r="D481" t="s">
        <v>16</v>
      </c>
      <c r="E481" t="s">
        <v>17</v>
      </c>
      <c r="F481" t="s">
        <v>18</v>
      </c>
      <c r="G481">
        <v>144131</v>
      </c>
      <c r="H481">
        <v>117232</v>
      </c>
      <c r="I481">
        <v>-26899</v>
      </c>
      <c r="J481" t="s">
        <v>54</v>
      </c>
      <c r="K481" t="s">
        <v>48</v>
      </c>
      <c r="L481" t="s">
        <v>21</v>
      </c>
      <c r="M481" t="s">
        <v>22</v>
      </c>
    </row>
    <row r="482" spans="1:13">
      <c r="A482" t="s">
        <v>911</v>
      </c>
      <c r="B482" t="s">
        <v>912</v>
      </c>
      <c r="C482" t="s">
        <v>35</v>
      </c>
      <c r="D482" t="s">
        <v>40</v>
      </c>
      <c r="E482" t="s">
        <v>35</v>
      </c>
      <c r="F482" t="s">
        <v>36</v>
      </c>
      <c r="G482">
        <v>389184</v>
      </c>
      <c r="H482">
        <v>285665</v>
      </c>
      <c r="I482">
        <v>-103519</v>
      </c>
      <c r="J482" t="s">
        <v>54</v>
      </c>
      <c r="K482" t="s">
        <v>48</v>
      </c>
      <c r="L482" t="s">
        <v>68</v>
      </c>
      <c r="M482" t="s">
        <v>22</v>
      </c>
    </row>
    <row r="483" spans="1:13">
      <c r="A483" t="s">
        <v>913</v>
      </c>
      <c r="B483" t="s">
        <v>914</v>
      </c>
      <c r="C483" t="s">
        <v>15</v>
      </c>
      <c r="D483" t="s">
        <v>40</v>
      </c>
      <c r="E483" t="s">
        <v>46</v>
      </c>
      <c r="F483" t="s">
        <v>47</v>
      </c>
      <c r="G483">
        <v>115842</v>
      </c>
      <c r="H483">
        <v>102445</v>
      </c>
      <c r="I483">
        <v>-13397</v>
      </c>
      <c r="J483" t="s">
        <v>19</v>
      </c>
      <c r="K483" t="s">
        <v>67</v>
      </c>
      <c r="L483" t="s">
        <v>68</v>
      </c>
      <c r="M483" t="s">
        <v>22</v>
      </c>
    </row>
    <row r="484" spans="1:13">
      <c r="A484" t="s">
        <v>915</v>
      </c>
      <c r="B484" t="s">
        <v>515</v>
      </c>
      <c r="C484" t="s">
        <v>35</v>
      </c>
      <c r="D484" t="s">
        <v>61</v>
      </c>
      <c r="E484" t="s">
        <v>46</v>
      </c>
      <c r="F484" t="s">
        <v>47</v>
      </c>
      <c r="G484">
        <v>248790</v>
      </c>
      <c r="H484">
        <v>296706</v>
      </c>
      <c r="I484">
        <v>47916</v>
      </c>
      <c r="J484" t="s">
        <v>37</v>
      </c>
      <c r="K484" t="s">
        <v>67</v>
      </c>
      <c r="L484" t="s">
        <v>30</v>
      </c>
      <c r="M484" t="s">
        <v>42</v>
      </c>
    </row>
    <row r="485" spans="1:13">
      <c r="A485" t="s">
        <v>916</v>
      </c>
      <c r="B485" t="s">
        <v>917</v>
      </c>
      <c r="C485" t="s">
        <v>15</v>
      </c>
      <c r="D485" t="s">
        <v>26</v>
      </c>
      <c r="E485" t="s">
        <v>35</v>
      </c>
      <c r="F485" t="s">
        <v>36</v>
      </c>
      <c r="G485">
        <v>422765</v>
      </c>
      <c r="H485">
        <v>551880</v>
      </c>
      <c r="I485">
        <v>129115</v>
      </c>
      <c r="J485" t="s">
        <v>37</v>
      </c>
      <c r="K485" t="s">
        <v>20</v>
      </c>
      <c r="L485" t="s">
        <v>49</v>
      </c>
      <c r="M485" t="s">
        <v>22</v>
      </c>
    </row>
    <row r="486" spans="1:13">
      <c r="A486" t="s">
        <v>918</v>
      </c>
      <c r="B486" t="s">
        <v>919</v>
      </c>
      <c r="C486" t="s">
        <v>15</v>
      </c>
      <c r="D486" t="s">
        <v>40</v>
      </c>
      <c r="E486" t="s">
        <v>46</v>
      </c>
      <c r="F486" t="s">
        <v>47</v>
      </c>
      <c r="G486">
        <v>182451</v>
      </c>
      <c r="H486">
        <v>192135</v>
      </c>
      <c r="I486">
        <v>9684</v>
      </c>
      <c r="J486" t="s">
        <v>19</v>
      </c>
      <c r="K486" t="s">
        <v>29</v>
      </c>
      <c r="L486" t="s">
        <v>49</v>
      </c>
      <c r="M486" t="s">
        <v>22</v>
      </c>
    </row>
    <row r="487" spans="1:13">
      <c r="A487" t="s">
        <v>920</v>
      </c>
      <c r="B487" t="s">
        <v>568</v>
      </c>
      <c r="C487" t="s">
        <v>33</v>
      </c>
      <c r="D487" t="s">
        <v>61</v>
      </c>
      <c r="E487" t="s">
        <v>35</v>
      </c>
      <c r="F487" t="s">
        <v>36</v>
      </c>
      <c r="G487">
        <v>160428</v>
      </c>
      <c r="H487">
        <v>118481</v>
      </c>
      <c r="I487">
        <v>-41947</v>
      </c>
      <c r="J487" t="s">
        <v>54</v>
      </c>
      <c r="K487" t="s">
        <v>41</v>
      </c>
      <c r="L487" t="s">
        <v>21</v>
      </c>
      <c r="M487" t="s">
        <v>22</v>
      </c>
    </row>
    <row r="488" spans="1:13">
      <c r="A488" t="s">
        <v>921</v>
      </c>
      <c r="B488" t="s">
        <v>371</v>
      </c>
      <c r="C488" t="s">
        <v>35</v>
      </c>
      <c r="D488" t="s">
        <v>34</v>
      </c>
      <c r="E488" t="s">
        <v>17</v>
      </c>
      <c r="F488" t="s">
        <v>18</v>
      </c>
      <c r="G488">
        <v>487854</v>
      </c>
      <c r="H488">
        <v>414647</v>
      </c>
      <c r="I488">
        <v>-73207</v>
      </c>
      <c r="J488" t="s">
        <v>37</v>
      </c>
      <c r="K488" t="s">
        <v>67</v>
      </c>
      <c r="L488" t="s">
        <v>21</v>
      </c>
      <c r="M488" t="s">
        <v>42</v>
      </c>
    </row>
    <row r="489" spans="1:13">
      <c r="A489" t="s">
        <v>922</v>
      </c>
      <c r="B489" t="s">
        <v>586</v>
      </c>
      <c r="C489" t="s">
        <v>15</v>
      </c>
      <c r="D489" t="s">
        <v>16</v>
      </c>
      <c r="E489" t="s">
        <v>46</v>
      </c>
      <c r="F489" t="s">
        <v>47</v>
      </c>
      <c r="G489">
        <v>493010</v>
      </c>
      <c r="H489">
        <v>589077</v>
      </c>
      <c r="I489">
        <v>96067</v>
      </c>
      <c r="J489" t="s">
        <v>54</v>
      </c>
      <c r="K489" t="s">
        <v>41</v>
      </c>
      <c r="L489" t="s">
        <v>21</v>
      </c>
      <c r="M489" t="s">
        <v>22</v>
      </c>
    </row>
    <row r="490" spans="1:13">
      <c r="A490" t="s">
        <v>923</v>
      </c>
      <c r="B490" t="s">
        <v>924</v>
      </c>
      <c r="C490" t="s">
        <v>25</v>
      </c>
      <c r="D490" t="s">
        <v>40</v>
      </c>
      <c r="E490" t="s">
        <v>85</v>
      </c>
      <c r="F490" t="s">
        <v>86</v>
      </c>
      <c r="G490">
        <v>284663</v>
      </c>
      <c r="H490">
        <v>270811</v>
      </c>
      <c r="I490">
        <v>-13852</v>
      </c>
      <c r="J490" t="s">
        <v>37</v>
      </c>
      <c r="K490" t="s">
        <v>29</v>
      </c>
      <c r="L490" t="s">
        <v>30</v>
      </c>
      <c r="M490" t="s">
        <v>42</v>
      </c>
    </row>
    <row r="491" spans="1:13">
      <c r="A491" t="s">
        <v>925</v>
      </c>
      <c r="B491" t="s">
        <v>910</v>
      </c>
      <c r="C491" t="s">
        <v>15</v>
      </c>
      <c r="D491" t="s">
        <v>40</v>
      </c>
      <c r="E491" t="s">
        <v>46</v>
      </c>
      <c r="F491" t="s">
        <v>47</v>
      </c>
      <c r="G491">
        <v>109350</v>
      </c>
      <c r="H491">
        <v>79875</v>
      </c>
      <c r="I491">
        <v>-29475</v>
      </c>
      <c r="J491" t="s">
        <v>19</v>
      </c>
      <c r="K491" t="s">
        <v>41</v>
      </c>
      <c r="L491" t="s">
        <v>49</v>
      </c>
      <c r="M491" t="s">
        <v>22</v>
      </c>
    </row>
    <row r="492" spans="1:13">
      <c r="A492" t="s">
        <v>926</v>
      </c>
      <c r="B492" t="s">
        <v>714</v>
      </c>
      <c r="C492" t="s">
        <v>15</v>
      </c>
      <c r="D492" t="s">
        <v>61</v>
      </c>
      <c r="E492" t="s">
        <v>27</v>
      </c>
      <c r="F492" t="s">
        <v>28</v>
      </c>
      <c r="G492">
        <v>267508</v>
      </c>
      <c r="H492">
        <v>332767</v>
      </c>
      <c r="I492">
        <v>65259</v>
      </c>
      <c r="J492" t="s">
        <v>19</v>
      </c>
      <c r="K492" t="s">
        <v>41</v>
      </c>
      <c r="L492" t="s">
        <v>49</v>
      </c>
      <c r="M492" t="s">
        <v>42</v>
      </c>
    </row>
    <row r="493" spans="1:13">
      <c r="A493" t="s">
        <v>927</v>
      </c>
      <c r="B493" t="s">
        <v>928</v>
      </c>
      <c r="C493" t="s">
        <v>35</v>
      </c>
      <c r="D493" t="s">
        <v>34</v>
      </c>
      <c r="E493" t="s">
        <v>17</v>
      </c>
      <c r="F493" t="s">
        <v>18</v>
      </c>
      <c r="G493">
        <v>458590</v>
      </c>
      <c r="H493">
        <v>387307</v>
      </c>
      <c r="I493">
        <v>-71283</v>
      </c>
      <c r="J493" t="s">
        <v>37</v>
      </c>
      <c r="K493" t="s">
        <v>20</v>
      </c>
      <c r="L493" t="s">
        <v>21</v>
      </c>
      <c r="M493" t="s">
        <v>22</v>
      </c>
    </row>
    <row r="494" spans="1:13">
      <c r="A494" t="s">
        <v>929</v>
      </c>
      <c r="B494" t="s">
        <v>188</v>
      </c>
      <c r="C494" t="s">
        <v>15</v>
      </c>
      <c r="D494" t="s">
        <v>34</v>
      </c>
      <c r="E494" t="s">
        <v>46</v>
      </c>
      <c r="F494" t="s">
        <v>47</v>
      </c>
      <c r="G494">
        <v>208311</v>
      </c>
      <c r="H494">
        <v>236289</v>
      </c>
      <c r="I494">
        <v>27978</v>
      </c>
      <c r="J494" t="s">
        <v>37</v>
      </c>
      <c r="K494" t="s">
        <v>29</v>
      </c>
      <c r="L494" t="s">
        <v>30</v>
      </c>
      <c r="M494" t="s">
        <v>42</v>
      </c>
    </row>
    <row r="495" spans="1:13">
      <c r="A495" t="s">
        <v>930</v>
      </c>
      <c r="B495" t="s">
        <v>451</v>
      </c>
      <c r="C495" t="s">
        <v>15</v>
      </c>
      <c r="D495" t="s">
        <v>16</v>
      </c>
      <c r="E495" t="s">
        <v>85</v>
      </c>
      <c r="F495" t="s">
        <v>86</v>
      </c>
      <c r="G495">
        <v>480158</v>
      </c>
      <c r="H495">
        <v>568919</v>
      </c>
      <c r="I495">
        <v>88761</v>
      </c>
      <c r="J495" t="s">
        <v>54</v>
      </c>
      <c r="K495" t="s">
        <v>29</v>
      </c>
      <c r="L495" t="s">
        <v>68</v>
      </c>
      <c r="M495" t="s">
        <v>22</v>
      </c>
    </row>
    <row r="496" spans="1:13">
      <c r="A496" t="s">
        <v>931</v>
      </c>
      <c r="B496" t="s">
        <v>932</v>
      </c>
      <c r="C496" t="s">
        <v>15</v>
      </c>
      <c r="D496" t="s">
        <v>61</v>
      </c>
      <c r="E496" t="s">
        <v>46</v>
      </c>
      <c r="F496" t="s">
        <v>47</v>
      </c>
      <c r="G496">
        <v>92245</v>
      </c>
      <c r="H496">
        <v>89514</v>
      </c>
      <c r="I496">
        <v>-2731</v>
      </c>
      <c r="J496" t="s">
        <v>19</v>
      </c>
      <c r="K496" t="s">
        <v>67</v>
      </c>
      <c r="L496" t="s">
        <v>68</v>
      </c>
      <c r="M496" t="s">
        <v>42</v>
      </c>
    </row>
    <row r="497" spans="1:13">
      <c r="A497" t="s">
        <v>933</v>
      </c>
      <c r="B497" t="s">
        <v>934</v>
      </c>
      <c r="C497" t="s">
        <v>45</v>
      </c>
      <c r="D497" t="s">
        <v>34</v>
      </c>
      <c r="E497" t="s">
        <v>71</v>
      </c>
      <c r="F497" t="s">
        <v>72</v>
      </c>
      <c r="G497">
        <v>118241</v>
      </c>
      <c r="H497">
        <v>145550</v>
      </c>
      <c r="I497">
        <v>27309</v>
      </c>
      <c r="J497" t="s">
        <v>37</v>
      </c>
      <c r="K497" t="s">
        <v>20</v>
      </c>
      <c r="L497" t="s">
        <v>49</v>
      </c>
      <c r="M497" t="s">
        <v>22</v>
      </c>
    </row>
    <row r="498" spans="1:13">
      <c r="A498" t="s">
        <v>935</v>
      </c>
      <c r="B498" t="s">
        <v>936</v>
      </c>
      <c r="C498" t="s">
        <v>64</v>
      </c>
      <c r="D498" t="s">
        <v>26</v>
      </c>
      <c r="E498" t="s">
        <v>46</v>
      </c>
      <c r="F498" t="s">
        <v>47</v>
      </c>
      <c r="G498">
        <v>96657</v>
      </c>
      <c r="H498">
        <v>114612</v>
      </c>
      <c r="I498">
        <v>17955</v>
      </c>
      <c r="J498" t="s">
        <v>54</v>
      </c>
      <c r="K498" t="s">
        <v>48</v>
      </c>
      <c r="L498" t="s">
        <v>30</v>
      </c>
      <c r="M498" t="s">
        <v>22</v>
      </c>
    </row>
    <row r="499" spans="1:13">
      <c r="A499" t="s">
        <v>937</v>
      </c>
      <c r="B499" t="s">
        <v>938</v>
      </c>
      <c r="C499" t="s">
        <v>35</v>
      </c>
      <c r="D499" t="s">
        <v>26</v>
      </c>
      <c r="E499" t="s">
        <v>85</v>
      </c>
      <c r="F499" t="s">
        <v>86</v>
      </c>
      <c r="G499">
        <v>414058</v>
      </c>
      <c r="H499">
        <v>559755</v>
      </c>
      <c r="I499">
        <v>145697</v>
      </c>
      <c r="J499" t="s">
        <v>19</v>
      </c>
      <c r="K499" t="s">
        <v>67</v>
      </c>
      <c r="L499" t="s">
        <v>21</v>
      </c>
      <c r="M499" t="s">
        <v>42</v>
      </c>
    </row>
    <row r="500" spans="1:13">
      <c r="A500" t="s">
        <v>939</v>
      </c>
      <c r="B500" t="s">
        <v>940</v>
      </c>
      <c r="C500" t="s">
        <v>64</v>
      </c>
      <c r="D500" t="s">
        <v>26</v>
      </c>
      <c r="E500" t="s">
        <v>85</v>
      </c>
      <c r="F500" t="s">
        <v>86</v>
      </c>
      <c r="G500">
        <v>353227</v>
      </c>
      <c r="H500">
        <v>442456</v>
      </c>
      <c r="I500">
        <v>89229</v>
      </c>
      <c r="J500" t="s">
        <v>54</v>
      </c>
      <c r="K500" t="s">
        <v>67</v>
      </c>
      <c r="L500" t="s">
        <v>30</v>
      </c>
      <c r="M500" t="s">
        <v>22</v>
      </c>
    </row>
    <row r="501" spans="1:13">
      <c r="A501" t="s">
        <v>941</v>
      </c>
      <c r="B501" t="s">
        <v>942</v>
      </c>
      <c r="C501" t="s">
        <v>35</v>
      </c>
      <c r="D501" t="s">
        <v>26</v>
      </c>
      <c r="E501" t="s">
        <v>85</v>
      </c>
      <c r="F501" t="s">
        <v>86</v>
      </c>
      <c r="G501">
        <v>388215</v>
      </c>
      <c r="H501">
        <v>294323</v>
      </c>
      <c r="I501">
        <v>-93892</v>
      </c>
      <c r="J501" t="s">
        <v>37</v>
      </c>
      <c r="K501" t="s">
        <v>20</v>
      </c>
      <c r="L501" t="s">
        <v>21</v>
      </c>
      <c r="M501" t="s">
        <v>42</v>
      </c>
    </row>
    <row r="502" spans="1:13">
      <c r="A502" t="s">
        <v>943</v>
      </c>
      <c r="B502" t="s">
        <v>32</v>
      </c>
      <c r="C502" t="s">
        <v>15</v>
      </c>
      <c r="D502" t="s">
        <v>40</v>
      </c>
      <c r="E502" t="s">
        <v>46</v>
      </c>
      <c r="F502" t="s">
        <v>47</v>
      </c>
      <c r="G502">
        <v>339735</v>
      </c>
      <c r="H502">
        <v>421566</v>
      </c>
      <c r="I502">
        <v>81831</v>
      </c>
      <c r="J502" t="s">
        <v>54</v>
      </c>
      <c r="K502" t="s">
        <v>20</v>
      </c>
      <c r="L502" t="s">
        <v>30</v>
      </c>
      <c r="M502" t="s">
        <v>42</v>
      </c>
    </row>
    <row r="503" spans="1:13">
      <c r="A503" t="s">
        <v>944</v>
      </c>
      <c r="B503" t="s">
        <v>643</v>
      </c>
      <c r="C503" t="s">
        <v>64</v>
      </c>
      <c r="D503" t="s">
        <v>34</v>
      </c>
      <c r="E503" t="s">
        <v>35</v>
      </c>
      <c r="F503" t="s">
        <v>36</v>
      </c>
      <c r="G503">
        <v>436207</v>
      </c>
      <c r="H503">
        <v>544865</v>
      </c>
      <c r="I503">
        <v>108658</v>
      </c>
      <c r="J503" t="s">
        <v>37</v>
      </c>
      <c r="K503" t="s">
        <v>41</v>
      </c>
      <c r="L503" t="s">
        <v>21</v>
      </c>
      <c r="M503" t="s">
        <v>42</v>
      </c>
    </row>
    <row r="504" spans="1:13">
      <c r="A504" t="s">
        <v>945</v>
      </c>
      <c r="B504" t="s">
        <v>946</v>
      </c>
      <c r="C504" t="s">
        <v>15</v>
      </c>
      <c r="D504" t="s">
        <v>16</v>
      </c>
      <c r="E504" t="s">
        <v>27</v>
      </c>
      <c r="F504" t="s">
        <v>28</v>
      </c>
      <c r="G504">
        <v>411713</v>
      </c>
      <c r="H504">
        <v>429483</v>
      </c>
      <c r="I504">
        <v>17770</v>
      </c>
      <c r="J504" t="s">
        <v>37</v>
      </c>
      <c r="K504" t="s">
        <v>48</v>
      </c>
      <c r="L504" t="s">
        <v>30</v>
      </c>
      <c r="M504" t="s">
        <v>22</v>
      </c>
    </row>
    <row r="505" spans="1:13">
      <c r="A505" t="s">
        <v>947</v>
      </c>
      <c r="B505" t="s">
        <v>227</v>
      </c>
      <c r="C505" t="s">
        <v>64</v>
      </c>
      <c r="D505" t="s">
        <v>26</v>
      </c>
      <c r="E505" t="s">
        <v>35</v>
      </c>
      <c r="F505" t="s">
        <v>36</v>
      </c>
      <c r="G505">
        <v>306468</v>
      </c>
      <c r="H505">
        <v>224986</v>
      </c>
      <c r="I505">
        <v>-81482</v>
      </c>
      <c r="J505" t="s">
        <v>19</v>
      </c>
      <c r="K505" t="s">
        <v>67</v>
      </c>
      <c r="L505" t="s">
        <v>21</v>
      </c>
      <c r="M505" t="s">
        <v>42</v>
      </c>
    </row>
    <row r="506" spans="1:13">
      <c r="A506" t="s">
        <v>948</v>
      </c>
      <c r="B506" t="s">
        <v>949</v>
      </c>
      <c r="C506" t="s">
        <v>64</v>
      </c>
      <c r="D506" t="s">
        <v>26</v>
      </c>
      <c r="E506" t="s">
        <v>27</v>
      </c>
      <c r="F506" t="s">
        <v>28</v>
      </c>
      <c r="G506">
        <v>451413</v>
      </c>
      <c r="H506">
        <v>436808</v>
      </c>
      <c r="I506">
        <v>-14605</v>
      </c>
      <c r="J506" t="s">
        <v>19</v>
      </c>
      <c r="K506" t="s">
        <v>20</v>
      </c>
      <c r="L506" t="s">
        <v>30</v>
      </c>
      <c r="M506" t="s">
        <v>22</v>
      </c>
    </row>
    <row r="507" spans="1:13">
      <c r="A507" t="s">
        <v>950</v>
      </c>
      <c r="B507" t="s">
        <v>951</v>
      </c>
      <c r="C507" t="s">
        <v>33</v>
      </c>
      <c r="D507" t="s">
        <v>61</v>
      </c>
      <c r="E507" t="s">
        <v>71</v>
      </c>
      <c r="F507" t="s">
        <v>72</v>
      </c>
      <c r="G507">
        <v>307691</v>
      </c>
      <c r="H507">
        <v>300097</v>
      </c>
      <c r="I507">
        <v>-7594</v>
      </c>
      <c r="J507" t="s">
        <v>37</v>
      </c>
      <c r="K507" t="s">
        <v>48</v>
      </c>
      <c r="L507" t="s">
        <v>49</v>
      </c>
      <c r="M507" t="s">
        <v>42</v>
      </c>
    </row>
    <row r="508" spans="1:13">
      <c r="A508" t="s">
        <v>952</v>
      </c>
      <c r="B508" t="s">
        <v>953</v>
      </c>
      <c r="C508" t="s">
        <v>35</v>
      </c>
      <c r="D508" t="s">
        <v>26</v>
      </c>
      <c r="E508" t="s">
        <v>46</v>
      </c>
      <c r="F508" t="s">
        <v>47</v>
      </c>
      <c r="G508">
        <v>198374</v>
      </c>
      <c r="H508">
        <v>156061</v>
      </c>
      <c r="I508">
        <v>-42313</v>
      </c>
      <c r="J508" t="s">
        <v>37</v>
      </c>
      <c r="K508" t="s">
        <v>41</v>
      </c>
      <c r="L508" t="s">
        <v>30</v>
      </c>
      <c r="M508" t="s">
        <v>22</v>
      </c>
    </row>
    <row r="509" spans="1:13">
      <c r="A509" t="s">
        <v>954</v>
      </c>
      <c r="B509" t="s">
        <v>96</v>
      </c>
      <c r="C509" t="s">
        <v>45</v>
      </c>
      <c r="D509" t="s">
        <v>26</v>
      </c>
      <c r="E509" t="s">
        <v>27</v>
      </c>
      <c r="F509" t="s">
        <v>28</v>
      </c>
      <c r="G509">
        <v>82080</v>
      </c>
      <c r="H509">
        <v>73825</v>
      </c>
      <c r="I509">
        <v>-8255</v>
      </c>
      <c r="J509" t="s">
        <v>19</v>
      </c>
      <c r="K509" t="s">
        <v>20</v>
      </c>
      <c r="L509" t="s">
        <v>30</v>
      </c>
      <c r="M509" t="s">
        <v>22</v>
      </c>
    </row>
    <row r="510" spans="1:13">
      <c r="A510" t="s">
        <v>955</v>
      </c>
      <c r="B510" t="s">
        <v>956</v>
      </c>
      <c r="C510" t="s">
        <v>25</v>
      </c>
      <c r="D510" t="s">
        <v>26</v>
      </c>
      <c r="E510" t="s">
        <v>71</v>
      </c>
      <c r="F510" t="s">
        <v>72</v>
      </c>
      <c r="G510">
        <v>82422</v>
      </c>
      <c r="H510">
        <v>109624</v>
      </c>
      <c r="I510">
        <v>27202</v>
      </c>
      <c r="J510" t="s">
        <v>37</v>
      </c>
      <c r="K510" t="s">
        <v>20</v>
      </c>
      <c r="L510" t="s">
        <v>68</v>
      </c>
      <c r="M510" t="s">
        <v>22</v>
      </c>
    </row>
    <row r="511" spans="1:13">
      <c r="A511" t="s">
        <v>957</v>
      </c>
      <c r="B511" t="s">
        <v>359</v>
      </c>
      <c r="C511" t="s">
        <v>15</v>
      </c>
      <c r="D511" t="s">
        <v>61</v>
      </c>
      <c r="E511" t="s">
        <v>35</v>
      </c>
      <c r="F511" t="s">
        <v>36</v>
      </c>
      <c r="G511">
        <v>283017</v>
      </c>
      <c r="H511">
        <v>291210</v>
      </c>
      <c r="I511">
        <v>8193</v>
      </c>
      <c r="J511" t="s">
        <v>54</v>
      </c>
      <c r="K511" t="s">
        <v>48</v>
      </c>
      <c r="L511" t="s">
        <v>68</v>
      </c>
      <c r="M511" t="s">
        <v>22</v>
      </c>
    </row>
    <row r="512" spans="1:13">
      <c r="A512" t="s">
        <v>958</v>
      </c>
      <c r="B512" t="s">
        <v>959</v>
      </c>
      <c r="C512" t="s">
        <v>45</v>
      </c>
      <c r="D512" t="s">
        <v>61</v>
      </c>
      <c r="E512" t="s">
        <v>85</v>
      </c>
      <c r="F512" t="s">
        <v>86</v>
      </c>
      <c r="G512">
        <v>479580</v>
      </c>
      <c r="H512">
        <v>582035</v>
      </c>
      <c r="I512">
        <v>102455</v>
      </c>
      <c r="J512" t="s">
        <v>54</v>
      </c>
      <c r="K512" t="s">
        <v>48</v>
      </c>
      <c r="L512" t="s">
        <v>49</v>
      </c>
      <c r="M512" t="s">
        <v>22</v>
      </c>
    </row>
    <row r="513" spans="1:13">
      <c r="A513" t="s">
        <v>960</v>
      </c>
      <c r="B513" t="s">
        <v>961</v>
      </c>
      <c r="C513" t="s">
        <v>35</v>
      </c>
      <c r="D513" t="s">
        <v>26</v>
      </c>
      <c r="E513" t="s">
        <v>46</v>
      </c>
      <c r="F513" t="s">
        <v>47</v>
      </c>
      <c r="G513">
        <v>159823</v>
      </c>
      <c r="H513">
        <v>153872</v>
      </c>
      <c r="I513">
        <v>-5951</v>
      </c>
      <c r="J513" t="s">
        <v>19</v>
      </c>
      <c r="K513" t="s">
        <v>41</v>
      </c>
      <c r="L513" t="s">
        <v>21</v>
      </c>
      <c r="M513" t="s">
        <v>42</v>
      </c>
    </row>
    <row r="514" spans="1:13">
      <c r="A514" t="s">
        <v>962</v>
      </c>
      <c r="B514" t="s">
        <v>963</v>
      </c>
      <c r="C514" t="s">
        <v>35</v>
      </c>
      <c r="D514" t="s">
        <v>61</v>
      </c>
      <c r="E514" t="s">
        <v>17</v>
      </c>
      <c r="F514" t="s">
        <v>18</v>
      </c>
      <c r="G514">
        <v>276555</v>
      </c>
      <c r="H514">
        <v>269635</v>
      </c>
      <c r="I514">
        <v>-6920</v>
      </c>
      <c r="J514" t="s">
        <v>37</v>
      </c>
      <c r="K514" t="s">
        <v>20</v>
      </c>
      <c r="L514" t="s">
        <v>21</v>
      </c>
      <c r="M514" t="s">
        <v>42</v>
      </c>
    </row>
    <row r="515" spans="1:13">
      <c r="A515" t="s">
        <v>964</v>
      </c>
      <c r="B515" t="s">
        <v>460</v>
      </c>
      <c r="C515" t="s">
        <v>45</v>
      </c>
      <c r="D515" t="s">
        <v>61</v>
      </c>
      <c r="E515" t="s">
        <v>46</v>
      </c>
      <c r="F515" t="s">
        <v>47</v>
      </c>
      <c r="G515">
        <v>300373</v>
      </c>
      <c r="H515">
        <v>279893</v>
      </c>
      <c r="I515">
        <v>-20480</v>
      </c>
      <c r="J515" t="s">
        <v>19</v>
      </c>
      <c r="K515" t="s">
        <v>67</v>
      </c>
      <c r="L515" t="s">
        <v>30</v>
      </c>
      <c r="M515" t="s">
        <v>42</v>
      </c>
    </row>
    <row r="516" spans="1:13">
      <c r="A516" t="s">
        <v>965</v>
      </c>
      <c r="B516" t="s">
        <v>966</v>
      </c>
      <c r="C516" t="s">
        <v>35</v>
      </c>
      <c r="D516" t="s">
        <v>61</v>
      </c>
      <c r="E516" t="s">
        <v>17</v>
      </c>
      <c r="F516" t="s">
        <v>18</v>
      </c>
      <c r="G516">
        <v>349342</v>
      </c>
      <c r="H516">
        <v>418697</v>
      </c>
      <c r="I516">
        <v>69355</v>
      </c>
      <c r="J516" t="s">
        <v>37</v>
      </c>
      <c r="K516" t="s">
        <v>29</v>
      </c>
      <c r="L516" t="s">
        <v>21</v>
      </c>
      <c r="M516" t="s">
        <v>22</v>
      </c>
    </row>
    <row r="517" spans="1:13">
      <c r="A517" t="s">
        <v>967</v>
      </c>
      <c r="B517" t="s">
        <v>764</v>
      </c>
      <c r="C517" t="s">
        <v>45</v>
      </c>
      <c r="D517" t="s">
        <v>16</v>
      </c>
      <c r="E517" t="s">
        <v>17</v>
      </c>
      <c r="F517" t="s">
        <v>18</v>
      </c>
      <c r="G517">
        <v>257826</v>
      </c>
      <c r="H517">
        <v>251871</v>
      </c>
      <c r="I517">
        <v>-5955</v>
      </c>
      <c r="J517" t="s">
        <v>54</v>
      </c>
      <c r="K517" t="s">
        <v>48</v>
      </c>
      <c r="L517" t="s">
        <v>49</v>
      </c>
      <c r="M517" t="s">
        <v>42</v>
      </c>
    </row>
    <row r="518" spans="1:13">
      <c r="A518" t="s">
        <v>968</v>
      </c>
      <c r="B518" t="s">
        <v>257</v>
      </c>
      <c r="C518" t="s">
        <v>45</v>
      </c>
      <c r="D518" t="s">
        <v>61</v>
      </c>
      <c r="E518" t="s">
        <v>35</v>
      </c>
      <c r="F518" t="s">
        <v>36</v>
      </c>
      <c r="G518">
        <v>467616</v>
      </c>
      <c r="H518">
        <v>561860</v>
      </c>
      <c r="I518">
        <v>94244</v>
      </c>
      <c r="J518" t="s">
        <v>54</v>
      </c>
      <c r="K518" t="s">
        <v>20</v>
      </c>
      <c r="L518" t="s">
        <v>68</v>
      </c>
      <c r="M518" t="s">
        <v>42</v>
      </c>
    </row>
    <row r="519" spans="1:13">
      <c r="A519" t="s">
        <v>969</v>
      </c>
      <c r="B519" t="s">
        <v>970</v>
      </c>
      <c r="C519" t="s">
        <v>33</v>
      </c>
      <c r="D519" t="s">
        <v>34</v>
      </c>
      <c r="E519" t="s">
        <v>46</v>
      </c>
      <c r="F519" t="s">
        <v>47</v>
      </c>
      <c r="G519">
        <v>221689</v>
      </c>
      <c r="H519">
        <v>223597</v>
      </c>
      <c r="I519">
        <v>1908</v>
      </c>
      <c r="J519" t="s">
        <v>19</v>
      </c>
      <c r="K519" t="s">
        <v>48</v>
      </c>
      <c r="L519" t="s">
        <v>68</v>
      </c>
      <c r="M519" t="s">
        <v>22</v>
      </c>
    </row>
    <row r="520" spans="1:13">
      <c r="A520" t="s">
        <v>971</v>
      </c>
      <c r="B520" t="s">
        <v>748</v>
      </c>
      <c r="C520" t="s">
        <v>45</v>
      </c>
      <c r="D520" t="s">
        <v>26</v>
      </c>
      <c r="E520" t="s">
        <v>46</v>
      </c>
      <c r="F520" t="s">
        <v>47</v>
      </c>
      <c r="G520">
        <v>478223</v>
      </c>
      <c r="H520">
        <v>587289</v>
      </c>
      <c r="I520">
        <v>109066</v>
      </c>
      <c r="J520" t="s">
        <v>54</v>
      </c>
      <c r="K520" t="s">
        <v>41</v>
      </c>
      <c r="L520" t="s">
        <v>68</v>
      </c>
      <c r="M520" t="s">
        <v>42</v>
      </c>
    </row>
    <row r="521" spans="1:13">
      <c r="A521" t="s">
        <v>972</v>
      </c>
      <c r="B521" t="s">
        <v>51</v>
      </c>
      <c r="C521" t="s">
        <v>64</v>
      </c>
      <c r="D521" t="s">
        <v>40</v>
      </c>
      <c r="E521" t="s">
        <v>35</v>
      </c>
      <c r="F521" t="s">
        <v>36</v>
      </c>
      <c r="G521">
        <v>398680</v>
      </c>
      <c r="H521">
        <v>497061</v>
      </c>
      <c r="I521">
        <v>98381</v>
      </c>
      <c r="J521" t="s">
        <v>19</v>
      </c>
      <c r="K521" t="s">
        <v>67</v>
      </c>
      <c r="L521" t="s">
        <v>49</v>
      </c>
      <c r="M521" t="s">
        <v>22</v>
      </c>
    </row>
    <row r="522" spans="1:13">
      <c r="A522" t="s">
        <v>973</v>
      </c>
      <c r="B522" t="s">
        <v>974</v>
      </c>
      <c r="C522" t="s">
        <v>45</v>
      </c>
      <c r="D522" t="s">
        <v>40</v>
      </c>
      <c r="E522" t="s">
        <v>35</v>
      </c>
      <c r="F522" t="s">
        <v>36</v>
      </c>
      <c r="G522">
        <v>280295</v>
      </c>
      <c r="H522">
        <v>341584</v>
      </c>
      <c r="I522">
        <v>61289</v>
      </c>
      <c r="J522" t="s">
        <v>54</v>
      </c>
      <c r="K522" t="s">
        <v>20</v>
      </c>
      <c r="L522" t="s">
        <v>21</v>
      </c>
      <c r="M522" t="s">
        <v>42</v>
      </c>
    </row>
    <row r="523" spans="1:13">
      <c r="A523" t="s">
        <v>975</v>
      </c>
      <c r="B523" t="s">
        <v>976</v>
      </c>
      <c r="C523" t="s">
        <v>15</v>
      </c>
      <c r="D523" t="s">
        <v>16</v>
      </c>
      <c r="E523" t="s">
        <v>27</v>
      </c>
      <c r="F523" t="s">
        <v>28</v>
      </c>
      <c r="G523">
        <v>391875</v>
      </c>
      <c r="H523">
        <v>327433</v>
      </c>
      <c r="I523">
        <v>-64442</v>
      </c>
      <c r="J523" t="s">
        <v>19</v>
      </c>
      <c r="K523" t="s">
        <v>67</v>
      </c>
      <c r="L523" t="s">
        <v>30</v>
      </c>
      <c r="M523" t="s">
        <v>22</v>
      </c>
    </row>
    <row r="524" spans="1:13">
      <c r="A524" t="s">
        <v>977</v>
      </c>
      <c r="B524" t="s">
        <v>966</v>
      </c>
      <c r="C524" t="s">
        <v>25</v>
      </c>
      <c r="D524" t="s">
        <v>61</v>
      </c>
      <c r="E524" t="s">
        <v>71</v>
      </c>
      <c r="F524" t="s">
        <v>72</v>
      </c>
      <c r="G524">
        <v>271178</v>
      </c>
      <c r="H524">
        <v>201849</v>
      </c>
      <c r="I524">
        <v>-69329</v>
      </c>
      <c r="J524" t="s">
        <v>37</v>
      </c>
      <c r="K524" t="s">
        <v>20</v>
      </c>
      <c r="L524" t="s">
        <v>49</v>
      </c>
      <c r="M524" t="s">
        <v>22</v>
      </c>
    </row>
    <row r="525" spans="1:13">
      <c r="A525" t="s">
        <v>978</v>
      </c>
      <c r="B525" t="s">
        <v>451</v>
      </c>
      <c r="C525" t="s">
        <v>25</v>
      </c>
      <c r="D525" t="s">
        <v>61</v>
      </c>
      <c r="E525" t="s">
        <v>46</v>
      </c>
      <c r="F525" t="s">
        <v>47</v>
      </c>
      <c r="G525">
        <v>406635</v>
      </c>
      <c r="H525">
        <v>336139</v>
      </c>
      <c r="I525">
        <v>-70496</v>
      </c>
      <c r="J525" t="s">
        <v>54</v>
      </c>
      <c r="K525" t="s">
        <v>48</v>
      </c>
      <c r="L525" t="s">
        <v>68</v>
      </c>
      <c r="M525" t="s">
        <v>22</v>
      </c>
    </row>
    <row r="526" spans="1:13">
      <c r="A526" t="s">
        <v>979</v>
      </c>
      <c r="B526" t="s">
        <v>142</v>
      </c>
      <c r="C526" t="s">
        <v>64</v>
      </c>
      <c r="D526" t="s">
        <v>34</v>
      </c>
      <c r="E526" t="s">
        <v>35</v>
      </c>
      <c r="F526" t="s">
        <v>36</v>
      </c>
      <c r="G526">
        <v>69494</v>
      </c>
      <c r="H526">
        <v>80593</v>
      </c>
      <c r="I526">
        <v>11099</v>
      </c>
      <c r="J526" t="s">
        <v>19</v>
      </c>
      <c r="K526" t="s">
        <v>41</v>
      </c>
      <c r="L526" t="s">
        <v>49</v>
      </c>
      <c r="M526" t="s">
        <v>42</v>
      </c>
    </row>
    <row r="527" spans="1:13">
      <c r="A527" t="s">
        <v>980</v>
      </c>
      <c r="B527" t="s">
        <v>512</v>
      </c>
      <c r="C527" t="s">
        <v>25</v>
      </c>
      <c r="D527" t="s">
        <v>40</v>
      </c>
      <c r="E527" t="s">
        <v>71</v>
      </c>
      <c r="F527" t="s">
        <v>72</v>
      </c>
      <c r="G527">
        <v>355510</v>
      </c>
      <c r="H527">
        <v>319871</v>
      </c>
      <c r="I527">
        <v>-35639</v>
      </c>
      <c r="J527" t="s">
        <v>19</v>
      </c>
      <c r="K527" t="s">
        <v>29</v>
      </c>
      <c r="L527" t="s">
        <v>68</v>
      </c>
      <c r="M527" t="s">
        <v>22</v>
      </c>
    </row>
    <row r="528" spans="1:13">
      <c r="A528" t="s">
        <v>981</v>
      </c>
      <c r="B528" t="s">
        <v>328</v>
      </c>
      <c r="C528" t="s">
        <v>64</v>
      </c>
      <c r="D528" t="s">
        <v>61</v>
      </c>
      <c r="E528" t="s">
        <v>46</v>
      </c>
      <c r="F528" t="s">
        <v>47</v>
      </c>
      <c r="G528">
        <v>171163</v>
      </c>
      <c r="H528">
        <v>127028</v>
      </c>
      <c r="I528">
        <v>-44135</v>
      </c>
      <c r="J528" t="s">
        <v>19</v>
      </c>
      <c r="K528" t="s">
        <v>48</v>
      </c>
      <c r="L528" t="s">
        <v>21</v>
      </c>
      <c r="M528" t="s">
        <v>22</v>
      </c>
    </row>
    <row r="529" spans="1:13">
      <c r="A529" t="s">
        <v>982</v>
      </c>
      <c r="B529" t="s">
        <v>983</v>
      </c>
      <c r="C529" t="s">
        <v>64</v>
      </c>
      <c r="D529" t="s">
        <v>34</v>
      </c>
      <c r="E529" t="s">
        <v>71</v>
      </c>
      <c r="F529" t="s">
        <v>72</v>
      </c>
      <c r="G529">
        <v>436530</v>
      </c>
      <c r="H529">
        <v>574964</v>
      </c>
      <c r="I529">
        <v>138434</v>
      </c>
      <c r="J529" t="s">
        <v>54</v>
      </c>
      <c r="K529" t="s">
        <v>48</v>
      </c>
      <c r="L529" t="s">
        <v>30</v>
      </c>
      <c r="M529" t="s">
        <v>22</v>
      </c>
    </row>
    <row r="530" spans="1:13">
      <c r="A530" t="s">
        <v>984</v>
      </c>
      <c r="B530" t="s">
        <v>985</v>
      </c>
      <c r="C530" t="s">
        <v>64</v>
      </c>
      <c r="D530" t="s">
        <v>40</v>
      </c>
      <c r="E530" t="s">
        <v>71</v>
      </c>
      <c r="F530" t="s">
        <v>72</v>
      </c>
      <c r="G530">
        <v>185167</v>
      </c>
      <c r="H530">
        <v>204986</v>
      </c>
      <c r="I530">
        <v>19819</v>
      </c>
      <c r="J530" t="s">
        <v>54</v>
      </c>
      <c r="K530" t="s">
        <v>48</v>
      </c>
      <c r="L530" t="s">
        <v>68</v>
      </c>
      <c r="M530" t="s">
        <v>42</v>
      </c>
    </row>
    <row r="531" spans="1:13">
      <c r="A531" t="s">
        <v>986</v>
      </c>
      <c r="B531" t="s">
        <v>987</v>
      </c>
      <c r="C531" t="s">
        <v>35</v>
      </c>
      <c r="D531" t="s">
        <v>61</v>
      </c>
      <c r="E531" t="s">
        <v>27</v>
      </c>
      <c r="F531" t="s">
        <v>28</v>
      </c>
      <c r="G531">
        <v>226233</v>
      </c>
      <c r="H531">
        <v>275822</v>
      </c>
      <c r="I531">
        <v>49589</v>
      </c>
      <c r="J531" t="s">
        <v>54</v>
      </c>
      <c r="K531" t="s">
        <v>20</v>
      </c>
      <c r="L531" t="s">
        <v>21</v>
      </c>
      <c r="M531" t="s">
        <v>42</v>
      </c>
    </row>
    <row r="532" spans="1:13">
      <c r="A532" t="s">
        <v>988</v>
      </c>
      <c r="B532" t="s">
        <v>369</v>
      </c>
      <c r="C532" t="s">
        <v>25</v>
      </c>
      <c r="D532" t="s">
        <v>61</v>
      </c>
      <c r="E532" t="s">
        <v>17</v>
      </c>
      <c r="F532" t="s">
        <v>18</v>
      </c>
      <c r="G532">
        <v>188154</v>
      </c>
      <c r="H532">
        <v>150012</v>
      </c>
      <c r="I532">
        <v>-38142</v>
      </c>
      <c r="J532" t="s">
        <v>37</v>
      </c>
      <c r="K532" t="s">
        <v>29</v>
      </c>
      <c r="L532" t="s">
        <v>68</v>
      </c>
      <c r="M532" t="s">
        <v>22</v>
      </c>
    </row>
    <row r="533" spans="1:13">
      <c r="A533" t="s">
        <v>989</v>
      </c>
      <c r="B533" t="s">
        <v>990</v>
      </c>
      <c r="C533" t="s">
        <v>15</v>
      </c>
      <c r="D533" t="s">
        <v>34</v>
      </c>
      <c r="E533" t="s">
        <v>46</v>
      </c>
      <c r="F533" t="s">
        <v>47</v>
      </c>
      <c r="G533">
        <v>421860</v>
      </c>
      <c r="H533">
        <v>525386</v>
      </c>
      <c r="I533">
        <v>103526</v>
      </c>
      <c r="J533" t="s">
        <v>54</v>
      </c>
      <c r="K533" t="s">
        <v>41</v>
      </c>
      <c r="L533" t="s">
        <v>68</v>
      </c>
      <c r="M533" t="s">
        <v>22</v>
      </c>
    </row>
    <row r="534" spans="1:13">
      <c r="A534" t="s">
        <v>991</v>
      </c>
      <c r="B534" t="s">
        <v>992</v>
      </c>
      <c r="C534" t="s">
        <v>25</v>
      </c>
      <c r="D534" t="s">
        <v>40</v>
      </c>
      <c r="E534" t="s">
        <v>85</v>
      </c>
      <c r="F534" t="s">
        <v>86</v>
      </c>
      <c r="G534">
        <v>123494</v>
      </c>
      <c r="H534">
        <v>160998</v>
      </c>
      <c r="I534">
        <v>37504</v>
      </c>
      <c r="J534" t="s">
        <v>37</v>
      </c>
      <c r="K534" t="s">
        <v>20</v>
      </c>
      <c r="L534" t="s">
        <v>68</v>
      </c>
      <c r="M534" t="s">
        <v>42</v>
      </c>
    </row>
    <row r="535" spans="1:13">
      <c r="A535" t="s">
        <v>993</v>
      </c>
      <c r="B535" t="s">
        <v>808</v>
      </c>
      <c r="C535" t="s">
        <v>15</v>
      </c>
      <c r="D535" t="s">
        <v>61</v>
      </c>
      <c r="E535" t="s">
        <v>35</v>
      </c>
      <c r="F535" t="s">
        <v>36</v>
      </c>
      <c r="G535">
        <v>94240</v>
      </c>
      <c r="H535">
        <v>89037</v>
      </c>
      <c r="I535">
        <v>-5203</v>
      </c>
      <c r="J535" t="s">
        <v>19</v>
      </c>
      <c r="K535" t="s">
        <v>29</v>
      </c>
      <c r="L535" t="s">
        <v>30</v>
      </c>
      <c r="M535" t="s">
        <v>42</v>
      </c>
    </row>
    <row r="536" spans="1:13">
      <c r="A536" t="s">
        <v>994</v>
      </c>
      <c r="B536" t="s">
        <v>995</v>
      </c>
      <c r="C536" t="s">
        <v>15</v>
      </c>
      <c r="D536" t="s">
        <v>16</v>
      </c>
      <c r="E536" t="s">
        <v>17</v>
      </c>
      <c r="F536" t="s">
        <v>18</v>
      </c>
      <c r="G536">
        <v>207218</v>
      </c>
      <c r="H536">
        <v>224373</v>
      </c>
      <c r="I536">
        <v>17155</v>
      </c>
      <c r="J536" t="s">
        <v>54</v>
      </c>
      <c r="K536" t="s">
        <v>29</v>
      </c>
      <c r="L536" t="s">
        <v>68</v>
      </c>
      <c r="M536" t="s">
        <v>42</v>
      </c>
    </row>
    <row r="537" spans="1:13">
      <c r="A537" t="s">
        <v>996</v>
      </c>
      <c r="B537" t="s">
        <v>997</v>
      </c>
      <c r="C537" t="s">
        <v>64</v>
      </c>
      <c r="D537" t="s">
        <v>26</v>
      </c>
      <c r="E537" t="s">
        <v>17</v>
      </c>
      <c r="F537" t="s">
        <v>18</v>
      </c>
      <c r="G537">
        <v>422648</v>
      </c>
      <c r="H537">
        <v>411551</v>
      </c>
      <c r="I537">
        <v>-11097</v>
      </c>
      <c r="J537" t="s">
        <v>37</v>
      </c>
      <c r="K537" t="s">
        <v>41</v>
      </c>
      <c r="L537" t="s">
        <v>21</v>
      </c>
      <c r="M537" t="s">
        <v>22</v>
      </c>
    </row>
    <row r="538" spans="1:13">
      <c r="A538" t="s">
        <v>998</v>
      </c>
      <c r="B538" t="s">
        <v>859</v>
      </c>
      <c r="C538" t="s">
        <v>35</v>
      </c>
      <c r="D538" t="s">
        <v>34</v>
      </c>
      <c r="E538" t="s">
        <v>17</v>
      </c>
      <c r="F538" t="s">
        <v>18</v>
      </c>
      <c r="G538">
        <v>452220</v>
      </c>
      <c r="H538">
        <v>381960</v>
      </c>
      <c r="I538">
        <v>-70260</v>
      </c>
      <c r="J538" t="s">
        <v>19</v>
      </c>
      <c r="K538" t="s">
        <v>41</v>
      </c>
      <c r="L538" t="s">
        <v>21</v>
      </c>
      <c r="M538" t="s">
        <v>42</v>
      </c>
    </row>
    <row r="539" spans="1:13">
      <c r="A539" t="s">
        <v>999</v>
      </c>
      <c r="B539" t="s">
        <v>385</v>
      </c>
      <c r="C539" t="s">
        <v>45</v>
      </c>
      <c r="D539" t="s">
        <v>16</v>
      </c>
      <c r="E539" t="s">
        <v>46</v>
      </c>
      <c r="F539" t="s">
        <v>47</v>
      </c>
      <c r="G539">
        <v>418610</v>
      </c>
      <c r="H539">
        <v>510173</v>
      </c>
      <c r="I539">
        <v>91563</v>
      </c>
      <c r="J539" t="s">
        <v>37</v>
      </c>
      <c r="K539" t="s">
        <v>41</v>
      </c>
      <c r="L539" t="s">
        <v>49</v>
      </c>
      <c r="M539" t="s">
        <v>22</v>
      </c>
    </row>
    <row r="540" spans="1:13">
      <c r="A540" t="s">
        <v>1000</v>
      </c>
      <c r="B540" t="s">
        <v>1001</v>
      </c>
      <c r="C540" t="s">
        <v>33</v>
      </c>
      <c r="D540" t="s">
        <v>40</v>
      </c>
      <c r="E540" t="s">
        <v>85</v>
      </c>
      <c r="F540" t="s">
        <v>86</v>
      </c>
      <c r="G540">
        <v>91070</v>
      </c>
      <c r="H540">
        <v>123383</v>
      </c>
      <c r="I540">
        <v>32313</v>
      </c>
      <c r="J540" t="s">
        <v>54</v>
      </c>
      <c r="K540" t="s">
        <v>67</v>
      </c>
      <c r="L540" t="s">
        <v>49</v>
      </c>
      <c r="M540" t="s">
        <v>42</v>
      </c>
    </row>
    <row r="541" spans="1:13">
      <c r="A541" t="s">
        <v>1002</v>
      </c>
      <c r="B541" t="s">
        <v>223</v>
      </c>
      <c r="C541" t="s">
        <v>64</v>
      </c>
      <c r="D541" t="s">
        <v>34</v>
      </c>
      <c r="E541" t="s">
        <v>17</v>
      </c>
      <c r="F541" t="s">
        <v>18</v>
      </c>
      <c r="G541">
        <v>134593</v>
      </c>
      <c r="H541">
        <v>180561</v>
      </c>
      <c r="I541">
        <v>45968</v>
      </c>
      <c r="J541" t="s">
        <v>19</v>
      </c>
      <c r="K541" t="s">
        <v>20</v>
      </c>
      <c r="L541" t="s">
        <v>30</v>
      </c>
      <c r="M541" t="s">
        <v>22</v>
      </c>
    </row>
    <row r="542" spans="1:13">
      <c r="A542" t="s">
        <v>1003</v>
      </c>
      <c r="B542" t="s">
        <v>1004</v>
      </c>
      <c r="C542" t="s">
        <v>33</v>
      </c>
      <c r="D542" t="s">
        <v>61</v>
      </c>
      <c r="E542" t="s">
        <v>35</v>
      </c>
      <c r="F542" t="s">
        <v>36</v>
      </c>
      <c r="G542">
        <v>359354</v>
      </c>
      <c r="H542">
        <v>395263</v>
      </c>
      <c r="I542">
        <v>35909</v>
      </c>
      <c r="J542" t="s">
        <v>54</v>
      </c>
      <c r="K542" t="s">
        <v>29</v>
      </c>
      <c r="L542" t="s">
        <v>21</v>
      </c>
      <c r="M542" t="s">
        <v>22</v>
      </c>
    </row>
    <row r="543" spans="1:13">
      <c r="A543" t="s">
        <v>1005</v>
      </c>
      <c r="B543" t="s">
        <v>1006</v>
      </c>
      <c r="C543" t="s">
        <v>15</v>
      </c>
      <c r="D543" t="s">
        <v>34</v>
      </c>
      <c r="E543" t="s">
        <v>17</v>
      </c>
      <c r="F543" t="s">
        <v>18</v>
      </c>
      <c r="G543">
        <v>253051</v>
      </c>
      <c r="H543">
        <v>209637</v>
      </c>
      <c r="I543">
        <v>-43414</v>
      </c>
      <c r="J543" t="s">
        <v>37</v>
      </c>
      <c r="K543" t="s">
        <v>29</v>
      </c>
      <c r="L543" t="s">
        <v>68</v>
      </c>
      <c r="M543" t="s">
        <v>42</v>
      </c>
    </row>
    <row r="544" spans="1:13">
      <c r="A544" t="s">
        <v>1007</v>
      </c>
      <c r="B544" t="s">
        <v>1008</v>
      </c>
      <c r="C544" t="s">
        <v>33</v>
      </c>
      <c r="D544" t="s">
        <v>40</v>
      </c>
      <c r="E544" t="s">
        <v>71</v>
      </c>
      <c r="F544" t="s">
        <v>72</v>
      </c>
      <c r="G544">
        <v>167055</v>
      </c>
      <c r="H544">
        <v>146243</v>
      </c>
      <c r="I544">
        <v>-20812</v>
      </c>
      <c r="J544" t="s">
        <v>19</v>
      </c>
      <c r="K544" t="s">
        <v>29</v>
      </c>
      <c r="L544" t="s">
        <v>30</v>
      </c>
      <c r="M544" t="s">
        <v>42</v>
      </c>
    </row>
    <row r="545" spans="1:13">
      <c r="A545" t="s">
        <v>1009</v>
      </c>
      <c r="B545" t="s">
        <v>1010</v>
      </c>
      <c r="C545" t="s">
        <v>15</v>
      </c>
      <c r="D545" t="s">
        <v>26</v>
      </c>
      <c r="E545" t="s">
        <v>35</v>
      </c>
      <c r="F545" t="s">
        <v>36</v>
      </c>
      <c r="G545">
        <v>149223</v>
      </c>
      <c r="H545">
        <v>190419</v>
      </c>
      <c r="I545">
        <v>41196</v>
      </c>
      <c r="J545" t="s">
        <v>54</v>
      </c>
      <c r="K545" t="s">
        <v>67</v>
      </c>
      <c r="L545" t="s">
        <v>30</v>
      </c>
      <c r="M545" t="s">
        <v>42</v>
      </c>
    </row>
    <row r="546" spans="1:13">
      <c r="A546" t="s">
        <v>1011</v>
      </c>
      <c r="B546" t="s">
        <v>1012</v>
      </c>
      <c r="C546" t="s">
        <v>25</v>
      </c>
      <c r="D546" t="s">
        <v>40</v>
      </c>
      <c r="E546" t="s">
        <v>17</v>
      </c>
      <c r="F546" t="s">
        <v>18</v>
      </c>
      <c r="G546">
        <v>168208</v>
      </c>
      <c r="H546">
        <v>208879</v>
      </c>
      <c r="I546">
        <v>40671</v>
      </c>
      <c r="J546" t="s">
        <v>37</v>
      </c>
      <c r="K546" t="s">
        <v>41</v>
      </c>
      <c r="L546" t="s">
        <v>68</v>
      </c>
      <c r="M546" t="s">
        <v>22</v>
      </c>
    </row>
    <row r="547" spans="1:13">
      <c r="A547" t="s">
        <v>1013</v>
      </c>
      <c r="B547" t="s">
        <v>1014</v>
      </c>
      <c r="C547" t="s">
        <v>35</v>
      </c>
      <c r="D547" t="s">
        <v>26</v>
      </c>
      <c r="E547" t="s">
        <v>46</v>
      </c>
      <c r="F547" t="s">
        <v>47</v>
      </c>
      <c r="G547">
        <v>219101</v>
      </c>
      <c r="H547">
        <v>301470</v>
      </c>
      <c r="I547">
        <v>82369</v>
      </c>
      <c r="J547" t="s">
        <v>54</v>
      </c>
      <c r="K547" t="s">
        <v>29</v>
      </c>
      <c r="L547" t="s">
        <v>30</v>
      </c>
      <c r="M547" t="s">
        <v>22</v>
      </c>
    </row>
    <row r="548" spans="1:13">
      <c r="A548" t="s">
        <v>1015</v>
      </c>
      <c r="B548" t="s">
        <v>1016</v>
      </c>
      <c r="C548" t="s">
        <v>64</v>
      </c>
      <c r="D548" t="s">
        <v>40</v>
      </c>
      <c r="E548" t="s">
        <v>71</v>
      </c>
      <c r="F548" t="s">
        <v>72</v>
      </c>
      <c r="G548">
        <v>325962</v>
      </c>
      <c r="H548">
        <v>354187</v>
      </c>
      <c r="I548">
        <v>28225</v>
      </c>
      <c r="J548" t="s">
        <v>19</v>
      </c>
      <c r="K548" t="s">
        <v>67</v>
      </c>
      <c r="L548" t="s">
        <v>68</v>
      </c>
      <c r="M548" t="s">
        <v>22</v>
      </c>
    </row>
    <row r="549" spans="1:13">
      <c r="A549" t="s">
        <v>1017</v>
      </c>
      <c r="B549" t="s">
        <v>800</v>
      </c>
      <c r="C549" t="s">
        <v>33</v>
      </c>
      <c r="D549" t="s">
        <v>34</v>
      </c>
      <c r="E549" t="s">
        <v>46</v>
      </c>
      <c r="F549" t="s">
        <v>47</v>
      </c>
      <c r="G549">
        <v>286902</v>
      </c>
      <c r="H549">
        <v>374421</v>
      </c>
      <c r="I549">
        <v>87519</v>
      </c>
      <c r="J549" t="s">
        <v>37</v>
      </c>
      <c r="K549" t="s">
        <v>20</v>
      </c>
      <c r="L549" t="s">
        <v>30</v>
      </c>
      <c r="M549" t="s">
        <v>42</v>
      </c>
    </row>
    <row r="550" spans="1:13">
      <c r="A550" t="s">
        <v>1018</v>
      </c>
      <c r="B550" t="s">
        <v>1019</v>
      </c>
      <c r="C550" t="s">
        <v>15</v>
      </c>
      <c r="D550" t="s">
        <v>61</v>
      </c>
      <c r="E550" t="s">
        <v>85</v>
      </c>
      <c r="F550" t="s">
        <v>86</v>
      </c>
      <c r="G550">
        <v>347269</v>
      </c>
      <c r="H550">
        <v>476116</v>
      </c>
      <c r="I550">
        <v>128847</v>
      </c>
      <c r="J550" t="s">
        <v>19</v>
      </c>
      <c r="K550" t="s">
        <v>41</v>
      </c>
      <c r="L550" t="s">
        <v>68</v>
      </c>
      <c r="M550" t="s">
        <v>22</v>
      </c>
    </row>
    <row r="551" spans="1:13">
      <c r="A551" t="s">
        <v>1020</v>
      </c>
      <c r="B551" t="s">
        <v>354</v>
      </c>
      <c r="C551" t="s">
        <v>25</v>
      </c>
      <c r="D551" t="s">
        <v>40</v>
      </c>
      <c r="E551" t="s">
        <v>71</v>
      </c>
      <c r="F551" t="s">
        <v>72</v>
      </c>
      <c r="G551">
        <v>410625</v>
      </c>
      <c r="H551">
        <v>559788</v>
      </c>
      <c r="I551">
        <v>149163</v>
      </c>
      <c r="J551" t="s">
        <v>54</v>
      </c>
      <c r="K551" t="s">
        <v>41</v>
      </c>
      <c r="L551" t="s">
        <v>68</v>
      </c>
      <c r="M551" t="s">
        <v>22</v>
      </c>
    </row>
    <row r="552" spans="1:13">
      <c r="A552" t="s">
        <v>1021</v>
      </c>
      <c r="B552" t="s">
        <v>221</v>
      </c>
      <c r="C552" t="s">
        <v>45</v>
      </c>
      <c r="D552" t="s">
        <v>61</v>
      </c>
      <c r="E552" t="s">
        <v>17</v>
      </c>
      <c r="F552" t="s">
        <v>18</v>
      </c>
      <c r="G552">
        <v>499445</v>
      </c>
      <c r="H552">
        <v>403135</v>
      </c>
      <c r="I552">
        <v>-96310</v>
      </c>
      <c r="J552" t="s">
        <v>54</v>
      </c>
      <c r="K552" t="s">
        <v>41</v>
      </c>
      <c r="L552" t="s">
        <v>68</v>
      </c>
      <c r="M552" t="s">
        <v>22</v>
      </c>
    </row>
    <row r="553" spans="1:13">
      <c r="A553" t="s">
        <v>1022</v>
      </c>
      <c r="B553" t="s">
        <v>1023</v>
      </c>
      <c r="C553" t="s">
        <v>45</v>
      </c>
      <c r="D553" t="s">
        <v>34</v>
      </c>
      <c r="E553" t="s">
        <v>17</v>
      </c>
      <c r="F553" t="s">
        <v>18</v>
      </c>
      <c r="G553">
        <v>476285</v>
      </c>
      <c r="H553">
        <v>421905</v>
      </c>
      <c r="I553">
        <v>-54380</v>
      </c>
      <c r="J553" t="s">
        <v>37</v>
      </c>
      <c r="K553" t="s">
        <v>20</v>
      </c>
      <c r="L553" t="s">
        <v>21</v>
      </c>
      <c r="M553" t="s">
        <v>42</v>
      </c>
    </row>
    <row r="554" spans="1:13">
      <c r="A554" t="s">
        <v>1024</v>
      </c>
      <c r="B554" t="s">
        <v>1025</v>
      </c>
      <c r="C554" t="s">
        <v>33</v>
      </c>
      <c r="D554" t="s">
        <v>16</v>
      </c>
      <c r="E554" t="s">
        <v>17</v>
      </c>
      <c r="F554" t="s">
        <v>18</v>
      </c>
      <c r="G554">
        <v>224816</v>
      </c>
      <c r="H554">
        <v>158953</v>
      </c>
      <c r="I554">
        <v>-65863</v>
      </c>
      <c r="J554" t="s">
        <v>19</v>
      </c>
      <c r="K554" t="s">
        <v>41</v>
      </c>
      <c r="L554" t="s">
        <v>30</v>
      </c>
      <c r="M554" t="s">
        <v>42</v>
      </c>
    </row>
    <row r="555" spans="1:13">
      <c r="A555" t="s">
        <v>1026</v>
      </c>
      <c r="B555" t="s">
        <v>1027</v>
      </c>
      <c r="C555" t="s">
        <v>64</v>
      </c>
      <c r="D555" t="s">
        <v>34</v>
      </c>
      <c r="E555" t="s">
        <v>35</v>
      </c>
      <c r="F555" t="s">
        <v>36</v>
      </c>
      <c r="G555">
        <v>127041</v>
      </c>
      <c r="H555">
        <v>120787</v>
      </c>
      <c r="I555">
        <v>-6254</v>
      </c>
      <c r="J555" t="s">
        <v>37</v>
      </c>
      <c r="K555" t="s">
        <v>20</v>
      </c>
      <c r="L555" t="s">
        <v>49</v>
      </c>
      <c r="M555" t="s">
        <v>42</v>
      </c>
    </row>
    <row r="556" spans="1:13">
      <c r="A556" t="s">
        <v>1028</v>
      </c>
      <c r="B556" t="s">
        <v>956</v>
      </c>
      <c r="C556" t="s">
        <v>64</v>
      </c>
      <c r="D556" t="s">
        <v>34</v>
      </c>
      <c r="E556" t="s">
        <v>85</v>
      </c>
      <c r="F556" t="s">
        <v>86</v>
      </c>
      <c r="G556">
        <v>86981</v>
      </c>
      <c r="H556">
        <v>119459</v>
      </c>
      <c r="I556">
        <v>32478</v>
      </c>
      <c r="J556" t="s">
        <v>19</v>
      </c>
      <c r="K556" t="s">
        <v>41</v>
      </c>
      <c r="L556" t="s">
        <v>68</v>
      </c>
      <c r="M556" t="s">
        <v>22</v>
      </c>
    </row>
    <row r="557" spans="1:13">
      <c r="A557" t="s">
        <v>1029</v>
      </c>
      <c r="B557" t="s">
        <v>1030</v>
      </c>
      <c r="C557" t="s">
        <v>64</v>
      </c>
      <c r="D557" t="s">
        <v>40</v>
      </c>
      <c r="E557" t="s">
        <v>17</v>
      </c>
      <c r="F557" t="s">
        <v>18</v>
      </c>
      <c r="G557">
        <v>81434</v>
      </c>
      <c r="H557">
        <v>60691</v>
      </c>
      <c r="I557">
        <v>-20743</v>
      </c>
      <c r="J557" t="s">
        <v>37</v>
      </c>
      <c r="K557" t="s">
        <v>67</v>
      </c>
      <c r="L557" t="s">
        <v>21</v>
      </c>
      <c r="M557" t="s">
        <v>42</v>
      </c>
    </row>
    <row r="558" spans="1:13">
      <c r="A558" t="s">
        <v>1031</v>
      </c>
      <c r="B558" t="s">
        <v>241</v>
      </c>
      <c r="C558" t="s">
        <v>15</v>
      </c>
      <c r="D558" t="s">
        <v>16</v>
      </c>
      <c r="E558" t="s">
        <v>27</v>
      </c>
      <c r="F558" t="s">
        <v>28</v>
      </c>
      <c r="G558">
        <v>478533</v>
      </c>
      <c r="H558">
        <v>623325</v>
      </c>
      <c r="I558">
        <v>144792</v>
      </c>
      <c r="J558" t="s">
        <v>54</v>
      </c>
      <c r="K558" t="s">
        <v>48</v>
      </c>
      <c r="L558" t="s">
        <v>49</v>
      </c>
      <c r="M558" t="s">
        <v>42</v>
      </c>
    </row>
    <row r="559" spans="1:13">
      <c r="A559" t="s">
        <v>1032</v>
      </c>
      <c r="B559" t="s">
        <v>1033</v>
      </c>
      <c r="C559" t="s">
        <v>45</v>
      </c>
      <c r="D559" t="s">
        <v>61</v>
      </c>
      <c r="E559" t="s">
        <v>85</v>
      </c>
      <c r="F559" t="s">
        <v>86</v>
      </c>
      <c r="G559">
        <v>472333</v>
      </c>
      <c r="H559">
        <v>405110</v>
      </c>
      <c r="I559">
        <v>-67223</v>
      </c>
      <c r="J559" t="s">
        <v>19</v>
      </c>
      <c r="K559" t="s">
        <v>20</v>
      </c>
      <c r="L559" t="s">
        <v>49</v>
      </c>
      <c r="M559" t="s">
        <v>22</v>
      </c>
    </row>
    <row r="560" spans="1:13">
      <c r="A560" t="s">
        <v>1034</v>
      </c>
      <c r="B560" t="s">
        <v>940</v>
      </c>
      <c r="C560" t="s">
        <v>15</v>
      </c>
      <c r="D560" t="s">
        <v>34</v>
      </c>
      <c r="E560" t="s">
        <v>27</v>
      </c>
      <c r="F560" t="s">
        <v>28</v>
      </c>
      <c r="G560">
        <v>282720</v>
      </c>
      <c r="H560">
        <v>203202</v>
      </c>
      <c r="I560">
        <v>-79518</v>
      </c>
      <c r="J560" t="s">
        <v>37</v>
      </c>
      <c r="K560" t="s">
        <v>48</v>
      </c>
      <c r="L560" t="s">
        <v>30</v>
      </c>
      <c r="M560" t="s">
        <v>22</v>
      </c>
    </row>
    <row r="561" spans="1:13">
      <c r="A561" t="s">
        <v>1035</v>
      </c>
      <c r="B561" t="s">
        <v>584</v>
      </c>
      <c r="C561" t="s">
        <v>45</v>
      </c>
      <c r="D561" t="s">
        <v>16</v>
      </c>
      <c r="E561" t="s">
        <v>17</v>
      </c>
      <c r="F561" t="s">
        <v>18</v>
      </c>
      <c r="G561">
        <v>435878</v>
      </c>
      <c r="H561">
        <v>374860</v>
      </c>
      <c r="I561">
        <v>-61018</v>
      </c>
      <c r="J561" t="s">
        <v>54</v>
      </c>
      <c r="K561" t="s">
        <v>29</v>
      </c>
      <c r="L561" t="s">
        <v>21</v>
      </c>
      <c r="M561" t="s">
        <v>42</v>
      </c>
    </row>
    <row r="562" spans="1:13">
      <c r="A562" t="s">
        <v>1036</v>
      </c>
      <c r="B562" t="s">
        <v>1037</v>
      </c>
      <c r="C562" t="s">
        <v>35</v>
      </c>
      <c r="D562" t="s">
        <v>40</v>
      </c>
      <c r="E562" t="s">
        <v>71</v>
      </c>
      <c r="F562" t="s">
        <v>72</v>
      </c>
      <c r="G562">
        <v>216468</v>
      </c>
      <c r="H562">
        <v>258971</v>
      </c>
      <c r="I562">
        <v>42503</v>
      </c>
      <c r="J562" t="s">
        <v>54</v>
      </c>
      <c r="K562" t="s">
        <v>48</v>
      </c>
      <c r="L562" t="s">
        <v>68</v>
      </c>
      <c r="M562" t="s">
        <v>42</v>
      </c>
    </row>
    <row r="563" spans="1:13">
      <c r="A563" t="s">
        <v>1038</v>
      </c>
      <c r="B563" t="s">
        <v>295</v>
      </c>
      <c r="C563" t="s">
        <v>45</v>
      </c>
      <c r="D563" t="s">
        <v>61</v>
      </c>
      <c r="E563" t="s">
        <v>85</v>
      </c>
      <c r="F563" t="s">
        <v>86</v>
      </c>
      <c r="G563">
        <v>453998</v>
      </c>
      <c r="H563">
        <v>625092</v>
      </c>
      <c r="I563">
        <v>171094</v>
      </c>
      <c r="J563" t="s">
        <v>54</v>
      </c>
      <c r="K563" t="s">
        <v>29</v>
      </c>
      <c r="L563" t="s">
        <v>68</v>
      </c>
      <c r="M563" t="s">
        <v>42</v>
      </c>
    </row>
    <row r="564" spans="1:13">
      <c r="A564" t="s">
        <v>1039</v>
      </c>
      <c r="B564" t="s">
        <v>1040</v>
      </c>
      <c r="C564" t="s">
        <v>33</v>
      </c>
      <c r="D564" t="s">
        <v>34</v>
      </c>
      <c r="E564" t="s">
        <v>17</v>
      </c>
      <c r="F564" t="s">
        <v>18</v>
      </c>
      <c r="G564">
        <v>280170</v>
      </c>
      <c r="H564">
        <v>283364</v>
      </c>
      <c r="I564">
        <v>3194</v>
      </c>
      <c r="J564" t="s">
        <v>54</v>
      </c>
      <c r="K564" t="s">
        <v>41</v>
      </c>
      <c r="L564" t="s">
        <v>49</v>
      </c>
      <c r="M564" t="s">
        <v>22</v>
      </c>
    </row>
    <row r="565" spans="1:13">
      <c r="A565" t="s">
        <v>1041</v>
      </c>
      <c r="B565" t="s">
        <v>1042</v>
      </c>
      <c r="C565" t="s">
        <v>25</v>
      </c>
      <c r="D565" t="s">
        <v>61</v>
      </c>
      <c r="E565" t="s">
        <v>27</v>
      </c>
      <c r="F565" t="s">
        <v>28</v>
      </c>
      <c r="G565">
        <v>135728</v>
      </c>
      <c r="H565">
        <v>122742</v>
      </c>
      <c r="I565">
        <v>-12986</v>
      </c>
      <c r="J565" t="s">
        <v>37</v>
      </c>
      <c r="K565" t="s">
        <v>29</v>
      </c>
      <c r="L565" t="s">
        <v>21</v>
      </c>
      <c r="M565" t="s">
        <v>22</v>
      </c>
    </row>
    <row r="566" spans="1:13">
      <c r="A566" t="s">
        <v>1043</v>
      </c>
      <c r="B566" t="s">
        <v>1044</v>
      </c>
      <c r="C566" t="s">
        <v>45</v>
      </c>
      <c r="D566" t="s">
        <v>61</v>
      </c>
      <c r="E566" t="s">
        <v>27</v>
      </c>
      <c r="F566" t="s">
        <v>28</v>
      </c>
      <c r="G566">
        <v>314912</v>
      </c>
      <c r="H566">
        <v>270876</v>
      </c>
      <c r="I566">
        <v>-44036</v>
      </c>
      <c r="J566" t="s">
        <v>19</v>
      </c>
      <c r="K566" t="s">
        <v>29</v>
      </c>
      <c r="L566" t="s">
        <v>49</v>
      </c>
      <c r="M566" t="s">
        <v>22</v>
      </c>
    </row>
    <row r="567" spans="1:13">
      <c r="A567" t="s">
        <v>1045</v>
      </c>
      <c r="B567" t="s">
        <v>714</v>
      </c>
      <c r="C567" t="s">
        <v>25</v>
      </c>
      <c r="D567" t="s">
        <v>61</v>
      </c>
      <c r="E567" t="s">
        <v>71</v>
      </c>
      <c r="F567" t="s">
        <v>72</v>
      </c>
      <c r="G567">
        <v>272986</v>
      </c>
      <c r="H567">
        <v>219261</v>
      </c>
      <c r="I567">
        <v>-53725</v>
      </c>
      <c r="J567" t="s">
        <v>19</v>
      </c>
      <c r="K567" t="s">
        <v>20</v>
      </c>
      <c r="L567" t="s">
        <v>49</v>
      </c>
      <c r="M567" t="s">
        <v>42</v>
      </c>
    </row>
    <row r="568" spans="1:13">
      <c r="A568" t="s">
        <v>1046</v>
      </c>
      <c r="B568" t="s">
        <v>1047</v>
      </c>
      <c r="C568" t="s">
        <v>35</v>
      </c>
      <c r="D568" t="s">
        <v>34</v>
      </c>
      <c r="E568" t="s">
        <v>85</v>
      </c>
      <c r="F568" t="s">
        <v>86</v>
      </c>
      <c r="G568">
        <v>264198</v>
      </c>
      <c r="H568">
        <v>268020</v>
      </c>
      <c r="I568">
        <v>3822</v>
      </c>
      <c r="J568" t="s">
        <v>54</v>
      </c>
      <c r="K568" t="s">
        <v>41</v>
      </c>
      <c r="L568" t="s">
        <v>68</v>
      </c>
      <c r="M568" t="s">
        <v>22</v>
      </c>
    </row>
    <row r="569" spans="1:13">
      <c r="A569" t="s">
        <v>1048</v>
      </c>
      <c r="B569" t="s">
        <v>1049</v>
      </c>
      <c r="C569" t="s">
        <v>33</v>
      </c>
      <c r="D569" t="s">
        <v>34</v>
      </c>
      <c r="E569" t="s">
        <v>85</v>
      </c>
      <c r="F569" t="s">
        <v>86</v>
      </c>
      <c r="G569">
        <v>498562</v>
      </c>
      <c r="H569">
        <v>380730</v>
      </c>
      <c r="I569">
        <v>-117832</v>
      </c>
      <c r="J569" t="s">
        <v>37</v>
      </c>
      <c r="K569" t="s">
        <v>20</v>
      </c>
      <c r="L569" t="s">
        <v>21</v>
      </c>
      <c r="M569" t="s">
        <v>22</v>
      </c>
    </row>
    <row r="570" spans="1:13">
      <c r="A570" t="s">
        <v>1050</v>
      </c>
      <c r="B570" t="s">
        <v>536</v>
      </c>
      <c r="C570" t="s">
        <v>25</v>
      </c>
      <c r="D570" t="s">
        <v>34</v>
      </c>
      <c r="E570" t="s">
        <v>17</v>
      </c>
      <c r="F570" t="s">
        <v>18</v>
      </c>
      <c r="G570">
        <v>326910</v>
      </c>
      <c r="H570">
        <v>456847</v>
      </c>
      <c r="I570">
        <v>129937</v>
      </c>
      <c r="J570" t="s">
        <v>54</v>
      </c>
      <c r="K570" t="s">
        <v>41</v>
      </c>
      <c r="L570" t="s">
        <v>49</v>
      </c>
      <c r="M570" t="s">
        <v>42</v>
      </c>
    </row>
    <row r="571" spans="1:13">
      <c r="A571" t="s">
        <v>1051</v>
      </c>
      <c r="B571" t="s">
        <v>800</v>
      </c>
      <c r="C571" t="s">
        <v>33</v>
      </c>
      <c r="D571" t="s">
        <v>16</v>
      </c>
      <c r="E571" t="s">
        <v>27</v>
      </c>
      <c r="F571" t="s">
        <v>28</v>
      </c>
      <c r="G571">
        <v>73399</v>
      </c>
      <c r="H571">
        <v>86349</v>
      </c>
      <c r="I571">
        <v>12950</v>
      </c>
      <c r="J571" t="s">
        <v>37</v>
      </c>
      <c r="K571" t="s">
        <v>48</v>
      </c>
      <c r="L571" t="s">
        <v>68</v>
      </c>
      <c r="M571" t="s">
        <v>42</v>
      </c>
    </row>
    <row r="572" spans="1:13">
      <c r="A572" t="s">
        <v>1052</v>
      </c>
      <c r="B572" t="s">
        <v>142</v>
      </c>
      <c r="C572" t="s">
        <v>45</v>
      </c>
      <c r="D572" t="s">
        <v>34</v>
      </c>
      <c r="E572" t="s">
        <v>35</v>
      </c>
      <c r="F572" t="s">
        <v>36</v>
      </c>
      <c r="G572">
        <v>451648</v>
      </c>
      <c r="H572">
        <v>375312</v>
      </c>
      <c r="I572">
        <v>-76336</v>
      </c>
      <c r="J572" t="s">
        <v>37</v>
      </c>
      <c r="K572" t="s">
        <v>20</v>
      </c>
      <c r="L572" t="s">
        <v>49</v>
      </c>
      <c r="M572" t="s">
        <v>42</v>
      </c>
    </row>
    <row r="573" spans="1:13">
      <c r="A573" t="s">
        <v>1053</v>
      </c>
      <c r="B573" t="s">
        <v>267</v>
      </c>
      <c r="C573" t="s">
        <v>33</v>
      </c>
      <c r="D573" t="s">
        <v>40</v>
      </c>
      <c r="E573" t="s">
        <v>46</v>
      </c>
      <c r="F573" t="s">
        <v>47</v>
      </c>
      <c r="G573">
        <v>274026</v>
      </c>
      <c r="H573">
        <v>194084</v>
      </c>
      <c r="I573">
        <v>-79942</v>
      </c>
      <c r="J573" t="s">
        <v>54</v>
      </c>
      <c r="K573" t="s">
        <v>67</v>
      </c>
      <c r="L573" t="s">
        <v>49</v>
      </c>
      <c r="M573" t="s">
        <v>42</v>
      </c>
    </row>
    <row r="574" spans="1:13">
      <c r="A574" t="s">
        <v>1054</v>
      </c>
      <c r="B574" t="s">
        <v>300</v>
      </c>
      <c r="C574" t="s">
        <v>33</v>
      </c>
      <c r="D574" t="s">
        <v>40</v>
      </c>
      <c r="E574" t="s">
        <v>35</v>
      </c>
      <c r="F574" t="s">
        <v>36</v>
      </c>
      <c r="G574">
        <v>191219</v>
      </c>
      <c r="H574">
        <v>187375</v>
      </c>
      <c r="I574">
        <v>-3844</v>
      </c>
      <c r="J574" t="s">
        <v>37</v>
      </c>
      <c r="K574" t="s">
        <v>20</v>
      </c>
      <c r="L574" t="s">
        <v>68</v>
      </c>
      <c r="M574" t="s">
        <v>42</v>
      </c>
    </row>
    <row r="575" spans="1:13">
      <c r="A575" t="s">
        <v>1055</v>
      </c>
      <c r="B575" t="s">
        <v>526</v>
      </c>
      <c r="C575" t="s">
        <v>45</v>
      </c>
      <c r="D575" t="s">
        <v>16</v>
      </c>
      <c r="E575" t="s">
        <v>85</v>
      </c>
      <c r="F575" t="s">
        <v>86</v>
      </c>
      <c r="G575">
        <v>161565</v>
      </c>
      <c r="H575">
        <v>167121</v>
      </c>
      <c r="I575">
        <v>5556</v>
      </c>
      <c r="J575" t="s">
        <v>19</v>
      </c>
      <c r="K575" t="s">
        <v>29</v>
      </c>
      <c r="L575" t="s">
        <v>21</v>
      </c>
      <c r="M575" t="s">
        <v>42</v>
      </c>
    </row>
    <row r="576" spans="1:13">
      <c r="A576" t="s">
        <v>1056</v>
      </c>
      <c r="B576" t="s">
        <v>574</v>
      </c>
      <c r="C576" t="s">
        <v>15</v>
      </c>
      <c r="D576" t="s">
        <v>40</v>
      </c>
      <c r="E576" t="s">
        <v>46</v>
      </c>
      <c r="F576" t="s">
        <v>47</v>
      </c>
      <c r="G576">
        <v>475192</v>
      </c>
      <c r="H576">
        <v>540528</v>
      </c>
      <c r="I576">
        <v>65336</v>
      </c>
      <c r="J576" t="s">
        <v>19</v>
      </c>
      <c r="K576" t="s">
        <v>41</v>
      </c>
      <c r="L576" t="s">
        <v>30</v>
      </c>
      <c r="M576" t="s">
        <v>42</v>
      </c>
    </row>
    <row r="577" spans="1:13">
      <c r="A577" t="s">
        <v>1057</v>
      </c>
      <c r="B577" t="s">
        <v>734</v>
      </c>
      <c r="C577" t="s">
        <v>25</v>
      </c>
      <c r="D577" t="s">
        <v>34</v>
      </c>
      <c r="E577" t="s">
        <v>71</v>
      </c>
      <c r="F577" t="s">
        <v>72</v>
      </c>
      <c r="G577">
        <v>55264</v>
      </c>
      <c r="H577">
        <v>38731</v>
      </c>
      <c r="I577">
        <v>-16533</v>
      </c>
      <c r="J577" t="s">
        <v>37</v>
      </c>
      <c r="K577" t="s">
        <v>20</v>
      </c>
      <c r="L577" t="s">
        <v>21</v>
      </c>
      <c r="M577" t="s">
        <v>22</v>
      </c>
    </row>
    <row r="578" spans="1:13">
      <c r="A578" t="s">
        <v>1058</v>
      </c>
      <c r="B578" t="s">
        <v>719</v>
      </c>
      <c r="C578" t="s">
        <v>15</v>
      </c>
      <c r="D578" t="s">
        <v>26</v>
      </c>
      <c r="E578" t="s">
        <v>17</v>
      </c>
      <c r="F578" t="s">
        <v>18</v>
      </c>
      <c r="G578">
        <v>176470</v>
      </c>
      <c r="H578">
        <v>195104</v>
      </c>
      <c r="I578">
        <v>18634</v>
      </c>
      <c r="J578" t="s">
        <v>54</v>
      </c>
      <c r="K578" t="s">
        <v>41</v>
      </c>
      <c r="L578" t="s">
        <v>68</v>
      </c>
      <c r="M578" t="s">
        <v>42</v>
      </c>
    </row>
    <row r="579" spans="1:13">
      <c r="A579" t="s">
        <v>1059</v>
      </c>
      <c r="B579" t="s">
        <v>352</v>
      </c>
      <c r="C579" t="s">
        <v>25</v>
      </c>
      <c r="D579" t="s">
        <v>61</v>
      </c>
      <c r="E579" t="s">
        <v>71</v>
      </c>
      <c r="F579" t="s">
        <v>72</v>
      </c>
      <c r="G579">
        <v>310478</v>
      </c>
      <c r="H579">
        <v>418603</v>
      </c>
      <c r="I579">
        <v>108125</v>
      </c>
      <c r="J579" t="s">
        <v>54</v>
      </c>
      <c r="K579" t="s">
        <v>20</v>
      </c>
      <c r="L579" t="s">
        <v>21</v>
      </c>
      <c r="M579" t="s">
        <v>42</v>
      </c>
    </row>
    <row r="580" spans="1:13">
      <c r="A580" t="s">
        <v>1060</v>
      </c>
      <c r="B580" t="s">
        <v>188</v>
      </c>
      <c r="C580" t="s">
        <v>25</v>
      </c>
      <c r="D580" t="s">
        <v>26</v>
      </c>
      <c r="E580" t="s">
        <v>46</v>
      </c>
      <c r="F580" t="s">
        <v>47</v>
      </c>
      <c r="G580">
        <v>322704</v>
      </c>
      <c r="H580">
        <v>306819</v>
      </c>
      <c r="I580">
        <v>-15885</v>
      </c>
      <c r="J580" t="s">
        <v>54</v>
      </c>
      <c r="K580" t="s">
        <v>67</v>
      </c>
      <c r="L580" t="s">
        <v>30</v>
      </c>
      <c r="M580" t="s">
        <v>42</v>
      </c>
    </row>
    <row r="581" spans="1:13">
      <c r="A581" t="s">
        <v>1061</v>
      </c>
      <c r="B581" t="s">
        <v>1062</v>
      </c>
      <c r="C581" t="s">
        <v>45</v>
      </c>
      <c r="D581" t="s">
        <v>26</v>
      </c>
      <c r="E581" t="s">
        <v>46</v>
      </c>
      <c r="F581" t="s">
        <v>47</v>
      </c>
      <c r="G581">
        <v>227937</v>
      </c>
      <c r="H581">
        <v>198820</v>
      </c>
      <c r="I581">
        <v>-29117</v>
      </c>
      <c r="J581" t="s">
        <v>37</v>
      </c>
      <c r="K581" t="s">
        <v>29</v>
      </c>
      <c r="L581" t="s">
        <v>30</v>
      </c>
      <c r="M581" t="s">
        <v>42</v>
      </c>
    </row>
    <row r="582" spans="1:13">
      <c r="A582" t="s">
        <v>1063</v>
      </c>
      <c r="B582" t="s">
        <v>1064</v>
      </c>
      <c r="C582" t="s">
        <v>45</v>
      </c>
      <c r="D582" t="s">
        <v>34</v>
      </c>
      <c r="E582" t="s">
        <v>46</v>
      </c>
      <c r="F582" t="s">
        <v>47</v>
      </c>
      <c r="G582">
        <v>231711</v>
      </c>
      <c r="H582">
        <v>196823</v>
      </c>
      <c r="I582">
        <v>-34888</v>
      </c>
      <c r="J582" t="s">
        <v>37</v>
      </c>
      <c r="K582" t="s">
        <v>20</v>
      </c>
      <c r="L582" t="s">
        <v>49</v>
      </c>
      <c r="M582" t="s">
        <v>22</v>
      </c>
    </row>
    <row r="583" spans="1:13">
      <c r="A583" t="s">
        <v>1065</v>
      </c>
      <c r="B583" t="s">
        <v>1066</v>
      </c>
      <c r="C583" t="s">
        <v>25</v>
      </c>
      <c r="D583" t="s">
        <v>16</v>
      </c>
      <c r="E583" t="s">
        <v>85</v>
      </c>
      <c r="F583" t="s">
        <v>86</v>
      </c>
      <c r="G583">
        <v>223881</v>
      </c>
      <c r="H583">
        <v>212099</v>
      </c>
      <c r="I583">
        <v>-11782</v>
      </c>
      <c r="J583" t="s">
        <v>54</v>
      </c>
      <c r="K583" t="s">
        <v>20</v>
      </c>
      <c r="L583" t="s">
        <v>21</v>
      </c>
      <c r="M583" t="s">
        <v>22</v>
      </c>
    </row>
    <row r="584" spans="1:13">
      <c r="A584" t="s">
        <v>1067</v>
      </c>
      <c r="B584" t="s">
        <v>118</v>
      </c>
      <c r="C584" t="s">
        <v>33</v>
      </c>
      <c r="D584" t="s">
        <v>34</v>
      </c>
      <c r="E584" t="s">
        <v>35</v>
      </c>
      <c r="F584" t="s">
        <v>36</v>
      </c>
      <c r="G584">
        <v>324793</v>
      </c>
      <c r="H584">
        <v>292218</v>
      </c>
      <c r="I584">
        <v>-32575</v>
      </c>
      <c r="J584" t="s">
        <v>54</v>
      </c>
      <c r="K584" t="s">
        <v>41</v>
      </c>
      <c r="L584" t="s">
        <v>68</v>
      </c>
      <c r="M584" t="s">
        <v>22</v>
      </c>
    </row>
    <row r="585" spans="1:13">
      <c r="A585" t="s">
        <v>1068</v>
      </c>
      <c r="B585" t="s">
        <v>1069</v>
      </c>
      <c r="C585" t="s">
        <v>25</v>
      </c>
      <c r="D585" t="s">
        <v>61</v>
      </c>
      <c r="E585" t="s">
        <v>27</v>
      </c>
      <c r="F585" t="s">
        <v>28</v>
      </c>
      <c r="G585">
        <v>261091</v>
      </c>
      <c r="H585">
        <v>190480</v>
      </c>
      <c r="I585">
        <v>-70611</v>
      </c>
      <c r="J585" t="s">
        <v>37</v>
      </c>
      <c r="K585" t="s">
        <v>29</v>
      </c>
      <c r="L585" t="s">
        <v>49</v>
      </c>
      <c r="M585" t="s">
        <v>42</v>
      </c>
    </row>
    <row r="586" spans="1:13">
      <c r="A586" t="s">
        <v>1070</v>
      </c>
      <c r="B586" t="s">
        <v>523</v>
      </c>
      <c r="C586" t="s">
        <v>15</v>
      </c>
      <c r="D586" t="s">
        <v>61</v>
      </c>
      <c r="E586" t="s">
        <v>71</v>
      </c>
      <c r="F586" t="s">
        <v>72</v>
      </c>
      <c r="G586">
        <v>272932</v>
      </c>
      <c r="H586">
        <v>323467</v>
      </c>
      <c r="I586">
        <v>50535</v>
      </c>
      <c r="J586" t="s">
        <v>54</v>
      </c>
      <c r="K586" t="s">
        <v>41</v>
      </c>
      <c r="L586" t="s">
        <v>68</v>
      </c>
      <c r="M586" t="s">
        <v>22</v>
      </c>
    </row>
    <row r="587" spans="1:13">
      <c r="A587" t="s">
        <v>1071</v>
      </c>
      <c r="B587" t="s">
        <v>1072</v>
      </c>
      <c r="C587" t="s">
        <v>33</v>
      </c>
      <c r="D587" t="s">
        <v>16</v>
      </c>
      <c r="E587" t="s">
        <v>35</v>
      </c>
      <c r="F587" t="s">
        <v>36</v>
      </c>
      <c r="G587">
        <v>204740</v>
      </c>
      <c r="H587">
        <v>163954</v>
      </c>
      <c r="I587">
        <v>-40786</v>
      </c>
      <c r="J587" t="s">
        <v>54</v>
      </c>
      <c r="K587" t="s">
        <v>29</v>
      </c>
      <c r="L587" t="s">
        <v>49</v>
      </c>
      <c r="M587" t="s">
        <v>22</v>
      </c>
    </row>
    <row r="588" spans="1:13">
      <c r="A588" t="s">
        <v>1073</v>
      </c>
      <c r="B588" t="s">
        <v>1074</v>
      </c>
      <c r="C588" t="s">
        <v>64</v>
      </c>
      <c r="D588" t="s">
        <v>16</v>
      </c>
      <c r="E588" t="s">
        <v>27</v>
      </c>
      <c r="F588" t="s">
        <v>28</v>
      </c>
      <c r="G588">
        <v>219727</v>
      </c>
      <c r="H588">
        <v>215108</v>
      </c>
      <c r="I588">
        <v>-4619</v>
      </c>
      <c r="J588" t="s">
        <v>54</v>
      </c>
      <c r="K588" t="s">
        <v>20</v>
      </c>
      <c r="L588" t="s">
        <v>68</v>
      </c>
      <c r="M588" t="s">
        <v>42</v>
      </c>
    </row>
    <row r="589" spans="1:13">
      <c r="A589" t="s">
        <v>1075</v>
      </c>
      <c r="B589" t="s">
        <v>1076</v>
      </c>
      <c r="C589" t="s">
        <v>35</v>
      </c>
      <c r="D589" t="s">
        <v>16</v>
      </c>
      <c r="E589" t="s">
        <v>71</v>
      </c>
      <c r="F589" t="s">
        <v>72</v>
      </c>
      <c r="G589">
        <v>203768</v>
      </c>
      <c r="H589">
        <v>173545</v>
      </c>
      <c r="I589">
        <v>-30223</v>
      </c>
      <c r="J589" t="s">
        <v>37</v>
      </c>
      <c r="K589" t="s">
        <v>67</v>
      </c>
      <c r="L589" t="s">
        <v>49</v>
      </c>
      <c r="M589" t="s">
        <v>22</v>
      </c>
    </row>
    <row r="590" spans="1:13">
      <c r="A590" t="s">
        <v>1077</v>
      </c>
      <c r="B590" t="s">
        <v>1078</v>
      </c>
      <c r="C590" t="s">
        <v>33</v>
      </c>
      <c r="D590" t="s">
        <v>34</v>
      </c>
      <c r="E590" t="s">
        <v>27</v>
      </c>
      <c r="F590" t="s">
        <v>28</v>
      </c>
      <c r="G590">
        <v>254897</v>
      </c>
      <c r="H590">
        <v>254751</v>
      </c>
      <c r="I590">
        <v>-146</v>
      </c>
      <c r="J590" t="s">
        <v>37</v>
      </c>
      <c r="K590" t="s">
        <v>48</v>
      </c>
      <c r="L590" t="s">
        <v>49</v>
      </c>
      <c r="M590" t="s">
        <v>22</v>
      </c>
    </row>
    <row r="591" spans="1:13">
      <c r="A591" t="s">
        <v>1079</v>
      </c>
      <c r="B591" t="s">
        <v>1080</v>
      </c>
      <c r="C591" t="s">
        <v>45</v>
      </c>
      <c r="D591" t="s">
        <v>40</v>
      </c>
      <c r="E591" t="s">
        <v>46</v>
      </c>
      <c r="F591" t="s">
        <v>47</v>
      </c>
      <c r="G591">
        <v>293585</v>
      </c>
      <c r="H591">
        <v>239755</v>
      </c>
      <c r="I591">
        <v>-53830</v>
      </c>
      <c r="J591" t="s">
        <v>19</v>
      </c>
      <c r="K591" t="s">
        <v>29</v>
      </c>
      <c r="L591" t="s">
        <v>30</v>
      </c>
      <c r="M591" t="s">
        <v>22</v>
      </c>
    </row>
    <row r="592" spans="1:13">
      <c r="A592" t="s">
        <v>1081</v>
      </c>
      <c r="B592" t="s">
        <v>590</v>
      </c>
      <c r="C592" t="s">
        <v>64</v>
      </c>
      <c r="D592" t="s">
        <v>40</v>
      </c>
      <c r="E592" t="s">
        <v>71</v>
      </c>
      <c r="F592" t="s">
        <v>72</v>
      </c>
      <c r="G592">
        <v>325650</v>
      </c>
      <c r="H592">
        <v>340961</v>
      </c>
      <c r="I592">
        <v>15311</v>
      </c>
      <c r="J592" t="s">
        <v>19</v>
      </c>
      <c r="K592" t="s">
        <v>48</v>
      </c>
      <c r="L592" t="s">
        <v>49</v>
      </c>
      <c r="M592" t="s">
        <v>22</v>
      </c>
    </row>
    <row r="593" spans="1:13">
      <c r="A593" t="s">
        <v>1082</v>
      </c>
      <c r="B593" t="s">
        <v>1083</v>
      </c>
      <c r="C593" t="s">
        <v>15</v>
      </c>
      <c r="D593" t="s">
        <v>34</v>
      </c>
      <c r="E593" t="s">
        <v>27</v>
      </c>
      <c r="F593" t="s">
        <v>28</v>
      </c>
      <c r="G593">
        <v>102061</v>
      </c>
      <c r="H593">
        <v>141257</v>
      </c>
      <c r="I593">
        <v>39196</v>
      </c>
      <c r="J593" t="s">
        <v>19</v>
      </c>
      <c r="K593" t="s">
        <v>67</v>
      </c>
      <c r="L593" t="s">
        <v>21</v>
      </c>
      <c r="M593" t="s">
        <v>42</v>
      </c>
    </row>
    <row r="594" spans="1:13">
      <c r="A594" t="s">
        <v>1084</v>
      </c>
      <c r="B594" t="s">
        <v>1085</v>
      </c>
      <c r="C594" t="s">
        <v>25</v>
      </c>
      <c r="D594" t="s">
        <v>61</v>
      </c>
      <c r="E594" t="s">
        <v>85</v>
      </c>
      <c r="F594" t="s">
        <v>86</v>
      </c>
      <c r="G594">
        <v>126600</v>
      </c>
      <c r="H594">
        <v>159985</v>
      </c>
      <c r="I594">
        <v>33385</v>
      </c>
      <c r="J594" t="s">
        <v>19</v>
      </c>
      <c r="K594" t="s">
        <v>48</v>
      </c>
      <c r="L594" t="s">
        <v>30</v>
      </c>
      <c r="M594" t="s">
        <v>22</v>
      </c>
    </row>
    <row r="595" spans="1:13">
      <c r="A595" t="s">
        <v>1086</v>
      </c>
      <c r="B595" t="s">
        <v>326</v>
      </c>
      <c r="C595" t="s">
        <v>25</v>
      </c>
      <c r="D595" t="s">
        <v>34</v>
      </c>
      <c r="E595" t="s">
        <v>27</v>
      </c>
      <c r="F595" t="s">
        <v>28</v>
      </c>
      <c r="G595">
        <v>259690</v>
      </c>
      <c r="H595">
        <v>361258</v>
      </c>
      <c r="I595">
        <v>101568</v>
      </c>
      <c r="J595" t="s">
        <v>54</v>
      </c>
      <c r="K595" t="s">
        <v>29</v>
      </c>
      <c r="L595" t="s">
        <v>21</v>
      </c>
      <c r="M595" t="s">
        <v>42</v>
      </c>
    </row>
    <row r="596" spans="1:13">
      <c r="A596" t="s">
        <v>1087</v>
      </c>
      <c r="B596" t="s">
        <v>613</v>
      </c>
      <c r="C596" t="s">
        <v>33</v>
      </c>
      <c r="D596" t="s">
        <v>34</v>
      </c>
      <c r="E596" t="s">
        <v>27</v>
      </c>
      <c r="F596" t="s">
        <v>28</v>
      </c>
      <c r="G596">
        <v>112554</v>
      </c>
      <c r="H596">
        <v>107773</v>
      </c>
      <c r="I596">
        <v>-4781</v>
      </c>
      <c r="J596" t="s">
        <v>19</v>
      </c>
      <c r="K596" t="s">
        <v>29</v>
      </c>
      <c r="L596" t="s">
        <v>68</v>
      </c>
      <c r="M596" t="s">
        <v>22</v>
      </c>
    </row>
    <row r="597" spans="1:13">
      <c r="A597" t="s">
        <v>1088</v>
      </c>
      <c r="B597" t="s">
        <v>1089</v>
      </c>
      <c r="C597" t="s">
        <v>15</v>
      </c>
      <c r="D597" t="s">
        <v>61</v>
      </c>
      <c r="E597" t="s">
        <v>71</v>
      </c>
      <c r="F597" t="s">
        <v>72</v>
      </c>
      <c r="G597">
        <v>480872</v>
      </c>
      <c r="H597">
        <v>378101</v>
      </c>
      <c r="I597">
        <v>-102771</v>
      </c>
      <c r="J597" t="s">
        <v>54</v>
      </c>
      <c r="K597" t="s">
        <v>29</v>
      </c>
      <c r="L597" t="s">
        <v>30</v>
      </c>
      <c r="M597" t="s">
        <v>22</v>
      </c>
    </row>
    <row r="598" spans="1:13">
      <c r="A598" t="s">
        <v>1090</v>
      </c>
      <c r="B598" t="s">
        <v>1091</v>
      </c>
      <c r="C598" t="s">
        <v>64</v>
      </c>
      <c r="D598" t="s">
        <v>34</v>
      </c>
      <c r="E598" t="s">
        <v>35</v>
      </c>
      <c r="F598" t="s">
        <v>36</v>
      </c>
      <c r="G598">
        <v>104623</v>
      </c>
      <c r="H598">
        <v>143984</v>
      </c>
      <c r="I598">
        <v>39361</v>
      </c>
      <c r="J598" t="s">
        <v>19</v>
      </c>
      <c r="K598" t="s">
        <v>48</v>
      </c>
      <c r="L598" t="s">
        <v>30</v>
      </c>
      <c r="M598" t="s">
        <v>22</v>
      </c>
    </row>
    <row r="599" spans="1:13">
      <c r="A599" t="s">
        <v>1092</v>
      </c>
      <c r="B599" t="s">
        <v>104</v>
      </c>
      <c r="C599" t="s">
        <v>25</v>
      </c>
      <c r="D599" t="s">
        <v>40</v>
      </c>
      <c r="E599" t="s">
        <v>85</v>
      </c>
      <c r="F599" t="s">
        <v>86</v>
      </c>
      <c r="G599">
        <v>440662</v>
      </c>
      <c r="H599">
        <v>613110</v>
      </c>
      <c r="I599">
        <v>172448</v>
      </c>
      <c r="J599" t="s">
        <v>54</v>
      </c>
      <c r="K599" t="s">
        <v>20</v>
      </c>
      <c r="L599" t="s">
        <v>21</v>
      </c>
      <c r="M599" t="s">
        <v>22</v>
      </c>
    </row>
    <row r="600" spans="1:13">
      <c r="A600" t="s">
        <v>1093</v>
      </c>
      <c r="B600" t="s">
        <v>1094</v>
      </c>
      <c r="C600" t="s">
        <v>35</v>
      </c>
      <c r="D600" t="s">
        <v>61</v>
      </c>
      <c r="E600" t="s">
        <v>17</v>
      </c>
      <c r="F600" t="s">
        <v>18</v>
      </c>
      <c r="G600">
        <v>463994</v>
      </c>
      <c r="H600">
        <v>563569</v>
      </c>
      <c r="I600">
        <v>99575</v>
      </c>
      <c r="J600" t="s">
        <v>37</v>
      </c>
      <c r="K600" t="s">
        <v>20</v>
      </c>
      <c r="L600" t="s">
        <v>49</v>
      </c>
      <c r="M600" t="s">
        <v>22</v>
      </c>
    </row>
    <row r="601" spans="1:13">
      <c r="A601" t="s">
        <v>1095</v>
      </c>
      <c r="B601" t="s">
        <v>1096</v>
      </c>
      <c r="C601" t="s">
        <v>33</v>
      </c>
      <c r="D601" t="s">
        <v>61</v>
      </c>
      <c r="E601" t="s">
        <v>17</v>
      </c>
      <c r="F601" t="s">
        <v>18</v>
      </c>
      <c r="G601">
        <v>192474</v>
      </c>
      <c r="H601">
        <v>186733</v>
      </c>
      <c r="I601">
        <v>-5741</v>
      </c>
      <c r="J601" t="s">
        <v>54</v>
      </c>
      <c r="K601" t="s">
        <v>67</v>
      </c>
      <c r="L601" t="s">
        <v>68</v>
      </c>
      <c r="M601" t="s">
        <v>42</v>
      </c>
    </row>
    <row r="602" spans="1:13">
      <c r="A602" t="s">
        <v>1097</v>
      </c>
      <c r="B602" t="s">
        <v>1098</v>
      </c>
      <c r="C602" t="s">
        <v>25</v>
      </c>
      <c r="D602" t="s">
        <v>16</v>
      </c>
      <c r="E602" t="s">
        <v>35</v>
      </c>
      <c r="F602" t="s">
        <v>36</v>
      </c>
      <c r="G602">
        <v>467155</v>
      </c>
      <c r="H602">
        <v>414780</v>
      </c>
      <c r="I602">
        <v>-52375</v>
      </c>
      <c r="J602" t="s">
        <v>54</v>
      </c>
      <c r="K602" t="s">
        <v>48</v>
      </c>
      <c r="L602" t="s">
        <v>49</v>
      </c>
      <c r="M602" t="s">
        <v>22</v>
      </c>
    </row>
    <row r="603" spans="1:13">
      <c r="A603" t="s">
        <v>1099</v>
      </c>
      <c r="B603" t="s">
        <v>817</v>
      </c>
      <c r="C603" t="s">
        <v>35</v>
      </c>
      <c r="D603" t="s">
        <v>26</v>
      </c>
      <c r="E603" t="s">
        <v>46</v>
      </c>
      <c r="F603" t="s">
        <v>47</v>
      </c>
      <c r="G603">
        <v>459071</v>
      </c>
      <c r="H603">
        <v>495037</v>
      </c>
      <c r="I603">
        <v>35966</v>
      </c>
      <c r="J603" t="s">
        <v>54</v>
      </c>
      <c r="K603" t="s">
        <v>20</v>
      </c>
      <c r="L603" t="s">
        <v>21</v>
      </c>
      <c r="M603" t="s">
        <v>42</v>
      </c>
    </row>
    <row r="604" spans="1:13">
      <c r="A604" t="s">
        <v>1100</v>
      </c>
      <c r="B604" t="s">
        <v>1101</v>
      </c>
      <c r="C604" t="s">
        <v>45</v>
      </c>
      <c r="D604" t="s">
        <v>16</v>
      </c>
      <c r="E604" t="s">
        <v>85</v>
      </c>
      <c r="F604" t="s">
        <v>86</v>
      </c>
      <c r="G604">
        <v>329146</v>
      </c>
      <c r="H604">
        <v>316609</v>
      </c>
      <c r="I604">
        <v>-12537</v>
      </c>
      <c r="J604" t="s">
        <v>37</v>
      </c>
      <c r="K604" t="s">
        <v>67</v>
      </c>
      <c r="L604" t="s">
        <v>21</v>
      </c>
      <c r="M604" t="s">
        <v>42</v>
      </c>
    </row>
    <row r="605" spans="1:13">
      <c r="A605" t="s">
        <v>1102</v>
      </c>
      <c r="B605" t="s">
        <v>1103</v>
      </c>
      <c r="C605" t="s">
        <v>35</v>
      </c>
      <c r="D605" t="s">
        <v>26</v>
      </c>
      <c r="E605" t="s">
        <v>27</v>
      </c>
      <c r="F605" t="s">
        <v>28</v>
      </c>
      <c r="G605">
        <v>439187</v>
      </c>
      <c r="H605">
        <v>377507</v>
      </c>
      <c r="I605">
        <v>-61680</v>
      </c>
      <c r="J605" t="s">
        <v>19</v>
      </c>
      <c r="K605" t="s">
        <v>20</v>
      </c>
      <c r="L605" t="s">
        <v>30</v>
      </c>
      <c r="M605" t="s">
        <v>42</v>
      </c>
    </row>
    <row r="606" spans="1:13">
      <c r="A606" t="s">
        <v>1104</v>
      </c>
      <c r="B606" t="s">
        <v>1001</v>
      </c>
      <c r="C606" t="s">
        <v>64</v>
      </c>
      <c r="D606" t="s">
        <v>40</v>
      </c>
      <c r="E606" t="s">
        <v>71</v>
      </c>
      <c r="F606" t="s">
        <v>72</v>
      </c>
      <c r="G606">
        <v>391984</v>
      </c>
      <c r="H606">
        <v>330187</v>
      </c>
      <c r="I606">
        <v>-61797</v>
      </c>
      <c r="J606" t="s">
        <v>19</v>
      </c>
      <c r="K606" t="s">
        <v>20</v>
      </c>
      <c r="L606" t="s">
        <v>49</v>
      </c>
      <c r="M606" t="s">
        <v>22</v>
      </c>
    </row>
    <row r="607" spans="1:13">
      <c r="A607" t="s">
        <v>1105</v>
      </c>
      <c r="B607" t="s">
        <v>1106</v>
      </c>
      <c r="C607" t="s">
        <v>64</v>
      </c>
      <c r="D607" t="s">
        <v>61</v>
      </c>
      <c r="E607" t="s">
        <v>71</v>
      </c>
      <c r="F607" t="s">
        <v>72</v>
      </c>
      <c r="G607">
        <v>130855</v>
      </c>
      <c r="H607">
        <v>142699</v>
      </c>
      <c r="I607">
        <v>11844</v>
      </c>
      <c r="J607" t="s">
        <v>54</v>
      </c>
      <c r="K607" t="s">
        <v>67</v>
      </c>
      <c r="L607" t="s">
        <v>30</v>
      </c>
      <c r="M607" t="s">
        <v>42</v>
      </c>
    </row>
    <row r="608" spans="1:13">
      <c r="A608" t="s">
        <v>1107</v>
      </c>
      <c r="B608" t="s">
        <v>293</v>
      </c>
      <c r="C608" t="s">
        <v>25</v>
      </c>
      <c r="D608" t="s">
        <v>26</v>
      </c>
      <c r="E608" t="s">
        <v>17</v>
      </c>
      <c r="F608" t="s">
        <v>18</v>
      </c>
      <c r="G608">
        <v>267324</v>
      </c>
      <c r="H608">
        <v>266421</v>
      </c>
      <c r="I608">
        <v>-903</v>
      </c>
      <c r="J608" t="s">
        <v>54</v>
      </c>
      <c r="K608" t="s">
        <v>67</v>
      </c>
      <c r="L608" t="s">
        <v>49</v>
      </c>
      <c r="M608" t="s">
        <v>22</v>
      </c>
    </row>
    <row r="609" spans="1:13">
      <c r="A609" t="s">
        <v>1108</v>
      </c>
      <c r="B609" t="s">
        <v>731</v>
      </c>
      <c r="C609" t="s">
        <v>15</v>
      </c>
      <c r="D609" t="s">
        <v>16</v>
      </c>
      <c r="E609" t="s">
        <v>27</v>
      </c>
      <c r="F609" t="s">
        <v>28</v>
      </c>
      <c r="G609">
        <v>106040</v>
      </c>
      <c r="H609">
        <v>89287</v>
      </c>
      <c r="I609">
        <v>-16753</v>
      </c>
      <c r="J609" t="s">
        <v>19</v>
      </c>
      <c r="K609" t="s">
        <v>41</v>
      </c>
      <c r="L609" t="s">
        <v>30</v>
      </c>
      <c r="M609" t="s">
        <v>22</v>
      </c>
    </row>
    <row r="610" spans="1:13">
      <c r="A610" t="s">
        <v>1109</v>
      </c>
      <c r="B610" t="s">
        <v>665</v>
      </c>
      <c r="C610" t="s">
        <v>33</v>
      </c>
      <c r="D610" t="s">
        <v>34</v>
      </c>
      <c r="E610" t="s">
        <v>85</v>
      </c>
      <c r="F610" t="s">
        <v>86</v>
      </c>
      <c r="G610">
        <v>94207</v>
      </c>
      <c r="H610">
        <v>98378</v>
      </c>
      <c r="I610">
        <v>4171</v>
      </c>
      <c r="J610" t="s">
        <v>54</v>
      </c>
      <c r="K610" t="s">
        <v>67</v>
      </c>
      <c r="L610" t="s">
        <v>21</v>
      </c>
      <c r="M610" t="s">
        <v>42</v>
      </c>
    </row>
    <row r="611" spans="1:13">
      <c r="A611" t="s">
        <v>1110</v>
      </c>
      <c r="B611" t="s">
        <v>1111</v>
      </c>
      <c r="C611" t="s">
        <v>45</v>
      </c>
      <c r="D611" t="s">
        <v>40</v>
      </c>
      <c r="E611" t="s">
        <v>27</v>
      </c>
      <c r="F611" t="s">
        <v>28</v>
      </c>
      <c r="G611">
        <v>257877</v>
      </c>
      <c r="H611">
        <v>299271</v>
      </c>
      <c r="I611">
        <v>41394</v>
      </c>
      <c r="J611" t="s">
        <v>19</v>
      </c>
      <c r="K611" t="s">
        <v>20</v>
      </c>
      <c r="L611" t="s">
        <v>21</v>
      </c>
      <c r="M611" t="s">
        <v>22</v>
      </c>
    </row>
    <row r="612" spans="1:13">
      <c r="A612" t="s">
        <v>1112</v>
      </c>
      <c r="B612" t="s">
        <v>1113</v>
      </c>
      <c r="C612" t="s">
        <v>35</v>
      </c>
      <c r="D612" t="s">
        <v>16</v>
      </c>
      <c r="E612" t="s">
        <v>71</v>
      </c>
      <c r="F612" t="s">
        <v>72</v>
      </c>
      <c r="G612">
        <v>236743</v>
      </c>
      <c r="H612">
        <v>181452</v>
      </c>
      <c r="I612">
        <v>-55291</v>
      </c>
      <c r="J612" t="s">
        <v>37</v>
      </c>
      <c r="K612" t="s">
        <v>29</v>
      </c>
      <c r="L612" t="s">
        <v>21</v>
      </c>
      <c r="M612" t="s">
        <v>42</v>
      </c>
    </row>
    <row r="613" spans="1:13">
      <c r="A613" t="s">
        <v>1114</v>
      </c>
      <c r="B613" t="s">
        <v>1115</v>
      </c>
      <c r="C613" t="s">
        <v>15</v>
      </c>
      <c r="D613" t="s">
        <v>34</v>
      </c>
      <c r="E613" t="s">
        <v>27</v>
      </c>
      <c r="F613" t="s">
        <v>28</v>
      </c>
      <c r="G613">
        <v>323042</v>
      </c>
      <c r="H613">
        <v>440152</v>
      </c>
      <c r="I613">
        <v>117110</v>
      </c>
      <c r="J613" t="s">
        <v>54</v>
      </c>
      <c r="K613" t="s">
        <v>20</v>
      </c>
      <c r="L613" t="s">
        <v>21</v>
      </c>
      <c r="M613" t="s">
        <v>22</v>
      </c>
    </row>
    <row r="614" spans="1:13">
      <c r="A614" t="s">
        <v>1116</v>
      </c>
      <c r="B614" t="s">
        <v>904</v>
      </c>
      <c r="C614" t="s">
        <v>35</v>
      </c>
      <c r="D614" t="s">
        <v>40</v>
      </c>
      <c r="E614" t="s">
        <v>46</v>
      </c>
      <c r="F614" t="s">
        <v>47</v>
      </c>
      <c r="G614">
        <v>252452</v>
      </c>
      <c r="H614">
        <v>205811</v>
      </c>
      <c r="I614">
        <v>-46641</v>
      </c>
      <c r="J614" t="s">
        <v>37</v>
      </c>
      <c r="K614" t="s">
        <v>41</v>
      </c>
      <c r="L614" t="s">
        <v>68</v>
      </c>
      <c r="M614" t="s">
        <v>42</v>
      </c>
    </row>
    <row r="615" spans="1:13">
      <c r="A615" t="s">
        <v>1117</v>
      </c>
      <c r="B615" t="s">
        <v>84</v>
      </c>
      <c r="C615" t="s">
        <v>45</v>
      </c>
      <c r="D615" t="s">
        <v>61</v>
      </c>
      <c r="E615" t="s">
        <v>71</v>
      </c>
      <c r="F615" t="s">
        <v>72</v>
      </c>
      <c r="G615">
        <v>357644</v>
      </c>
      <c r="H615">
        <v>486708</v>
      </c>
      <c r="I615">
        <v>129064</v>
      </c>
      <c r="J615" t="s">
        <v>19</v>
      </c>
      <c r="K615" t="s">
        <v>48</v>
      </c>
      <c r="L615" t="s">
        <v>49</v>
      </c>
      <c r="M615" t="s">
        <v>22</v>
      </c>
    </row>
    <row r="616" spans="1:13">
      <c r="A616" t="s">
        <v>1118</v>
      </c>
      <c r="B616" t="s">
        <v>1119</v>
      </c>
      <c r="C616" t="s">
        <v>15</v>
      </c>
      <c r="D616" t="s">
        <v>26</v>
      </c>
      <c r="E616" t="s">
        <v>35</v>
      </c>
      <c r="F616" t="s">
        <v>36</v>
      </c>
      <c r="G616">
        <v>139491</v>
      </c>
      <c r="H616">
        <v>149736</v>
      </c>
      <c r="I616">
        <v>10245</v>
      </c>
      <c r="J616" t="s">
        <v>37</v>
      </c>
      <c r="K616" t="s">
        <v>41</v>
      </c>
      <c r="L616" t="s">
        <v>21</v>
      </c>
      <c r="M616" t="s">
        <v>42</v>
      </c>
    </row>
    <row r="617" spans="1:13">
      <c r="A617" t="s">
        <v>1120</v>
      </c>
      <c r="B617" t="s">
        <v>345</v>
      </c>
      <c r="C617" t="s">
        <v>25</v>
      </c>
      <c r="D617" t="s">
        <v>40</v>
      </c>
      <c r="E617" t="s">
        <v>85</v>
      </c>
      <c r="F617" t="s">
        <v>86</v>
      </c>
      <c r="G617">
        <v>127089</v>
      </c>
      <c r="H617">
        <v>162543</v>
      </c>
      <c r="I617">
        <v>35454</v>
      </c>
      <c r="J617" t="s">
        <v>19</v>
      </c>
      <c r="K617" t="s">
        <v>20</v>
      </c>
      <c r="L617" t="s">
        <v>30</v>
      </c>
      <c r="M617" t="s">
        <v>42</v>
      </c>
    </row>
    <row r="618" spans="1:13">
      <c r="A618" t="s">
        <v>1121</v>
      </c>
      <c r="B618" t="s">
        <v>255</v>
      </c>
      <c r="C618" t="s">
        <v>25</v>
      </c>
      <c r="D618" t="s">
        <v>16</v>
      </c>
      <c r="E618" t="s">
        <v>46</v>
      </c>
      <c r="F618" t="s">
        <v>47</v>
      </c>
      <c r="G618">
        <v>187092</v>
      </c>
      <c r="H618">
        <v>191251</v>
      </c>
      <c r="I618">
        <v>4159</v>
      </c>
      <c r="J618" t="s">
        <v>37</v>
      </c>
      <c r="K618" t="s">
        <v>29</v>
      </c>
      <c r="L618" t="s">
        <v>30</v>
      </c>
      <c r="M618" t="s">
        <v>22</v>
      </c>
    </row>
    <row r="619" spans="1:13">
      <c r="A619" t="s">
        <v>1122</v>
      </c>
      <c r="B619" t="s">
        <v>253</v>
      </c>
      <c r="C619" t="s">
        <v>15</v>
      </c>
      <c r="D619" t="s">
        <v>61</v>
      </c>
      <c r="E619" t="s">
        <v>27</v>
      </c>
      <c r="F619" t="s">
        <v>28</v>
      </c>
      <c r="G619">
        <v>454476</v>
      </c>
      <c r="H619">
        <v>471519</v>
      </c>
      <c r="I619">
        <v>17043</v>
      </c>
      <c r="J619" t="s">
        <v>37</v>
      </c>
      <c r="K619" t="s">
        <v>48</v>
      </c>
      <c r="L619" t="s">
        <v>49</v>
      </c>
      <c r="M619" t="s">
        <v>22</v>
      </c>
    </row>
    <row r="620" spans="1:13">
      <c r="A620" t="s">
        <v>1123</v>
      </c>
      <c r="B620" t="s">
        <v>357</v>
      </c>
      <c r="C620" t="s">
        <v>15</v>
      </c>
      <c r="D620" t="s">
        <v>26</v>
      </c>
      <c r="E620" t="s">
        <v>71</v>
      </c>
      <c r="F620" t="s">
        <v>72</v>
      </c>
      <c r="G620">
        <v>236467</v>
      </c>
      <c r="H620">
        <v>170739</v>
      </c>
      <c r="I620">
        <v>-65728</v>
      </c>
      <c r="J620" t="s">
        <v>54</v>
      </c>
      <c r="K620" t="s">
        <v>20</v>
      </c>
      <c r="L620" t="s">
        <v>21</v>
      </c>
      <c r="M620" t="s">
        <v>42</v>
      </c>
    </row>
    <row r="621" spans="1:13">
      <c r="A621" t="s">
        <v>1124</v>
      </c>
      <c r="B621" t="s">
        <v>1125</v>
      </c>
      <c r="C621" t="s">
        <v>33</v>
      </c>
      <c r="D621" t="s">
        <v>40</v>
      </c>
      <c r="E621" t="s">
        <v>85</v>
      </c>
      <c r="F621" t="s">
        <v>86</v>
      </c>
      <c r="G621">
        <v>288680</v>
      </c>
      <c r="H621">
        <v>378341</v>
      </c>
      <c r="I621">
        <v>89661</v>
      </c>
      <c r="J621" t="s">
        <v>54</v>
      </c>
      <c r="K621" t="s">
        <v>41</v>
      </c>
      <c r="L621" t="s">
        <v>30</v>
      </c>
      <c r="M621" t="s">
        <v>42</v>
      </c>
    </row>
    <row r="622" spans="1:13">
      <c r="A622" t="s">
        <v>1126</v>
      </c>
      <c r="B622" t="s">
        <v>1127</v>
      </c>
      <c r="C622" t="s">
        <v>25</v>
      </c>
      <c r="D622" t="s">
        <v>16</v>
      </c>
      <c r="E622" t="s">
        <v>46</v>
      </c>
      <c r="F622" t="s">
        <v>47</v>
      </c>
      <c r="G622">
        <v>311417</v>
      </c>
      <c r="H622">
        <v>418711</v>
      </c>
      <c r="I622">
        <v>107294</v>
      </c>
      <c r="J622" t="s">
        <v>37</v>
      </c>
      <c r="K622" t="s">
        <v>29</v>
      </c>
      <c r="L622" t="s">
        <v>49</v>
      </c>
      <c r="M622" t="s">
        <v>22</v>
      </c>
    </row>
    <row r="623" spans="1:13">
      <c r="A623" t="s">
        <v>1128</v>
      </c>
      <c r="B623" t="s">
        <v>881</v>
      </c>
      <c r="C623" t="s">
        <v>33</v>
      </c>
      <c r="D623" t="s">
        <v>40</v>
      </c>
      <c r="E623" t="s">
        <v>85</v>
      </c>
      <c r="F623" t="s">
        <v>86</v>
      </c>
      <c r="G623">
        <v>133586</v>
      </c>
      <c r="H623">
        <v>164340</v>
      </c>
      <c r="I623">
        <v>30754</v>
      </c>
      <c r="J623" t="s">
        <v>37</v>
      </c>
      <c r="K623" t="s">
        <v>41</v>
      </c>
      <c r="L623" t="s">
        <v>30</v>
      </c>
      <c r="M623" t="s">
        <v>22</v>
      </c>
    </row>
    <row r="624" spans="1:13">
      <c r="A624" t="s">
        <v>1129</v>
      </c>
      <c r="B624" t="s">
        <v>432</v>
      </c>
      <c r="C624" t="s">
        <v>64</v>
      </c>
      <c r="D624" t="s">
        <v>34</v>
      </c>
      <c r="E624" t="s">
        <v>85</v>
      </c>
      <c r="F624" t="s">
        <v>86</v>
      </c>
      <c r="G624">
        <v>441326</v>
      </c>
      <c r="H624">
        <v>559942</v>
      </c>
      <c r="I624">
        <v>118616</v>
      </c>
      <c r="J624" t="s">
        <v>37</v>
      </c>
      <c r="K624" t="s">
        <v>20</v>
      </c>
      <c r="L624" t="s">
        <v>49</v>
      </c>
      <c r="M624" t="s">
        <v>22</v>
      </c>
    </row>
    <row r="625" spans="1:13">
      <c r="A625" t="s">
        <v>1130</v>
      </c>
      <c r="B625" t="s">
        <v>335</v>
      </c>
      <c r="C625" t="s">
        <v>45</v>
      </c>
      <c r="D625" t="s">
        <v>16</v>
      </c>
      <c r="E625" t="s">
        <v>85</v>
      </c>
      <c r="F625" t="s">
        <v>86</v>
      </c>
      <c r="G625">
        <v>85849</v>
      </c>
      <c r="H625">
        <v>97660</v>
      </c>
      <c r="I625">
        <v>11811</v>
      </c>
      <c r="J625" t="s">
        <v>19</v>
      </c>
      <c r="K625" t="s">
        <v>20</v>
      </c>
      <c r="L625" t="s">
        <v>30</v>
      </c>
      <c r="M625" t="s">
        <v>22</v>
      </c>
    </row>
    <row r="626" spans="1:13">
      <c r="A626" t="s">
        <v>1131</v>
      </c>
      <c r="B626" t="s">
        <v>1132</v>
      </c>
      <c r="C626" t="s">
        <v>45</v>
      </c>
      <c r="D626" t="s">
        <v>61</v>
      </c>
      <c r="E626" t="s">
        <v>71</v>
      </c>
      <c r="F626" t="s">
        <v>72</v>
      </c>
      <c r="G626">
        <v>308264</v>
      </c>
      <c r="H626">
        <v>270411</v>
      </c>
      <c r="I626">
        <v>-37853</v>
      </c>
      <c r="J626" t="s">
        <v>37</v>
      </c>
      <c r="K626" t="s">
        <v>29</v>
      </c>
      <c r="L626" t="s">
        <v>68</v>
      </c>
      <c r="M626" t="s">
        <v>22</v>
      </c>
    </row>
    <row r="627" spans="1:13">
      <c r="A627" t="s">
        <v>1133</v>
      </c>
      <c r="B627" t="s">
        <v>538</v>
      </c>
      <c r="C627" t="s">
        <v>45</v>
      </c>
      <c r="D627" t="s">
        <v>40</v>
      </c>
      <c r="E627" t="s">
        <v>46</v>
      </c>
      <c r="F627" t="s">
        <v>47</v>
      </c>
      <c r="G627">
        <v>195676</v>
      </c>
      <c r="H627">
        <v>154965</v>
      </c>
      <c r="I627">
        <v>-40711</v>
      </c>
      <c r="J627" t="s">
        <v>54</v>
      </c>
      <c r="K627" t="s">
        <v>20</v>
      </c>
      <c r="L627" t="s">
        <v>21</v>
      </c>
      <c r="M627" t="s">
        <v>42</v>
      </c>
    </row>
    <row r="628" spans="1:13">
      <c r="A628" t="s">
        <v>1134</v>
      </c>
      <c r="B628" t="s">
        <v>352</v>
      </c>
      <c r="C628" t="s">
        <v>25</v>
      </c>
      <c r="D628" t="s">
        <v>61</v>
      </c>
      <c r="E628" t="s">
        <v>71</v>
      </c>
      <c r="F628" t="s">
        <v>72</v>
      </c>
      <c r="G628">
        <v>72886</v>
      </c>
      <c r="H628">
        <v>88302</v>
      </c>
      <c r="I628">
        <v>15416</v>
      </c>
      <c r="J628" t="s">
        <v>37</v>
      </c>
      <c r="K628" t="s">
        <v>41</v>
      </c>
      <c r="L628" t="s">
        <v>49</v>
      </c>
      <c r="M628" t="s">
        <v>42</v>
      </c>
    </row>
    <row r="629" spans="1:13">
      <c r="A629" t="s">
        <v>1135</v>
      </c>
      <c r="B629" t="s">
        <v>156</v>
      </c>
      <c r="C629" t="s">
        <v>64</v>
      </c>
      <c r="D629" t="s">
        <v>40</v>
      </c>
      <c r="E629" t="s">
        <v>85</v>
      </c>
      <c r="F629" t="s">
        <v>86</v>
      </c>
      <c r="G629">
        <v>317406</v>
      </c>
      <c r="H629">
        <v>345632</v>
      </c>
      <c r="I629">
        <v>28226</v>
      </c>
      <c r="J629" t="s">
        <v>37</v>
      </c>
      <c r="K629" t="s">
        <v>41</v>
      </c>
      <c r="L629" t="s">
        <v>21</v>
      </c>
      <c r="M629" t="s">
        <v>42</v>
      </c>
    </row>
    <row r="630" spans="1:13">
      <c r="A630" t="s">
        <v>1136</v>
      </c>
      <c r="B630" t="s">
        <v>1137</v>
      </c>
      <c r="C630" t="s">
        <v>15</v>
      </c>
      <c r="D630" t="s">
        <v>26</v>
      </c>
      <c r="E630" t="s">
        <v>85</v>
      </c>
      <c r="F630" t="s">
        <v>86</v>
      </c>
      <c r="G630">
        <v>470117</v>
      </c>
      <c r="H630">
        <v>421053</v>
      </c>
      <c r="I630">
        <v>-49064</v>
      </c>
      <c r="J630" t="s">
        <v>54</v>
      </c>
      <c r="K630" t="s">
        <v>48</v>
      </c>
      <c r="L630" t="s">
        <v>68</v>
      </c>
      <c r="M630" t="s">
        <v>22</v>
      </c>
    </row>
    <row r="631" spans="1:13">
      <c r="A631" t="s">
        <v>1138</v>
      </c>
      <c r="B631" t="s">
        <v>1139</v>
      </c>
      <c r="C631" t="s">
        <v>25</v>
      </c>
      <c r="D631" t="s">
        <v>26</v>
      </c>
      <c r="E631" t="s">
        <v>35</v>
      </c>
      <c r="F631" t="s">
        <v>36</v>
      </c>
      <c r="G631">
        <v>66027</v>
      </c>
      <c r="H631">
        <v>80570</v>
      </c>
      <c r="I631">
        <v>14543</v>
      </c>
      <c r="J631" t="s">
        <v>37</v>
      </c>
      <c r="K631" t="s">
        <v>20</v>
      </c>
      <c r="L631" t="s">
        <v>68</v>
      </c>
      <c r="M631" t="s">
        <v>22</v>
      </c>
    </row>
    <row r="632" spans="1:13">
      <c r="A632" t="s">
        <v>1140</v>
      </c>
      <c r="B632" t="s">
        <v>1141</v>
      </c>
      <c r="C632" t="s">
        <v>15</v>
      </c>
      <c r="D632" t="s">
        <v>26</v>
      </c>
      <c r="E632" t="s">
        <v>35</v>
      </c>
      <c r="F632" t="s">
        <v>36</v>
      </c>
      <c r="G632">
        <v>266637</v>
      </c>
      <c r="H632">
        <v>270549</v>
      </c>
      <c r="I632">
        <v>3912</v>
      </c>
      <c r="J632" t="s">
        <v>37</v>
      </c>
      <c r="K632" t="s">
        <v>67</v>
      </c>
      <c r="L632" t="s">
        <v>49</v>
      </c>
      <c r="M632" t="s">
        <v>22</v>
      </c>
    </row>
    <row r="633" spans="1:13">
      <c r="A633" t="s">
        <v>1142</v>
      </c>
      <c r="B633" t="s">
        <v>1143</v>
      </c>
      <c r="C633" t="s">
        <v>35</v>
      </c>
      <c r="D633" t="s">
        <v>34</v>
      </c>
      <c r="E633" t="s">
        <v>27</v>
      </c>
      <c r="F633" t="s">
        <v>28</v>
      </c>
      <c r="G633">
        <v>451705</v>
      </c>
      <c r="H633">
        <v>354628</v>
      </c>
      <c r="I633">
        <v>-97077</v>
      </c>
      <c r="J633" t="s">
        <v>37</v>
      </c>
      <c r="K633" t="s">
        <v>48</v>
      </c>
      <c r="L633" t="s">
        <v>30</v>
      </c>
      <c r="M633" t="s">
        <v>22</v>
      </c>
    </row>
    <row r="634" spans="1:13">
      <c r="A634" t="s">
        <v>1144</v>
      </c>
      <c r="B634" t="s">
        <v>613</v>
      </c>
      <c r="C634" t="s">
        <v>25</v>
      </c>
      <c r="D634" t="s">
        <v>16</v>
      </c>
      <c r="E634" t="s">
        <v>17</v>
      </c>
      <c r="F634" t="s">
        <v>18</v>
      </c>
      <c r="G634">
        <v>141422</v>
      </c>
      <c r="H634">
        <v>148328</v>
      </c>
      <c r="I634">
        <v>6906</v>
      </c>
      <c r="J634" t="s">
        <v>19</v>
      </c>
      <c r="K634" t="s">
        <v>29</v>
      </c>
      <c r="L634" t="s">
        <v>21</v>
      </c>
      <c r="M634" t="s">
        <v>22</v>
      </c>
    </row>
    <row r="635" spans="1:13">
      <c r="A635" t="s">
        <v>1145</v>
      </c>
      <c r="B635" t="s">
        <v>1012</v>
      </c>
      <c r="C635" t="s">
        <v>15</v>
      </c>
      <c r="D635" t="s">
        <v>40</v>
      </c>
      <c r="E635" t="s">
        <v>71</v>
      </c>
      <c r="F635" t="s">
        <v>72</v>
      </c>
      <c r="G635">
        <v>208556</v>
      </c>
      <c r="H635">
        <v>153342</v>
      </c>
      <c r="I635">
        <v>-55214</v>
      </c>
      <c r="J635" t="s">
        <v>37</v>
      </c>
      <c r="K635" t="s">
        <v>67</v>
      </c>
      <c r="L635" t="s">
        <v>49</v>
      </c>
      <c r="M635" t="s">
        <v>22</v>
      </c>
    </row>
    <row r="636" spans="1:13">
      <c r="A636" t="s">
        <v>1146</v>
      </c>
      <c r="B636" t="s">
        <v>335</v>
      </c>
      <c r="C636" t="s">
        <v>45</v>
      </c>
      <c r="D636" t="s">
        <v>26</v>
      </c>
      <c r="E636" t="s">
        <v>46</v>
      </c>
      <c r="F636" t="s">
        <v>47</v>
      </c>
      <c r="G636">
        <v>439565</v>
      </c>
      <c r="H636">
        <v>515789</v>
      </c>
      <c r="I636">
        <v>76224</v>
      </c>
      <c r="J636" t="s">
        <v>19</v>
      </c>
      <c r="K636" t="s">
        <v>29</v>
      </c>
      <c r="L636" t="s">
        <v>30</v>
      </c>
      <c r="M636" t="s">
        <v>42</v>
      </c>
    </row>
    <row r="637" spans="1:13">
      <c r="A637" t="s">
        <v>1147</v>
      </c>
      <c r="B637" t="s">
        <v>1148</v>
      </c>
      <c r="C637" t="s">
        <v>64</v>
      </c>
      <c r="D637" t="s">
        <v>26</v>
      </c>
      <c r="E637" t="s">
        <v>17</v>
      </c>
      <c r="F637" t="s">
        <v>18</v>
      </c>
      <c r="G637">
        <v>277131</v>
      </c>
      <c r="H637">
        <v>313441</v>
      </c>
      <c r="I637">
        <v>36310</v>
      </c>
      <c r="J637" t="s">
        <v>54</v>
      </c>
      <c r="K637" t="s">
        <v>20</v>
      </c>
      <c r="L637" t="s">
        <v>68</v>
      </c>
      <c r="M637" t="s">
        <v>22</v>
      </c>
    </row>
    <row r="638" spans="1:13">
      <c r="A638" t="s">
        <v>1149</v>
      </c>
      <c r="B638" t="s">
        <v>1150</v>
      </c>
      <c r="C638" t="s">
        <v>25</v>
      </c>
      <c r="D638" t="s">
        <v>34</v>
      </c>
      <c r="E638" t="s">
        <v>71</v>
      </c>
      <c r="F638" t="s">
        <v>72</v>
      </c>
      <c r="G638">
        <v>53624</v>
      </c>
      <c r="H638">
        <v>61726</v>
      </c>
      <c r="I638">
        <v>8102</v>
      </c>
      <c r="J638" t="s">
        <v>37</v>
      </c>
      <c r="K638" t="s">
        <v>41</v>
      </c>
      <c r="L638" t="s">
        <v>30</v>
      </c>
      <c r="M638" t="s">
        <v>22</v>
      </c>
    </row>
    <row r="639" spans="1:13">
      <c r="A639" t="s">
        <v>1151</v>
      </c>
      <c r="B639" t="s">
        <v>1152</v>
      </c>
      <c r="C639" t="s">
        <v>64</v>
      </c>
      <c r="D639" t="s">
        <v>16</v>
      </c>
      <c r="E639" t="s">
        <v>35</v>
      </c>
      <c r="F639" t="s">
        <v>36</v>
      </c>
      <c r="G639">
        <v>250436</v>
      </c>
      <c r="H639">
        <v>349463</v>
      </c>
      <c r="I639">
        <v>99027</v>
      </c>
      <c r="J639" t="s">
        <v>54</v>
      </c>
      <c r="K639" t="s">
        <v>41</v>
      </c>
      <c r="L639" t="s">
        <v>49</v>
      </c>
      <c r="M639" t="s">
        <v>42</v>
      </c>
    </row>
    <row r="640" spans="1:13">
      <c r="A640" t="s">
        <v>1153</v>
      </c>
      <c r="B640" t="s">
        <v>1154</v>
      </c>
      <c r="C640" t="s">
        <v>45</v>
      </c>
      <c r="D640" t="s">
        <v>61</v>
      </c>
      <c r="E640" t="s">
        <v>71</v>
      </c>
      <c r="F640" t="s">
        <v>72</v>
      </c>
      <c r="G640">
        <v>328474</v>
      </c>
      <c r="H640">
        <v>340856</v>
      </c>
      <c r="I640">
        <v>12382</v>
      </c>
      <c r="J640" t="s">
        <v>19</v>
      </c>
      <c r="K640" t="s">
        <v>67</v>
      </c>
      <c r="L640" t="s">
        <v>49</v>
      </c>
      <c r="M640" t="s">
        <v>22</v>
      </c>
    </row>
    <row r="641" spans="1:13">
      <c r="A641" t="s">
        <v>1155</v>
      </c>
      <c r="B641" t="s">
        <v>1014</v>
      </c>
      <c r="C641" t="s">
        <v>35</v>
      </c>
      <c r="D641" t="s">
        <v>40</v>
      </c>
      <c r="E641" t="s">
        <v>46</v>
      </c>
      <c r="F641" t="s">
        <v>47</v>
      </c>
      <c r="G641">
        <v>372092</v>
      </c>
      <c r="H641">
        <v>366983</v>
      </c>
      <c r="I641">
        <v>-5109</v>
      </c>
      <c r="J641" t="s">
        <v>37</v>
      </c>
      <c r="K641" t="s">
        <v>41</v>
      </c>
      <c r="L641" t="s">
        <v>68</v>
      </c>
      <c r="M641" t="s">
        <v>22</v>
      </c>
    </row>
    <row r="642" spans="1:13">
      <c r="A642" t="s">
        <v>1156</v>
      </c>
      <c r="B642" t="s">
        <v>1157</v>
      </c>
      <c r="C642" t="s">
        <v>45</v>
      </c>
      <c r="D642" t="s">
        <v>40</v>
      </c>
      <c r="E642" t="s">
        <v>27</v>
      </c>
      <c r="F642" t="s">
        <v>28</v>
      </c>
      <c r="G642">
        <v>154043</v>
      </c>
      <c r="H642">
        <v>178474</v>
      </c>
      <c r="I642">
        <v>24431</v>
      </c>
      <c r="J642" t="s">
        <v>19</v>
      </c>
      <c r="K642" t="s">
        <v>67</v>
      </c>
      <c r="L642" t="s">
        <v>21</v>
      </c>
      <c r="M642" t="s">
        <v>42</v>
      </c>
    </row>
    <row r="643" spans="1:13">
      <c r="A643" t="s">
        <v>1158</v>
      </c>
      <c r="B643" t="s">
        <v>58</v>
      </c>
      <c r="C643" t="s">
        <v>64</v>
      </c>
      <c r="D643" t="s">
        <v>26</v>
      </c>
      <c r="E643" t="s">
        <v>85</v>
      </c>
      <c r="F643" t="s">
        <v>86</v>
      </c>
      <c r="G643">
        <v>427841</v>
      </c>
      <c r="H643">
        <v>416185</v>
      </c>
      <c r="I643">
        <v>-11656</v>
      </c>
      <c r="J643" t="s">
        <v>19</v>
      </c>
      <c r="K643" t="s">
        <v>20</v>
      </c>
      <c r="L643" t="s">
        <v>30</v>
      </c>
      <c r="M643" t="s">
        <v>22</v>
      </c>
    </row>
    <row r="644" spans="1:13">
      <c r="A644" t="s">
        <v>1159</v>
      </c>
      <c r="B644" t="s">
        <v>293</v>
      </c>
      <c r="C644" t="s">
        <v>45</v>
      </c>
      <c r="D644" t="s">
        <v>61</v>
      </c>
      <c r="E644" t="s">
        <v>17</v>
      </c>
      <c r="F644" t="s">
        <v>18</v>
      </c>
      <c r="G644">
        <v>430929</v>
      </c>
      <c r="H644">
        <v>534260</v>
      </c>
      <c r="I644">
        <v>103331</v>
      </c>
      <c r="J644" t="s">
        <v>19</v>
      </c>
      <c r="K644" t="s">
        <v>48</v>
      </c>
      <c r="L644" t="s">
        <v>30</v>
      </c>
      <c r="M644" t="s">
        <v>22</v>
      </c>
    </row>
    <row r="645" spans="1:13">
      <c r="A645" t="s">
        <v>1160</v>
      </c>
      <c r="B645" t="s">
        <v>460</v>
      </c>
      <c r="C645" t="s">
        <v>64</v>
      </c>
      <c r="D645" t="s">
        <v>26</v>
      </c>
      <c r="E645" t="s">
        <v>71</v>
      </c>
      <c r="F645" t="s">
        <v>72</v>
      </c>
      <c r="G645">
        <v>288492</v>
      </c>
      <c r="H645">
        <v>208970</v>
      </c>
      <c r="I645">
        <v>-79522</v>
      </c>
      <c r="J645" t="s">
        <v>54</v>
      </c>
      <c r="K645" t="s">
        <v>67</v>
      </c>
      <c r="L645" t="s">
        <v>21</v>
      </c>
      <c r="M645" t="s">
        <v>42</v>
      </c>
    </row>
    <row r="646" spans="1:13">
      <c r="A646" t="s">
        <v>1161</v>
      </c>
      <c r="B646" t="s">
        <v>1098</v>
      </c>
      <c r="C646" t="s">
        <v>35</v>
      </c>
      <c r="D646" t="s">
        <v>16</v>
      </c>
      <c r="E646" t="s">
        <v>85</v>
      </c>
      <c r="F646" t="s">
        <v>86</v>
      </c>
      <c r="G646">
        <v>272357</v>
      </c>
      <c r="H646">
        <v>287958</v>
      </c>
      <c r="I646">
        <v>15601</v>
      </c>
      <c r="J646" t="s">
        <v>54</v>
      </c>
      <c r="K646" t="s">
        <v>48</v>
      </c>
      <c r="L646" t="s">
        <v>68</v>
      </c>
      <c r="M646" t="s">
        <v>22</v>
      </c>
    </row>
    <row r="647" spans="1:13">
      <c r="A647" t="s">
        <v>1162</v>
      </c>
      <c r="B647" t="s">
        <v>1163</v>
      </c>
      <c r="C647" t="s">
        <v>15</v>
      </c>
      <c r="D647" t="s">
        <v>61</v>
      </c>
      <c r="E647" t="s">
        <v>46</v>
      </c>
      <c r="F647" t="s">
        <v>47</v>
      </c>
      <c r="G647">
        <v>283569</v>
      </c>
      <c r="H647">
        <v>278878</v>
      </c>
      <c r="I647">
        <v>-4691</v>
      </c>
      <c r="J647" t="s">
        <v>19</v>
      </c>
      <c r="K647" t="s">
        <v>67</v>
      </c>
      <c r="L647" t="s">
        <v>68</v>
      </c>
      <c r="M647" t="s">
        <v>42</v>
      </c>
    </row>
    <row r="648" spans="1:13">
      <c r="A648" t="s">
        <v>1164</v>
      </c>
      <c r="B648" t="s">
        <v>285</v>
      </c>
      <c r="C648" t="s">
        <v>15</v>
      </c>
      <c r="D648" t="s">
        <v>34</v>
      </c>
      <c r="E648" t="s">
        <v>71</v>
      </c>
      <c r="F648" t="s">
        <v>72</v>
      </c>
      <c r="G648">
        <v>175320</v>
      </c>
      <c r="H648">
        <v>136918</v>
      </c>
      <c r="I648">
        <v>-38402</v>
      </c>
      <c r="J648" t="s">
        <v>54</v>
      </c>
      <c r="K648" t="s">
        <v>67</v>
      </c>
      <c r="L648" t="s">
        <v>30</v>
      </c>
      <c r="M648" t="s">
        <v>42</v>
      </c>
    </row>
    <row r="649" spans="1:13">
      <c r="A649" t="s">
        <v>1165</v>
      </c>
      <c r="B649" t="s">
        <v>60</v>
      </c>
      <c r="C649" t="s">
        <v>25</v>
      </c>
      <c r="D649" t="s">
        <v>16</v>
      </c>
      <c r="E649" t="s">
        <v>46</v>
      </c>
      <c r="F649" t="s">
        <v>47</v>
      </c>
      <c r="G649">
        <v>271476</v>
      </c>
      <c r="H649">
        <v>210076</v>
      </c>
      <c r="I649">
        <v>-61400</v>
      </c>
      <c r="J649" t="s">
        <v>19</v>
      </c>
      <c r="K649" t="s">
        <v>67</v>
      </c>
      <c r="L649" t="s">
        <v>21</v>
      </c>
      <c r="M649" t="s">
        <v>42</v>
      </c>
    </row>
    <row r="650" spans="1:13">
      <c r="A650" t="s">
        <v>1166</v>
      </c>
      <c r="B650" t="s">
        <v>437</v>
      </c>
      <c r="C650" t="s">
        <v>25</v>
      </c>
      <c r="D650" t="s">
        <v>16</v>
      </c>
      <c r="E650" t="s">
        <v>35</v>
      </c>
      <c r="F650" t="s">
        <v>36</v>
      </c>
      <c r="G650">
        <v>61588</v>
      </c>
      <c r="H650">
        <v>67210</v>
      </c>
      <c r="I650">
        <v>5622</v>
      </c>
      <c r="J650" t="s">
        <v>37</v>
      </c>
      <c r="K650" t="s">
        <v>48</v>
      </c>
      <c r="L650" t="s">
        <v>21</v>
      </c>
      <c r="M650" t="s">
        <v>42</v>
      </c>
    </row>
    <row r="651" spans="1:13">
      <c r="A651" t="s">
        <v>1167</v>
      </c>
      <c r="B651" t="s">
        <v>14</v>
      </c>
      <c r="C651" t="s">
        <v>45</v>
      </c>
      <c r="D651" t="s">
        <v>40</v>
      </c>
      <c r="E651" t="s">
        <v>71</v>
      </c>
      <c r="F651" t="s">
        <v>72</v>
      </c>
      <c r="G651">
        <v>277404</v>
      </c>
      <c r="H651">
        <v>316404</v>
      </c>
      <c r="I651">
        <v>39000</v>
      </c>
      <c r="J651" t="s">
        <v>37</v>
      </c>
      <c r="K651" t="s">
        <v>41</v>
      </c>
      <c r="L651" t="s">
        <v>68</v>
      </c>
      <c r="M651" t="s">
        <v>22</v>
      </c>
    </row>
    <row r="652" spans="1:13">
      <c r="A652" t="s">
        <v>1168</v>
      </c>
      <c r="B652" t="s">
        <v>831</v>
      </c>
      <c r="C652" t="s">
        <v>33</v>
      </c>
      <c r="D652" t="s">
        <v>34</v>
      </c>
      <c r="E652" t="s">
        <v>71</v>
      </c>
      <c r="F652" t="s">
        <v>72</v>
      </c>
      <c r="G652">
        <v>399801</v>
      </c>
      <c r="H652">
        <v>558123</v>
      </c>
      <c r="I652">
        <v>158322</v>
      </c>
      <c r="J652" t="s">
        <v>19</v>
      </c>
      <c r="K652" t="s">
        <v>67</v>
      </c>
      <c r="L652" t="s">
        <v>30</v>
      </c>
      <c r="M652" t="s">
        <v>42</v>
      </c>
    </row>
    <row r="653" spans="1:13">
      <c r="A653" t="s">
        <v>1169</v>
      </c>
      <c r="B653" t="s">
        <v>354</v>
      </c>
      <c r="C653" t="s">
        <v>35</v>
      </c>
      <c r="D653" t="s">
        <v>40</v>
      </c>
      <c r="E653" t="s">
        <v>46</v>
      </c>
      <c r="F653" t="s">
        <v>47</v>
      </c>
      <c r="G653">
        <v>163531</v>
      </c>
      <c r="H653">
        <v>200396</v>
      </c>
      <c r="I653">
        <v>36865</v>
      </c>
      <c r="J653" t="s">
        <v>54</v>
      </c>
      <c r="K653" t="s">
        <v>48</v>
      </c>
      <c r="L653" t="s">
        <v>30</v>
      </c>
      <c r="M653" t="s">
        <v>22</v>
      </c>
    </row>
    <row r="654" spans="1:13">
      <c r="A654" t="s">
        <v>1170</v>
      </c>
      <c r="B654" t="s">
        <v>1171</v>
      </c>
      <c r="C654" t="s">
        <v>15</v>
      </c>
      <c r="D654" t="s">
        <v>61</v>
      </c>
      <c r="E654" t="s">
        <v>85</v>
      </c>
      <c r="F654" t="s">
        <v>86</v>
      </c>
      <c r="G654">
        <v>465452</v>
      </c>
      <c r="H654">
        <v>551124</v>
      </c>
      <c r="I654">
        <v>85672</v>
      </c>
      <c r="J654" t="s">
        <v>37</v>
      </c>
      <c r="K654" t="s">
        <v>67</v>
      </c>
      <c r="L654" t="s">
        <v>49</v>
      </c>
      <c r="M654" t="s">
        <v>42</v>
      </c>
    </row>
    <row r="655" spans="1:13">
      <c r="A655" t="s">
        <v>1172</v>
      </c>
      <c r="B655" t="s">
        <v>990</v>
      </c>
      <c r="C655" t="s">
        <v>45</v>
      </c>
      <c r="D655" t="s">
        <v>34</v>
      </c>
      <c r="E655" t="s">
        <v>27</v>
      </c>
      <c r="F655" t="s">
        <v>28</v>
      </c>
      <c r="G655">
        <v>95246</v>
      </c>
      <c r="H655">
        <v>95709</v>
      </c>
      <c r="I655">
        <v>463</v>
      </c>
      <c r="J655" t="s">
        <v>37</v>
      </c>
      <c r="K655" t="s">
        <v>67</v>
      </c>
      <c r="L655" t="s">
        <v>68</v>
      </c>
      <c r="M655" t="s">
        <v>42</v>
      </c>
    </row>
    <row r="656" spans="1:13">
      <c r="A656" t="s">
        <v>1173</v>
      </c>
      <c r="B656" t="s">
        <v>586</v>
      </c>
      <c r="C656" t="s">
        <v>25</v>
      </c>
      <c r="D656" t="s">
        <v>61</v>
      </c>
      <c r="E656" t="s">
        <v>27</v>
      </c>
      <c r="F656" t="s">
        <v>28</v>
      </c>
      <c r="G656">
        <v>190678</v>
      </c>
      <c r="H656">
        <v>159671</v>
      </c>
      <c r="I656">
        <v>-31007</v>
      </c>
      <c r="J656" t="s">
        <v>37</v>
      </c>
      <c r="K656" t="s">
        <v>67</v>
      </c>
      <c r="L656" t="s">
        <v>21</v>
      </c>
      <c r="M656" t="s">
        <v>42</v>
      </c>
    </row>
    <row r="657" spans="1:13">
      <c r="A657" t="s">
        <v>1174</v>
      </c>
      <c r="B657" t="s">
        <v>58</v>
      </c>
      <c r="C657" t="s">
        <v>33</v>
      </c>
      <c r="D657" t="s">
        <v>16</v>
      </c>
      <c r="E657" t="s">
        <v>35</v>
      </c>
      <c r="F657" t="s">
        <v>36</v>
      </c>
      <c r="G657">
        <v>215213</v>
      </c>
      <c r="H657">
        <v>292417</v>
      </c>
      <c r="I657">
        <v>77204</v>
      </c>
      <c r="J657" t="s">
        <v>19</v>
      </c>
      <c r="K657" t="s">
        <v>20</v>
      </c>
      <c r="L657" t="s">
        <v>30</v>
      </c>
      <c r="M657" t="s">
        <v>22</v>
      </c>
    </row>
    <row r="658" spans="1:13">
      <c r="A658" t="s">
        <v>1175</v>
      </c>
      <c r="B658" t="s">
        <v>1033</v>
      </c>
      <c r="C658" t="s">
        <v>35</v>
      </c>
      <c r="D658" t="s">
        <v>61</v>
      </c>
      <c r="E658" t="s">
        <v>35</v>
      </c>
      <c r="F658" t="s">
        <v>36</v>
      </c>
      <c r="G658">
        <v>295094</v>
      </c>
      <c r="H658">
        <v>311298</v>
      </c>
      <c r="I658">
        <v>16204</v>
      </c>
      <c r="J658" t="s">
        <v>54</v>
      </c>
      <c r="K658" t="s">
        <v>67</v>
      </c>
      <c r="L658" t="s">
        <v>30</v>
      </c>
      <c r="M658" t="s">
        <v>22</v>
      </c>
    </row>
    <row r="659" spans="1:13">
      <c r="A659" t="s">
        <v>1176</v>
      </c>
      <c r="B659" t="s">
        <v>940</v>
      </c>
      <c r="C659" t="s">
        <v>35</v>
      </c>
      <c r="D659" t="s">
        <v>16</v>
      </c>
      <c r="E659" t="s">
        <v>71</v>
      </c>
      <c r="F659" t="s">
        <v>72</v>
      </c>
      <c r="G659">
        <v>435098</v>
      </c>
      <c r="H659">
        <v>543787</v>
      </c>
      <c r="I659">
        <v>108689</v>
      </c>
      <c r="J659" t="s">
        <v>54</v>
      </c>
      <c r="K659" t="s">
        <v>29</v>
      </c>
      <c r="L659" t="s">
        <v>68</v>
      </c>
      <c r="M659" t="s">
        <v>22</v>
      </c>
    </row>
    <row r="660" spans="1:13">
      <c r="A660" t="s">
        <v>1177</v>
      </c>
      <c r="B660" t="s">
        <v>1178</v>
      </c>
      <c r="C660" t="s">
        <v>45</v>
      </c>
      <c r="D660" t="s">
        <v>26</v>
      </c>
      <c r="E660" t="s">
        <v>17</v>
      </c>
      <c r="F660" t="s">
        <v>18</v>
      </c>
      <c r="G660">
        <v>388717</v>
      </c>
      <c r="H660">
        <v>375143</v>
      </c>
      <c r="I660">
        <v>-13574</v>
      </c>
      <c r="J660" t="s">
        <v>54</v>
      </c>
      <c r="K660" t="s">
        <v>41</v>
      </c>
      <c r="L660" t="s">
        <v>30</v>
      </c>
      <c r="M660" t="s">
        <v>22</v>
      </c>
    </row>
    <row r="661" spans="1:13">
      <c r="A661" t="s">
        <v>1179</v>
      </c>
      <c r="B661" t="s">
        <v>1180</v>
      </c>
      <c r="C661" t="s">
        <v>64</v>
      </c>
      <c r="D661" t="s">
        <v>61</v>
      </c>
      <c r="E661" t="s">
        <v>17</v>
      </c>
      <c r="F661" t="s">
        <v>18</v>
      </c>
      <c r="G661">
        <v>120740</v>
      </c>
      <c r="H661">
        <v>111027</v>
      </c>
      <c r="I661">
        <v>-9713</v>
      </c>
      <c r="J661" t="s">
        <v>54</v>
      </c>
      <c r="K661" t="s">
        <v>67</v>
      </c>
      <c r="L661" t="s">
        <v>21</v>
      </c>
      <c r="M661" t="s">
        <v>22</v>
      </c>
    </row>
    <row r="662" spans="1:13">
      <c r="A662" t="s">
        <v>1181</v>
      </c>
      <c r="B662" t="s">
        <v>138</v>
      </c>
      <c r="C662" t="s">
        <v>15</v>
      </c>
      <c r="D662" t="s">
        <v>26</v>
      </c>
      <c r="E662" t="s">
        <v>71</v>
      </c>
      <c r="F662" t="s">
        <v>72</v>
      </c>
      <c r="G662">
        <v>269441</v>
      </c>
      <c r="H662">
        <v>367503</v>
      </c>
      <c r="I662">
        <v>98062</v>
      </c>
      <c r="J662" t="s">
        <v>54</v>
      </c>
      <c r="K662" t="s">
        <v>29</v>
      </c>
      <c r="L662" t="s">
        <v>30</v>
      </c>
      <c r="M662" t="s">
        <v>42</v>
      </c>
    </row>
    <row r="663" spans="1:13">
      <c r="A663" t="s">
        <v>1182</v>
      </c>
      <c r="B663" t="s">
        <v>622</v>
      </c>
      <c r="C663" t="s">
        <v>64</v>
      </c>
      <c r="D663" t="s">
        <v>34</v>
      </c>
      <c r="E663" t="s">
        <v>35</v>
      </c>
      <c r="F663" t="s">
        <v>36</v>
      </c>
      <c r="G663">
        <v>244497</v>
      </c>
      <c r="H663">
        <v>198266</v>
      </c>
      <c r="I663">
        <v>-46231</v>
      </c>
      <c r="J663" t="s">
        <v>37</v>
      </c>
      <c r="K663" t="s">
        <v>48</v>
      </c>
      <c r="L663" t="s">
        <v>49</v>
      </c>
      <c r="M663" t="s">
        <v>22</v>
      </c>
    </row>
    <row r="664" spans="1:13">
      <c r="A664" t="s">
        <v>1183</v>
      </c>
      <c r="B664" t="s">
        <v>1184</v>
      </c>
      <c r="C664" t="s">
        <v>45</v>
      </c>
      <c r="D664" t="s">
        <v>34</v>
      </c>
      <c r="E664" t="s">
        <v>35</v>
      </c>
      <c r="F664" t="s">
        <v>36</v>
      </c>
      <c r="G664">
        <v>191897</v>
      </c>
      <c r="H664">
        <v>249581</v>
      </c>
      <c r="I664">
        <v>57684</v>
      </c>
      <c r="J664" t="s">
        <v>19</v>
      </c>
      <c r="K664" t="s">
        <v>29</v>
      </c>
      <c r="L664" t="s">
        <v>21</v>
      </c>
      <c r="M664" t="s">
        <v>22</v>
      </c>
    </row>
    <row r="665" spans="1:13">
      <c r="A665" t="s">
        <v>1185</v>
      </c>
      <c r="B665" t="s">
        <v>696</v>
      </c>
      <c r="C665" t="s">
        <v>64</v>
      </c>
      <c r="D665" t="s">
        <v>16</v>
      </c>
      <c r="E665" t="s">
        <v>27</v>
      </c>
      <c r="F665" t="s">
        <v>28</v>
      </c>
      <c r="G665">
        <v>272344</v>
      </c>
      <c r="H665">
        <v>279199</v>
      </c>
      <c r="I665">
        <v>6855</v>
      </c>
      <c r="J665" t="s">
        <v>37</v>
      </c>
      <c r="K665" t="s">
        <v>29</v>
      </c>
      <c r="L665" t="s">
        <v>49</v>
      </c>
      <c r="M665" t="s">
        <v>22</v>
      </c>
    </row>
    <row r="666" spans="1:13">
      <c r="A666" t="s">
        <v>1186</v>
      </c>
      <c r="B666" t="s">
        <v>542</v>
      </c>
      <c r="C666" t="s">
        <v>15</v>
      </c>
      <c r="D666" t="s">
        <v>26</v>
      </c>
      <c r="E666" t="s">
        <v>17</v>
      </c>
      <c r="F666" t="s">
        <v>18</v>
      </c>
      <c r="G666">
        <v>365577</v>
      </c>
      <c r="H666">
        <v>404631</v>
      </c>
      <c r="I666">
        <v>39054</v>
      </c>
      <c r="J666" t="s">
        <v>37</v>
      </c>
      <c r="K666" t="s">
        <v>48</v>
      </c>
      <c r="L666" t="s">
        <v>68</v>
      </c>
      <c r="M666" t="s">
        <v>42</v>
      </c>
    </row>
    <row r="667" spans="1:13">
      <c r="A667" t="s">
        <v>1187</v>
      </c>
      <c r="B667" t="s">
        <v>1188</v>
      </c>
      <c r="C667" t="s">
        <v>33</v>
      </c>
      <c r="D667" t="s">
        <v>61</v>
      </c>
      <c r="E667" t="s">
        <v>35</v>
      </c>
      <c r="F667" t="s">
        <v>36</v>
      </c>
      <c r="G667">
        <v>99159</v>
      </c>
      <c r="H667">
        <v>127604</v>
      </c>
      <c r="I667">
        <v>28445</v>
      </c>
      <c r="J667" t="s">
        <v>37</v>
      </c>
      <c r="K667" t="s">
        <v>67</v>
      </c>
      <c r="L667" t="s">
        <v>30</v>
      </c>
      <c r="M667" t="s">
        <v>42</v>
      </c>
    </row>
    <row r="668" spans="1:13">
      <c r="A668" t="s">
        <v>1189</v>
      </c>
      <c r="B668" t="s">
        <v>304</v>
      </c>
      <c r="C668" t="s">
        <v>15</v>
      </c>
      <c r="D668" t="s">
        <v>61</v>
      </c>
      <c r="E668" t="s">
        <v>17</v>
      </c>
      <c r="F668" t="s">
        <v>18</v>
      </c>
      <c r="G668">
        <v>186354</v>
      </c>
      <c r="H668">
        <v>189454</v>
      </c>
      <c r="I668">
        <v>3100</v>
      </c>
      <c r="J668" t="s">
        <v>19</v>
      </c>
      <c r="K668" t="s">
        <v>20</v>
      </c>
      <c r="L668" t="s">
        <v>21</v>
      </c>
      <c r="M668" t="s">
        <v>22</v>
      </c>
    </row>
    <row r="669" spans="1:13">
      <c r="A669" t="s">
        <v>1190</v>
      </c>
      <c r="B669" t="s">
        <v>1191</v>
      </c>
      <c r="C669" t="s">
        <v>33</v>
      </c>
      <c r="D669" t="s">
        <v>61</v>
      </c>
      <c r="E669" t="s">
        <v>85</v>
      </c>
      <c r="F669" t="s">
        <v>86</v>
      </c>
      <c r="G669">
        <v>82721</v>
      </c>
      <c r="H669">
        <v>96530</v>
      </c>
      <c r="I669">
        <v>13809</v>
      </c>
      <c r="J669" t="s">
        <v>19</v>
      </c>
      <c r="K669" t="s">
        <v>48</v>
      </c>
      <c r="L669" t="s">
        <v>49</v>
      </c>
      <c r="M669" t="s">
        <v>42</v>
      </c>
    </row>
    <row r="670" spans="1:13">
      <c r="A670" t="s">
        <v>1192</v>
      </c>
      <c r="B670" t="s">
        <v>1193</v>
      </c>
      <c r="C670" t="s">
        <v>15</v>
      </c>
      <c r="D670" t="s">
        <v>16</v>
      </c>
      <c r="E670" t="s">
        <v>27</v>
      </c>
      <c r="F670" t="s">
        <v>28</v>
      </c>
      <c r="G670">
        <v>220702</v>
      </c>
      <c r="H670">
        <v>256704</v>
      </c>
      <c r="I670">
        <v>36002</v>
      </c>
      <c r="J670" t="s">
        <v>37</v>
      </c>
      <c r="K670" t="s">
        <v>67</v>
      </c>
      <c r="L670" t="s">
        <v>30</v>
      </c>
      <c r="M670" t="s">
        <v>42</v>
      </c>
    </row>
    <row r="671" spans="1:13">
      <c r="A671" t="s">
        <v>1194</v>
      </c>
      <c r="B671" t="s">
        <v>1195</v>
      </c>
      <c r="C671" t="s">
        <v>45</v>
      </c>
      <c r="D671" t="s">
        <v>16</v>
      </c>
      <c r="E671" t="s">
        <v>27</v>
      </c>
      <c r="F671" t="s">
        <v>28</v>
      </c>
      <c r="G671">
        <v>296537</v>
      </c>
      <c r="H671">
        <v>349188</v>
      </c>
      <c r="I671">
        <v>52651</v>
      </c>
      <c r="J671" t="s">
        <v>54</v>
      </c>
      <c r="K671" t="s">
        <v>29</v>
      </c>
      <c r="L671" t="s">
        <v>30</v>
      </c>
      <c r="M671" t="s">
        <v>22</v>
      </c>
    </row>
    <row r="672" spans="1:13">
      <c r="A672" t="s">
        <v>1196</v>
      </c>
      <c r="B672" t="s">
        <v>854</v>
      </c>
      <c r="C672" t="s">
        <v>15</v>
      </c>
      <c r="D672" t="s">
        <v>40</v>
      </c>
      <c r="E672" t="s">
        <v>27</v>
      </c>
      <c r="F672" t="s">
        <v>28</v>
      </c>
      <c r="G672">
        <v>316660</v>
      </c>
      <c r="H672">
        <v>238034</v>
      </c>
      <c r="I672">
        <v>-78626</v>
      </c>
      <c r="J672" t="s">
        <v>19</v>
      </c>
      <c r="K672" t="s">
        <v>20</v>
      </c>
      <c r="L672" t="s">
        <v>68</v>
      </c>
      <c r="M672" t="s">
        <v>22</v>
      </c>
    </row>
    <row r="673" spans="1:13">
      <c r="A673" t="s">
        <v>1197</v>
      </c>
      <c r="B673" t="s">
        <v>831</v>
      </c>
      <c r="C673" t="s">
        <v>45</v>
      </c>
      <c r="D673" t="s">
        <v>34</v>
      </c>
      <c r="E673" t="s">
        <v>17</v>
      </c>
      <c r="F673" t="s">
        <v>18</v>
      </c>
      <c r="G673">
        <v>158393</v>
      </c>
      <c r="H673">
        <v>205181</v>
      </c>
      <c r="I673">
        <v>46788</v>
      </c>
      <c r="J673" t="s">
        <v>54</v>
      </c>
      <c r="K673" t="s">
        <v>41</v>
      </c>
      <c r="L673" t="s">
        <v>49</v>
      </c>
      <c r="M673" t="s">
        <v>42</v>
      </c>
    </row>
    <row r="674" spans="1:13">
      <c r="A674" t="s">
        <v>1198</v>
      </c>
      <c r="B674" t="s">
        <v>1199</v>
      </c>
      <c r="C674" t="s">
        <v>35</v>
      </c>
      <c r="D674" t="s">
        <v>34</v>
      </c>
      <c r="E674" t="s">
        <v>27</v>
      </c>
      <c r="F674" t="s">
        <v>28</v>
      </c>
      <c r="G674">
        <v>99421</v>
      </c>
      <c r="H674">
        <v>99125</v>
      </c>
      <c r="I674">
        <v>-296</v>
      </c>
      <c r="J674" t="s">
        <v>54</v>
      </c>
      <c r="K674" t="s">
        <v>29</v>
      </c>
      <c r="L674" t="s">
        <v>49</v>
      </c>
      <c r="M674" t="s">
        <v>42</v>
      </c>
    </row>
    <row r="675" spans="1:13">
      <c r="A675" t="s">
        <v>1200</v>
      </c>
      <c r="B675" t="s">
        <v>879</v>
      </c>
      <c r="C675" t="s">
        <v>45</v>
      </c>
      <c r="D675" t="s">
        <v>16</v>
      </c>
      <c r="E675" t="s">
        <v>71</v>
      </c>
      <c r="F675" t="s">
        <v>72</v>
      </c>
      <c r="G675">
        <v>98351</v>
      </c>
      <c r="H675">
        <v>119321</v>
      </c>
      <c r="I675">
        <v>20970</v>
      </c>
      <c r="J675" t="s">
        <v>54</v>
      </c>
      <c r="K675" t="s">
        <v>29</v>
      </c>
      <c r="L675" t="s">
        <v>49</v>
      </c>
      <c r="M675" t="s">
        <v>42</v>
      </c>
    </row>
    <row r="676" spans="1:13">
      <c r="A676" t="s">
        <v>1201</v>
      </c>
      <c r="B676" t="s">
        <v>840</v>
      </c>
      <c r="C676" t="s">
        <v>15</v>
      </c>
      <c r="D676" t="s">
        <v>40</v>
      </c>
      <c r="E676" t="s">
        <v>35</v>
      </c>
      <c r="F676" t="s">
        <v>36</v>
      </c>
      <c r="G676">
        <v>182996</v>
      </c>
      <c r="H676">
        <v>238156</v>
      </c>
      <c r="I676">
        <v>55160</v>
      </c>
      <c r="J676" t="s">
        <v>54</v>
      </c>
      <c r="K676" t="s">
        <v>29</v>
      </c>
      <c r="L676" t="s">
        <v>21</v>
      </c>
      <c r="M676" t="s">
        <v>22</v>
      </c>
    </row>
    <row r="677" spans="1:13">
      <c r="A677" t="s">
        <v>1202</v>
      </c>
      <c r="B677" t="s">
        <v>552</v>
      </c>
      <c r="C677" t="s">
        <v>35</v>
      </c>
      <c r="D677" t="s">
        <v>40</v>
      </c>
      <c r="E677" t="s">
        <v>17</v>
      </c>
      <c r="F677" t="s">
        <v>18</v>
      </c>
      <c r="G677">
        <v>175957</v>
      </c>
      <c r="H677">
        <v>158127</v>
      </c>
      <c r="I677">
        <v>-17830</v>
      </c>
      <c r="J677" t="s">
        <v>54</v>
      </c>
      <c r="K677" t="s">
        <v>20</v>
      </c>
      <c r="L677" t="s">
        <v>49</v>
      </c>
      <c r="M677" t="s">
        <v>42</v>
      </c>
    </row>
    <row r="678" spans="1:13">
      <c r="A678" t="s">
        <v>1203</v>
      </c>
      <c r="B678" t="s">
        <v>1204</v>
      </c>
      <c r="C678" t="s">
        <v>33</v>
      </c>
      <c r="D678" t="s">
        <v>40</v>
      </c>
      <c r="E678" t="s">
        <v>17</v>
      </c>
      <c r="F678" t="s">
        <v>18</v>
      </c>
      <c r="G678">
        <v>352823</v>
      </c>
      <c r="H678">
        <v>299853</v>
      </c>
      <c r="I678">
        <v>-52970</v>
      </c>
      <c r="J678" t="s">
        <v>19</v>
      </c>
      <c r="K678" t="s">
        <v>67</v>
      </c>
      <c r="L678" t="s">
        <v>68</v>
      </c>
      <c r="M678" t="s">
        <v>22</v>
      </c>
    </row>
    <row r="679" spans="1:13">
      <c r="A679" t="s">
        <v>1205</v>
      </c>
      <c r="B679" t="s">
        <v>410</v>
      </c>
      <c r="C679" t="s">
        <v>15</v>
      </c>
      <c r="D679" t="s">
        <v>61</v>
      </c>
      <c r="E679" t="s">
        <v>27</v>
      </c>
      <c r="F679" t="s">
        <v>28</v>
      </c>
      <c r="G679">
        <v>365170</v>
      </c>
      <c r="H679">
        <v>257781</v>
      </c>
      <c r="I679">
        <v>-107389</v>
      </c>
      <c r="J679" t="s">
        <v>37</v>
      </c>
      <c r="K679" t="s">
        <v>67</v>
      </c>
      <c r="L679" t="s">
        <v>68</v>
      </c>
      <c r="M679" t="s">
        <v>22</v>
      </c>
    </row>
    <row r="680" spans="1:13">
      <c r="A680" t="s">
        <v>1206</v>
      </c>
      <c r="B680" t="s">
        <v>719</v>
      </c>
      <c r="C680" t="s">
        <v>45</v>
      </c>
      <c r="D680" t="s">
        <v>40</v>
      </c>
      <c r="E680" t="s">
        <v>27</v>
      </c>
      <c r="F680" t="s">
        <v>28</v>
      </c>
      <c r="G680">
        <v>158731</v>
      </c>
      <c r="H680">
        <v>135329</v>
      </c>
      <c r="I680">
        <v>-23402</v>
      </c>
      <c r="J680" t="s">
        <v>54</v>
      </c>
      <c r="K680" t="s">
        <v>67</v>
      </c>
      <c r="L680" t="s">
        <v>68</v>
      </c>
      <c r="M680" t="s">
        <v>42</v>
      </c>
    </row>
    <row r="681" spans="1:13">
      <c r="A681" t="s">
        <v>1207</v>
      </c>
      <c r="B681" t="s">
        <v>39</v>
      </c>
      <c r="C681" t="s">
        <v>25</v>
      </c>
      <c r="D681" t="s">
        <v>26</v>
      </c>
      <c r="E681" t="s">
        <v>85</v>
      </c>
      <c r="F681" t="s">
        <v>86</v>
      </c>
      <c r="G681">
        <v>218041</v>
      </c>
      <c r="H681">
        <v>194892</v>
      </c>
      <c r="I681">
        <v>-23149</v>
      </c>
      <c r="J681" t="s">
        <v>19</v>
      </c>
      <c r="K681" t="s">
        <v>48</v>
      </c>
      <c r="L681" t="s">
        <v>30</v>
      </c>
      <c r="M681" t="s">
        <v>42</v>
      </c>
    </row>
    <row r="682" spans="1:13">
      <c r="A682" t="s">
        <v>1208</v>
      </c>
      <c r="B682" t="s">
        <v>872</v>
      </c>
      <c r="C682" t="s">
        <v>64</v>
      </c>
      <c r="D682" t="s">
        <v>40</v>
      </c>
      <c r="E682" t="s">
        <v>27</v>
      </c>
      <c r="F682" t="s">
        <v>28</v>
      </c>
      <c r="G682">
        <v>276881</v>
      </c>
      <c r="H682">
        <v>326132</v>
      </c>
      <c r="I682">
        <v>49251</v>
      </c>
      <c r="J682" t="s">
        <v>19</v>
      </c>
      <c r="K682" t="s">
        <v>20</v>
      </c>
      <c r="L682" t="s">
        <v>49</v>
      </c>
      <c r="M682" t="s">
        <v>22</v>
      </c>
    </row>
    <row r="683" spans="1:13">
      <c r="A683" t="s">
        <v>1209</v>
      </c>
      <c r="B683" t="s">
        <v>668</v>
      </c>
      <c r="C683" t="s">
        <v>35</v>
      </c>
      <c r="D683" t="s">
        <v>34</v>
      </c>
      <c r="E683" t="s">
        <v>17</v>
      </c>
      <c r="F683" t="s">
        <v>18</v>
      </c>
      <c r="G683">
        <v>157222</v>
      </c>
      <c r="H683">
        <v>132784</v>
      </c>
      <c r="I683">
        <v>-24438</v>
      </c>
      <c r="J683" t="s">
        <v>54</v>
      </c>
      <c r="K683" t="s">
        <v>29</v>
      </c>
      <c r="L683" t="s">
        <v>49</v>
      </c>
      <c r="M683" t="s">
        <v>22</v>
      </c>
    </row>
    <row r="684" spans="1:13">
      <c r="A684" t="s">
        <v>1210</v>
      </c>
      <c r="B684" t="s">
        <v>1211</v>
      </c>
      <c r="C684" t="s">
        <v>64</v>
      </c>
      <c r="D684" t="s">
        <v>40</v>
      </c>
      <c r="E684" t="s">
        <v>35</v>
      </c>
      <c r="F684" t="s">
        <v>36</v>
      </c>
      <c r="G684">
        <v>262707</v>
      </c>
      <c r="H684">
        <v>286332</v>
      </c>
      <c r="I684">
        <v>23625</v>
      </c>
      <c r="J684" t="s">
        <v>19</v>
      </c>
      <c r="K684" t="s">
        <v>48</v>
      </c>
      <c r="L684" t="s">
        <v>68</v>
      </c>
      <c r="M684" t="s">
        <v>22</v>
      </c>
    </row>
    <row r="685" spans="1:13">
      <c r="A685" t="s">
        <v>1212</v>
      </c>
      <c r="B685" t="s">
        <v>198</v>
      </c>
      <c r="C685" t="s">
        <v>45</v>
      </c>
      <c r="D685" t="s">
        <v>26</v>
      </c>
      <c r="E685" t="s">
        <v>27</v>
      </c>
      <c r="F685" t="s">
        <v>28</v>
      </c>
      <c r="G685">
        <v>66024</v>
      </c>
      <c r="H685">
        <v>59009</v>
      </c>
      <c r="I685">
        <v>-7015</v>
      </c>
      <c r="J685" t="s">
        <v>19</v>
      </c>
      <c r="K685" t="s">
        <v>48</v>
      </c>
      <c r="L685" t="s">
        <v>49</v>
      </c>
      <c r="M685" t="s">
        <v>22</v>
      </c>
    </row>
    <row r="686" spans="1:13">
      <c r="A686" t="s">
        <v>1213</v>
      </c>
      <c r="B686" t="s">
        <v>148</v>
      </c>
      <c r="C686" t="s">
        <v>45</v>
      </c>
      <c r="D686" t="s">
        <v>26</v>
      </c>
      <c r="E686" t="s">
        <v>35</v>
      </c>
      <c r="F686" t="s">
        <v>36</v>
      </c>
      <c r="G686">
        <v>442474</v>
      </c>
      <c r="H686">
        <v>610785</v>
      </c>
      <c r="I686">
        <v>168311</v>
      </c>
      <c r="J686" t="s">
        <v>37</v>
      </c>
      <c r="K686" t="s">
        <v>20</v>
      </c>
      <c r="L686" t="s">
        <v>49</v>
      </c>
      <c r="M686" t="s">
        <v>42</v>
      </c>
    </row>
    <row r="687" spans="1:13">
      <c r="A687" t="s">
        <v>1214</v>
      </c>
      <c r="B687" t="s">
        <v>174</v>
      </c>
      <c r="C687" t="s">
        <v>64</v>
      </c>
      <c r="D687" t="s">
        <v>61</v>
      </c>
      <c r="E687" t="s">
        <v>71</v>
      </c>
      <c r="F687" t="s">
        <v>72</v>
      </c>
      <c r="G687">
        <v>374785</v>
      </c>
      <c r="H687">
        <v>422369</v>
      </c>
      <c r="I687">
        <v>47584</v>
      </c>
      <c r="J687" t="s">
        <v>19</v>
      </c>
      <c r="K687" t="s">
        <v>48</v>
      </c>
      <c r="L687" t="s">
        <v>68</v>
      </c>
      <c r="M687" t="s">
        <v>22</v>
      </c>
    </row>
    <row r="688" spans="1:13">
      <c r="A688" t="s">
        <v>1215</v>
      </c>
      <c r="B688" t="s">
        <v>377</v>
      </c>
      <c r="C688" t="s">
        <v>35</v>
      </c>
      <c r="D688" t="s">
        <v>16</v>
      </c>
      <c r="E688" t="s">
        <v>85</v>
      </c>
      <c r="F688" t="s">
        <v>86</v>
      </c>
      <c r="G688">
        <v>462250</v>
      </c>
      <c r="H688">
        <v>368334</v>
      </c>
      <c r="I688">
        <v>-93916</v>
      </c>
      <c r="J688" t="s">
        <v>37</v>
      </c>
      <c r="K688" t="s">
        <v>29</v>
      </c>
      <c r="L688" t="s">
        <v>68</v>
      </c>
      <c r="M688" t="s">
        <v>22</v>
      </c>
    </row>
    <row r="689" spans="1:13">
      <c r="A689" t="s">
        <v>1216</v>
      </c>
      <c r="B689" t="s">
        <v>1217</v>
      </c>
      <c r="C689" t="s">
        <v>35</v>
      </c>
      <c r="D689" t="s">
        <v>40</v>
      </c>
      <c r="E689" t="s">
        <v>46</v>
      </c>
      <c r="F689" t="s">
        <v>47</v>
      </c>
      <c r="G689">
        <v>71543</v>
      </c>
      <c r="H689">
        <v>75037</v>
      </c>
      <c r="I689">
        <v>3494</v>
      </c>
      <c r="J689" t="s">
        <v>37</v>
      </c>
      <c r="K689" t="s">
        <v>20</v>
      </c>
      <c r="L689" t="s">
        <v>49</v>
      </c>
      <c r="M689" t="s">
        <v>42</v>
      </c>
    </row>
    <row r="690" spans="1:13">
      <c r="A690" t="s">
        <v>1218</v>
      </c>
      <c r="B690" t="s">
        <v>1219</v>
      </c>
      <c r="C690" t="s">
        <v>15</v>
      </c>
      <c r="D690" t="s">
        <v>61</v>
      </c>
      <c r="E690" t="s">
        <v>71</v>
      </c>
      <c r="F690" t="s">
        <v>72</v>
      </c>
      <c r="G690">
        <v>293421</v>
      </c>
      <c r="H690">
        <v>361614</v>
      </c>
      <c r="I690">
        <v>68193</v>
      </c>
      <c r="J690" t="s">
        <v>54</v>
      </c>
      <c r="K690" t="s">
        <v>48</v>
      </c>
      <c r="L690" t="s">
        <v>68</v>
      </c>
      <c r="M690" t="s">
        <v>22</v>
      </c>
    </row>
    <row r="691" spans="1:13">
      <c r="A691" t="s">
        <v>1220</v>
      </c>
      <c r="B691" t="s">
        <v>1221</v>
      </c>
      <c r="C691" t="s">
        <v>64</v>
      </c>
      <c r="D691" t="s">
        <v>34</v>
      </c>
      <c r="E691" t="s">
        <v>35</v>
      </c>
      <c r="F691" t="s">
        <v>36</v>
      </c>
      <c r="G691">
        <v>367069</v>
      </c>
      <c r="H691">
        <v>410278</v>
      </c>
      <c r="I691">
        <v>43209</v>
      </c>
      <c r="J691" t="s">
        <v>19</v>
      </c>
      <c r="K691" t="s">
        <v>67</v>
      </c>
      <c r="L691" t="s">
        <v>30</v>
      </c>
      <c r="M691" t="s">
        <v>22</v>
      </c>
    </row>
    <row r="692" spans="1:13">
      <c r="A692" t="s">
        <v>1222</v>
      </c>
      <c r="B692" t="s">
        <v>1223</v>
      </c>
      <c r="C692" t="s">
        <v>64</v>
      </c>
      <c r="D692" t="s">
        <v>16</v>
      </c>
      <c r="E692" t="s">
        <v>17</v>
      </c>
      <c r="F692" t="s">
        <v>18</v>
      </c>
      <c r="G692">
        <v>438265</v>
      </c>
      <c r="H692">
        <v>591041</v>
      </c>
      <c r="I692">
        <v>152776</v>
      </c>
      <c r="J692" t="s">
        <v>37</v>
      </c>
      <c r="K692" t="s">
        <v>41</v>
      </c>
      <c r="L692" t="s">
        <v>68</v>
      </c>
      <c r="M692" t="s">
        <v>22</v>
      </c>
    </row>
    <row r="693" spans="1:13">
      <c r="A693" t="s">
        <v>1224</v>
      </c>
      <c r="B693" t="s">
        <v>144</v>
      </c>
      <c r="C693" t="s">
        <v>15</v>
      </c>
      <c r="D693" t="s">
        <v>40</v>
      </c>
      <c r="E693" t="s">
        <v>85</v>
      </c>
      <c r="F693" t="s">
        <v>86</v>
      </c>
      <c r="G693">
        <v>281734</v>
      </c>
      <c r="H693">
        <v>291339</v>
      </c>
      <c r="I693">
        <v>9605</v>
      </c>
      <c r="J693" t="s">
        <v>19</v>
      </c>
      <c r="K693" t="s">
        <v>41</v>
      </c>
      <c r="L693" t="s">
        <v>21</v>
      </c>
      <c r="M693" t="s">
        <v>42</v>
      </c>
    </row>
    <row r="694" spans="1:13">
      <c r="A694" t="s">
        <v>1225</v>
      </c>
      <c r="B694" t="s">
        <v>760</v>
      </c>
      <c r="C694" t="s">
        <v>35</v>
      </c>
      <c r="D694" t="s">
        <v>34</v>
      </c>
      <c r="E694" t="s">
        <v>27</v>
      </c>
      <c r="F694" t="s">
        <v>28</v>
      </c>
      <c r="G694">
        <v>99846</v>
      </c>
      <c r="H694">
        <v>71275</v>
      </c>
      <c r="I694">
        <v>-28571</v>
      </c>
      <c r="J694" t="s">
        <v>37</v>
      </c>
      <c r="K694" t="s">
        <v>67</v>
      </c>
      <c r="L694" t="s">
        <v>21</v>
      </c>
      <c r="M694" t="s">
        <v>42</v>
      </c>
    </row>
    <row r="695" spans="1:13">
      <c r="A695" t="s">
        <v>1226</v>
      </c>
      <c r="B695" t="s">
        <v>1227</v>
      </c>
      <c r="C695" t="s">
        <v>35</v>
      </c>
      <c r="D695" t="s">
        <v>16</v>
      </c>
      <c r="E695" t="s">
        <v>17</v>
      </c>
      <c r="F695" t="s">
        <v>18</v>
      </c>
      <c r="G695">
        <v>284298</v>
      </c>
      <c r="H695">
        <v>224842</v>
      </c>
      <c r="I695">
        <v>-59456</v>
      </c>
      <c r="J695" t="s">
        <v>54</v>
      </c>
      <c r="K695" t="s">
        <v>20</v>
      </c>
      <c r="L695" t="s">
        <v>68</v>
      </c>
      <c r="M695" t="s">
        <v>42</v>
      </c>
    </row>
    <row r="696" spans="1:13">
      <c r="A696" t="s">
        <v>1228</v>
      </c>
      <c r="B696" t="s">
        <v>566</v>
      </c>
      <c r="C696" t="s">
        <v>25</v>
      </c>
      <c r="D696" t="s">
        <v>26</v>
      </c>
      <c r="E696" t="s">
        <v>46</v>
      </c>
      <c r="F696" t="s">
        <v>47</v>
      </c>
      <c r="G696">
        <v>415923</v>
      </c>
      <c r="H696">
        <v>446031</v>
      </c>
      <c r="I696">
        <v>30108</v>
      </c>
      <c r="J696" t="s">
        <v>54</v>
      </c>
      <c r="K696" t="s">
        <v>41</v>
      </c>
      <c r="L696" t="s">
        <v>30</v>
      </c>
      <c r="M696" t="s">
        <v>42</v>
      </c>
    </row>
    <row r="697" spans="1:13">
      <c r="A697" t="s">
        <v>1229</v>
      </c>
      <c r="B697" t="s">
        <v>1023</v>
      </c>
      <c r="C697" t="s">
        <v>64</v>
      </c>
      <c r="D697" t="s">
        <v>34</v>
      </c>
      <c r="E697" t="s">
        <v>85</v>
      </c>
      <c r="F697" t="s">
        <v>86</v>
      </c>
      <c r="G697">
        <v>412810</v>
      </c>
      <c r="H697">
        <v>515273</v>
      </c>
      <c r="I697">
        <v>102463</v>
      </c>
      <c r="J697" t="s">
        <v>37</v>
      </c>
      <c r="K697" t="s">
        <v>67</v>
      </c>
      <c r="L697" t="s">
        <v>49</v>
      </c>
      <c r="M697" t="s">
        <v>42</v>
      </c>
    </row>
    <row r="698" spans="1:13">
      <c r="A698" t="s">
        <v>1230</v>
      </c>
      <c r="B698" t="s">
        <v>1231</v>
      </c>
      <c r="C698" t="s">
        <v>35</v>
      </c>
      <c r="D698" t="s">
        <v>26</v>
      </c>
      <c r="E698" t="s">
        <v>17</v>
      </c>
      <c r="F698" t="s">
        <v>18</v>
      </c>
      <c r="G698">
        <v>155582</v>
      </c>
      <c r="H698">
        <v>172008</v>
      </c>
      <c r="I698">
        <v>16426</v>
      </c>
      <c r="J698" t="s">
        <v>37</v>
      </c>
      <c r="K698" t="s">
        <v>29</v>
      </c>
      <c r="L698" t="s">
        <v>49</v>
      </c>
      <c r="M698" t="s">
        <v>22</v>
      </c>
    </row>
    <row r="699" spans="1:13">
      <c r="A699" t="s">
        <v>1232</v>
      </c>
      <c r="B699" t="s">
        <v>1233</v>
      </c>
      <c r="C699" t="s">
        <v>35</v>
      </c>
      <c r="D699" t="s">
        <v>61</v>
      </c>
      <c r="E699" t="s">
        <v>46</v>
      </c>
      <c r="F699" t="s">
        <v>47</v>
      </c>
      <c r="G699">
        <v>444561</v>
      </c>
      <c r="H699">
        <v>540848</v>
      </c>
      <c r="I699">
        <v>96287</v>
      </c>
      <c r="J699" t="s">
        <v>19</v>
      </c>
      <c r="K699" t="s">
        <v>29</v>
      </c>
      <c r="L699" t="s">
        <v>30</v>
      </c>
      <c r="M699" t="s">
        <v>22</v>
      </c>
    </row>
    <row r="700" spans="1:13">
      <c r="A700" t="s">
        <v>1234</v>
      </c>
      <c r="B700" t="s">
        <v>1235</v>
      </c>
      <c r="C700" t="s">
        <v>45</v>
      </c>
      <c r="D700" t="s">
        <v>34</v>
      </c>
      <c r="E700" t="s">
        <v>35</v>
      </c>
      <c r="F700" t="s">
        <v>36</v>
      </c>
      <c r="G700">
        <v>127855</v>
      </c>
      <c r="H700">
        <v>174456</v>
      </c>
      <c r="I700">
        <v>46601</v>
      </c>
      <c r="J700" t="s">
        <v>19</v>
      </c>
      <c r="K700" t="s">
        <v>67</v>
      </c>
      <c r="L700" t="s">
        <v>21</v>
      </c>
      <c r="M700" t="s">
        <v>42</v>
      </c>
    </row>
    <row r="701" spans="1:13">
      <c r="A701" t="s">
        <v>1236</v>
      </c>
      <c r="B701" t="s">
        <v>451</v>
      </c>
      <c r="C701" t="s">
        <v>35</v>
      </c>
      <c r="D701" t="s">
        <v>40</v>
      </c>
      <c r="E701" t="s">
        <v>71</v>
      </c>
      <c r="F701" t="s">
        <v>72</v>
      </c>
      <c r="G701">
        <v>430505</v>
      </c>
      <c r="H701">
        <v>478203</v>
      </c>
      <c r="I701">
        <v>47698</v>
      </c>
      <c r="J701" t="s">
        <v>37</v>
      </c>
      <c r="K701" t="s">
        <v>48</v>
      </c>
      <c r="L701" t="s">
        <v>49</v>
      </c>
      <c r="M701" t="s">
        <v>42</v>
      </c>
    </row>
    <row r="702" spans="1:13">
      <c r="A702" t="s">
        <v>1237</v>
      </c>
      <c r="B702" t="s">
        <v>826</v>
      </c>
      <c r="C702" t="s">
        <v>15</v>
      </c>
      <c r="D702" t="s">
        <v>26</v>
      </c>
      <c r="E702" t="s">
        <v>71</v>
      </c>
      <c r="F702" t="s">
        <v>72</v>
      </c>
      <c r="G702">
        <v>174987</v>
      </c>
      <c r="H702">
        <v>157781</v>
      </c>
      <c r="I702">
        <v>-17206</v>
      </c>
      <c r="J702" t="s">
        <v>54</v>
      </c>
      <c r="K702" t="s">
        <v>67</v>
      </c>
      <c r="L702" t="s">
        <v>30</v>
      </c>
      <c r="M702" t="s">
        <v>22</v>
      </c>
    </row>
    <row r="703" spans="1:13">
      <c r="A703" t="s">
        <v>1238</v>
      </c>
      <c r="B703" t="s">
        <v>1239</v>
      </c>
      <c r="C703" t="s">
        <v>45</v>
      </c>
      <c r="D703" t="s">
        <v>16</v>
      </c>
      <c r="E703" t="s">
        <v>17</v>
      </c>
      <c r="F703" t="s">
        <v>18</v>
      </c>
      <c r="G703">
        <v>242721</v>
      </c>
      <c r="H703">
        <v>210361</v>
      </c>
      <c r="I703">
        <v>-32360</v>
      </c>
      <c r="J703" t="s">
        <v>19</v>
      </c>
      <c r="K703" t="s">
        <v>41</v>
      </c>
      <c r="L703" t="s">
        <v>21</v>
      </c>
      <c r="M703" t="s">
        <v>42</v>
      </c>
    </row>
    <row r="704" spans="1:13">
      <c r="A704" t="s">
        <v>1240</v>
      </c>
      <c r="B704" t="s">
        <v>497</v>
      </c>
      <c r="C704" t="s">
        <v>45</v>
      </c>
      <c r="D704" t="s">
        <v>16</v>
      </c>
      <c r="E704" t="s">
        <v>27</v>
      </c>
      <c r="F704" t="s">
        <v>28</v>
      </c>
      <c r="G704">
        <v>195744</v>
      </c>
      <c r="H704">
        <v>171036</v>
      </c>
      <c r="I704">
        <v>-24708</v>
      </c>
      <c r="J704" t="s">
        <v>19</v>
      </c>
      <c r="K704" t="s">
        <v>20</v>
      </c>
      <c r="L704" t="s">
        <v>21</v>
      </c>
      <c r="M704" t="s">
        <v>42</v>
      </c>
    </row>
    <row r="705" spans="1:13">
      <c r="A705" t="s">
        <v>1241</v>
      </c>
      <c r="B705" t="s">
        <v>1242</v>
      </c>
      <c r="C705" t="s">
        <v>64</v>
      </c>
      <c r="D705" t="s">
        <v>40</v>
      </c>
      <c r="E705" t="s">
        <v>17</v>
      </c>
      <c r="F705" t="s">
        <v>18</v>
      </c>
      <c r="G705">
        <v>298340</v>
      </c>
      <c r="H705">
        <v>349924</v>
      </c>
      <c r="I705">
        <v>51584</v>
      </c>
      <c r="J705" t="s">
        <v>37</v>
      </c>
      <c r="K705" t="s">
        <v>29</v>
      </c>
      <c r="L705" t="s">
        <v>21</v>
      </c>
      <c r="M705" t="s">
        <v>22</v>
      </c>
    </row>
    <row r="706" spans="1:13">
      <c r="A706" t="s">
        <v>1243</v>
      </c>
      <c r="B706" t="s">
        <v>1244</v>
      </c>
      <c r="C706" t="s">
        <v>35</v>
      </c>
      <c r="D706" t="s">
        <v>26</v>
      </c>
      <c r="E706" t="s">
        <v>17</v>
      </c>
      <c r="F706" t="s">
        <v>18</v>
      </c>
      <c r="G706">
        <v>410880</v>
      </c>
      <c r="H706">
        <v>559501</v>
      </c>
      <c r="I706">
        <v>148621</v>
      </c>
      <c r="J706" t="s">
        <v>37</v>
      </c>
      <c r="K706" t="s">
        <v>29</v>
      </c>
      <c r="L706" t="s">
        <v>49</v>
      </c>
      <c r="M706" t="s">
        <v>22</v>
      </c>
    </row>
    <row r="707" spans="1:13">
      <c r="A707" t="s">
        <v>1245</v>
      </c>
      <c r="B707" t="s">
        <v>1246</v>
      </c>
      <c r="C707" t="s">
        <v>33</v>
      </c>
      <c r="D707" t="s">
        <v>34</v>
      </c>
      <c r="E707" t="s">
        <v>35</v>
      </c>
      <c r="F707" t="s">
        <v>36</v>
      </c>
      <c r="G707">
        <v>291565</v>
      </c>
      <c r="H707">
        <v>323697</v>
      </c>
      <c r="I707">
        <v>32132</v>
      </c>
      <c r="J707" t="s">
        <v>19</v>
      </c>
      <c r="K707" t="s">
        <v>29</v>
      </c>
      <c r="L707" t="s">
        <v>30</v>
      </c>
      <c r="M707" t="s">
        <v>42</v>
      </c>
    </row>
    <row r="708" spans="1:13">
      <c r="A708" t="s">
        <v>1247</v>
      </c>
      <c r="B708" t="s">
        <v>1248</v>
      </c>
      <c r="C708" t="s">
        <v>25</v>
      </c>
      <c r="D708" t="s">
        <v>61</v>
      </c>
      <c r="E708" t="s">
        <v>35</v>
      </c>
      <c r="F708" t="s">
        <v>36</v>
      </c>
      <c r="G708">
        <v>268710</v>
      </c>
      <c r="H708">
        <v>243658</v>
      </c>
      <c r="I708">
        <v>-25052</v>
      </c>
      <c r="J708" t="s">
        <v>37</v>
      </c>
      <c r="K708" t="s">
        <v>67</v>
      </c>
      <c r="L708" t="s">
        <v>49</v>
      </c>
      <c r="M708" t="s">
        <v>22</v>
      </c>
    </row>
    <row r="709" spans="1:13">
      <c r="A709" t="s">
        <v>1249</v>
      </c>
      <c r="B709" t="s">
        <v>1250</v>
      </c>
      <c r="C709" t="s">
        <v>33</v>
      </c>
      <c r="D709" t="s">
        <v>16</v>
      </c>
      <c r="E709" t="s">
        <v>46</v>
      </c>
      <c r="F709" t="s">
        <v>47</v>
      </c>
      <c r="G709">
        <v>351609</v>
      </c>
      <c r="H709">
        <v>307661</v>
      </c>
      <c r="I709">
        <v>-43948</v>
      </c>
      <c r="J709" t="s">
        <v>37</v>
      </c>
      <c r="K709" t="s">
        <v>48</v>
      </c>
      <c r="L709" t="s">
        <v>49</v>
      </c>
      <c r="M709" t="s">
        <v>42</v>
      </c>
    </row>
    <row r="710" spans="1:13">
      <c r="A710" t="s">
        <v>1251</v>
      </c>
      <c r="B710" t="s">
        <v>1252</v>
      </c>
      <c r="C710" t="s">
        <v>25</v>
      </c>
      <c r="D710" t="s">
        <v>61</v>
      </c>
      <c r="E710" t="s">
        <v>27</v>
      </c>
      <c r="F710" t="s">
        <v>28</v>
      </c>
      <c r="G710">
        <v>288911</v>
      </c>
      <c r="H710">
        <v>238310</v>
      </c>
      <c r="I710">
        <v>-50601</v>
      </c>
      <c r="J710" t="s">
        <v>54</v>
      </c>
      <c r="K710" t="s">
        <v>20</v>
      </c>
      <c r="L710" t="s">
        <v>21</v>
      </c>
      <c r="M710" t="s">
        <v>22</v>
      </c>
    </row>
    <row r="711" spans="1:13">
      <c r="A711" t="s">
        <v>1253</v>
      </c>
      <c r="B711" t="s">
        <v>259</v>
      </c>
      <c r="C711" t="s">
        <v>45</v>
      </c>
      <c r="D711" t="s">
        <v>34</v>
      </c>
      <c r="E711" t="s">
        <v>71</v>
      </c>
      <c r="F711" t="s">
        <v>72</v>
      </c>
      <c r="G711">
        <v>279562</v>
      </c>
      <c r="H711">
        <v>240201</v>
      </c>
      <c r="I711">
        <v>-39361</v>
      </c>
      <c r="J711" t="s">
        <v>37</v>
      </c>
      <c r="K711" t="s">
        <v>41</v>
      </c>
      <c r="L711" t="s">
        <v>49</v>
      </c>
      <c r="M711" t="s">
        <v>42</v>
      </c>
    </row>
    <row r="712" spans="1:13">
      <c r="A712" t="s">
        <v>1254</v>
      </c>
      <c r="B712" t="s">
        <v>1255</v>
      </c>
      <c r="C712" t="s">
        <v>64</v>
      </c>
      <c r="D712" t="s">
        <v>34</v>
      </c>
      <c r="E712" t="s">
        <v>85</v>
      </c>
      <c r="F712" t="s">
        <v>86</v>
      </c>
      <c r="G712">
        <v>151501</v>
      </c>
      <c r="H712">
        <v>130368</v>
      </c>
      <c r="I712">
        <v>-21133</v>
      </c>
      <c r="J712" t="s">
        <v>19</v>
      </c>
      <c r="K712" t="s">
        <v>48</v>
      </c>
      <c r="L712" t="s">
        <v>21</v>
      </c>
      <c r="M712" t="s">
        <v>22</v>
      </c>
    </row>
    <row r="713" spans="1:13">
      <c r="A713" t="s">
        <v>1256</v>
      </c>
      <c r="B713" t="s">
        <v>919</v>
      </c>
      <c r="C713" t="s">
        <v>25</v>
      </c>
      <c r="D713" t="s">
        <v>16</v>
      </c>
      <c r="E713" t="s">
        <v>85</v>
      </c>
      <c r="F713" t="s">
        <v>86</v>
      </c>
      <c r="G713">
        <v>212343</v>
      </c>
      <c r="H713">
        <v>155331</v>
      </c>
      <c r="I713">
        <v>-57012</v>
      </c>
      <c r="J713" t="s">
        <v>54</v>
      </c>
      <c r="K713" t="s">
        <v>41</v>
      </c>
      <c r="L713" t="s">
        <v>49</v>
      </c>
      <c r="M713" t="s">
        <v>22</v>
      </c>
    </row>
    <row r="714" spans="1:13">
      <c r="A714" t="s">
        <v>1257</v>
      </c>
      <c r="B714" t="s">
        <v>335</v>
      </c>
      <c r="C714" t="s">
        <v>25</v>
      </c>
      <c r="D714" t="s">
        <v>34</v>
      </c>
      <c r="E714" t="s">
        <v>27</v>
      </c>
      <c r="F714" t="s">
        <v>28</v>
      </c>
      <c r="G714">
        <v>179480</v>
      </c>
      <c r="H714">
        <v>236000</v>
      </c>
      <c r="I714">
        <v>56520</v>
      </c>
      <c r="J714" t="s">
        <v>54</v>
      </c>
      <c r="K714" t="s">
        <v>20</v>
      </c>
      <c r="L714" t="s">
        <v>68</v>
      </c>
      <c r="M714" t="s">
        <v>22</v>
      </c>
    </row>
    <row r="715" spans="1:13">
      <c r="A715" t="s">
        <v>1258</v>
      </c>
      <c r="B715" t="s">
        <v>1259</v>
      </c>
      <c r="C715" t="s">
        <v>64</v>
      </c>
      <c r="D715" t="s">
        <v>16</v>
      </c>
      <c r="E715" t="s">
        <v>17</v>
      </c>
      <c r="F715" t="s">
        <v>18</v>
      </c>
      <c r="G715">
        <v>424130</v>
      </c>
      <c r="H715">
        <v>480789</v>
      </c>
      <c r="I715">
        <v>56659</v>
      </c>
      <c r="J715" t="s">
        <v>54</v>
      </c>
      <c r="K715" t="s">
        <v>41</v>
      </c>
      <c r="L715" t="s">
        <v>49</v>
      </c>
      <c r="M715" t="s">
        <v>42</v>
      </c>
    </row>
    <row r="716" spans="1:13">
      <c r="A716" t="s">
        <v>1260</v>
      </c>
      <c r="B716" t="s">
        <v>1261</v>
      </c>
      <c r="C716" t="s">
        <v>15</v>
      </c>
      <c r="D716" t="s">
        <v>61</v>
      </c>
      <c r="E716" t="s">
        <v>85</v>
      </c>
      <c r="F716" t="s">
        <v>86</v>
      </c>
      <c r="G716">
        <v>99410</v>
      </c>
      <c r="H716">
        <v>74260</v>
      </c>
      <c r="I716">
        <v>-25150</v>
      </c>
      <c r="J716" t="s">
        <v>37</v>
      </c>
      <c r="K716" t="s">
        <v>29</v>
      </c>
      <c r="L716" t="s">
        <v>68</v>
      </c>
      <c r="M716" t="s">
        <v>22</v>
      </c>
    </row>
    <row r="717" spans="1:13">
      <c r="A717" t="s">
        <v>1262</v>
      </c>
      <c r="B717" t="s">
        <v>1263</v>
      </c>
      <c r="C717" t="s">
        <v>35</v>
      </c>
      <c r="D717" t="s">
        <v>26</v>
      </c>
      <c r="E717" t="s">
        <v>35</v>
      </c>
      <c r="F717" t="s">
        <v>36</v>
      </c>
      <c r="G717">
        <v>58200</v>
      </c>
      <c r="H717">
        <v>42019</v>
      </c>
      <c r="I717">
        <v>-16181</v>
      </c>
      <c r="J717" t="s">
        <v>54</v>
      </c>
      <c r="K717" t="s">
        <v>67</v>
      </c>
      <c r="L717" t="s">
        <v>21</v>
      </c>
      <c r="M717" t="s">
        <v>42</v>
      </c>
    </row>
    <row r="718" spans="1:13">
      <c r="A718" t="s">
        <v>1264</v>
      </c>
      <c r="B718" t="s">
        <v>1265</v>
      </c>
      <c r="C718" t="s">
        <v>64</v>
      </c>
      <c r="D718" t="s">
        <v>40</v>
      </c>
      <c r="E718" t="s">
        <v>46</v>
      </c>
      <c r="F718" t="s">
        <v>47</v>
      </c>
      <c r="G718">
        <v>91406</v>
      </c>
      <c r="H718">
        <v>75799</v>
      </c>
      <c r="I718">
        <v>-15607</v>
      </c>
      <c r="J718" t="s">
        <v>37</v>
      </c>
      <c r="K718" t="s">
        <v>20</v>
      </c>
      <c r="L718" t="s">
        <v>49</v>
      </c>
      <c r="M718" t="s">
        <v>42</v>
      </c>
    </row>
    <row r="719" spans="1:13">
      <c r="A719" t="s">
        <v>1266</v>
      </c>
      <c r="B719" t="s">
        <v>1267</v>
      </c>
      <c r="C719" t="s">
        <v>33</v>
      </c>
      <c r="D719" t="s">
        <v>34</v>
      </c>
      <c r="E719" t="s">
        <v>35</v>
      </c>
      <c r="F719" t="s">
        <v>36</v>
      </c>
      <c r="G719">
        <v>321299</v>
      </c>
      <c r="H719">
        <v>295282</v>
      </c>
      <c r="I719">
        <v>-26017</v>
      </c>
      <c r="J719" t="s">
        <v>37</v>
      </c>
      <c r="K719" t="s">
        <v>67</v>
      </c>
      <c r="L719" t="s">
        <v>49</v>
      </c>
      <c r="M719" t="s">
        <v>22</v>
      </c>
    </row>
    <row r="720" spans="1:13">
      <c r="A720" t="s">
        <v>1268</v>
      </c>
      <c r="B720" t="s">
        <v>1269</v>
      </c>
      <c r="C720" t="s">
        <v>45</v>
      </c>
      <c r="D720" t="s">
        <v>34</v>
      </c>
      <c r="E720" t="s">
        <v>71</v>
      </c>
      <c r="F720" t="s">
        <v>72</v>
      </c>
      <c r="G720">
        <v>399441</v>
      </c>
      <c r="H720">
        <v>404131</v>
      </c>
      <c r="I720">
        <v>4690</v>
      </c>
      <c r="J720" t="s">
        <v>37</v>
      </c>
      <c r="K720" t="s">
        <v>41</v>
      </c>
      <c r="L720" t="s">
        <v>21</v>
      </c>
      <c r="M720" t="s">
        <v>22</v>
      </c>
    </row>
    <row r="721" spans="1:13">
      <c r="A721" t="s">
        <v>1270</v>
      </c>
      <c r="B721" t="s">
        <v>1008</v>
      </c>
      <c r="C721" t="s">
        <v>45</v>
      </c>
      <c r="D721" t="s">
        <v>40</v>
      </c>
      <c r="E721" t="s">
        <v>27</v>
      </c>
      <c r="F721" t="s">
        <v>28</v>
      </c>
      <c r="G721">
        <v>311737</v>
      </c>
      <c r="H721">
        <v>426079</v>
      </c>
      <c r="I721">
        <v>114342</v>
      </c>
      <c r="J721" t="s">
        <v>54</v>
      </c>
      <c r="K721" t="s">
        <v>29</v>
      </c>
      <c r="L721" t="s">
        <v>30</v>
      </c>
      <c r="M721" t="s">
        <v>22</v>
      </c>
    </row>
    <row r="722" spans="1:13">
      <c r="A722" t="s">
        <v>1271</v>
      </c>
      <c r="B722" t="s">
        <v>322</v>
      </c>
      <c r="C722" t="s">
        <v>15</v>
      </c>
      <c r="D722" t="s">
        <v>61</v>
      </c>
      <c r="E722" t="s">
        <v>17</v>
      </c>
      <c r="F722" t="s">
        <v>18</v>
      </c>
      <c r="G722">
        <v>248465</v>
      </c>
      <c r="H722">
        <v>226775</v>
      </c>
      <c r="I722">
        <v>-21690</v>
      </c>
      <c r="J722" t="s">
        <v>19</v>
      </c>
      <c r="K722" t="s">
        <v>67</v>
      </c>
      <c r="L722" t="s">
        <v>30</v>
      </c>
      <c r="M722" t="s">
        <v>42</v>
      </c>
    </row>
    <row r="723" spans="1:13">
      <c r="A723" t="s">
        <v>1272</v>
      </c>
      <c r="B723" t="s">
        <v>272</v>
      </c>
      <c r="C723" t="s">
        <v>25</v>
      </c>
      <c r="D723" t="s">
        <v>61</v>
      </c>
      <c r="E723" t="s">
        <v>46</v>
      </c>
      <c r="F723" t="s">
        <v>47</v>
      </c>
      <c r="G723">
        <v>402957</v>
      </c>
      <c r="H723">
        <v>552299</v>
      </c>
      <c r="I723">
        <v>149342</v>
      </c>
      <c r="J723" t="s">
        <v>37</v>
      </c>
      <c r="K723" t="s">
        <v>41</v>
      </c>
      <c r="L723" t="s">
        <v>49</v>
      </c>
      <c r="M723" t="s">
        <v>22</v>
      </c>
    </row>
    <row r="724" spans="1:13">
      <c r="A724" t="s">
        <v>1273</v>
      </c>
      <c r="B724" t="s">
        <v>679</v>
      </c>
      <c r="C724" t="s">
        <v>33</v>
      </c>
      <c r="D724" t="s">
        <v>40</v>
      </c>
      <c r="E724" t="s">
        <v>46</v>
      </c>
      <c r="F724" t="s">
        <v>47</v>
      </c>
      <c r="G724">
        <v>272112</v>
      </c>
      <c r="H724">
        <v>365822</v>
      </c>
      <c r="I724">
        <v>93710</v>
      </c>
      <c r="J724" t="s">
        <v>54</v>
      </c>
      <c r="K724" t="s">
        <v>41</v>
      </c>
      <c r="L724" t="s">
        <v>49</v>
      </c>
      <c r="M724" t="s">
        <v>42</v>
      </c>
    </row>
    <row r="725" spans="1:13">
      <c r="A725" t="s">
        <v>1274</v>
      </c>
      <c r="B725" t="s">
        <v>533</v>
      </c>
      <c r="C725" t="s">
        <v>35</v>
      </c>
      <c r="D725" t="s">
        <v>16</v>
      </c>
      <c r="E725" t="s">
        <v>85</v>
      </c>
      <c r="F725" t="s">
        <v>86</v>
      </c>
      <c r="G725">
        <v>65066</v>
      </c>
      <c r="H725">
        <v>47814</v>
      </c>
      <c r="I725">
        <v>-17252</v>
      </c>
      <c r="J725" t="s">
        <v>19</v>
      </c>
      <c r="K725" t="s">
        <v>67</v>
      </c>
      <c r="L725" t="s">
        <v>49</v>
      </c>
      <c r="M725" t="s">
        <v>22</v>
      </c>
    </row>
    <row r="726" spans="1:13">
      <c r="A726" t="s">
        <v>1275</v>
      </c>
      <c r="B726" t="s">
        <v>74</v>
      </c>
      <c r="C726" t="s">
        <v>15</v>
      </c>
      <c r="D726" t="s">
        <v>61</v>
      </c>
      <c r="E726" t="s">
        <v>46</v>
      </c>
      <c r="F726" t="s">
        <v>47</v>
      </c>
      <c r="G726">
        <v>78620</v>
      </c>
      <c r="H726">
        <v>106979</v>
      </c>
      <c r="I726">
        <v>28359</v>
      </c>
      <c r="J726" t="s">
        <v>54</v>
      </c>
      <c r="K726" t="s">
        <v>48</v>
      </c>
      <c r="L726" t="s">
        <v>68</v>
      </c>
      <c r="M726" t="s">
        <v>42</v>
      </c>
    </row>
    <row r="727" spans="1:13">
      <c r="A727" t="s">
        <v>1276</v>
      </c>
      <c r="B727" t="s">
        <v>1014</v>
      </c>
      <c r="C727" t="s">
        <v>33</v>
      </c>
      <c r="D727" t="s">
        <v>16</v>
      </c>
      <c r="E727" t="s">
        <v>17</v>
      </c>
      <c r="F727" t="s">
        <v>18</v>
      </c>
      <c r="G727">
        <v>62645</v>
      </c>
      <c r="H727">
        <v>54735</v>
      </c>
      <c r="I727">
        <v>-7910</v>
      </c>
      <c r="J727" t="s">
        <v>54</v>
      </c>
      <c r="K727" t="s">
        <v>48</v>
      </c>
      <c r="L727" t="s">
        <v>68</v>
      </c>
      <c r="M727" t="s">
        <v>22</v>
      </c>
    </row>
    <row r="728" spans="1:13">
      <c r="A728" t="s">
        <v>1277</v>
      </c>
      <c r="B728" t="s">
        <v>1278</v>
      </c>
      <c r="C728" t="s">
        <v>25</v>
      </c>
      <c r="D728" t="s">
        <v>34</v>
      </c>
      <c r="E728" t="s">
        <v>85</v>
      </c>
      <c r="F728" t="s">
        <v>86</v>
      </c>
      <c r="G728">
        <v>284955</v>
      </c>
      <c r="H728">
        <v>360809</v>
      </c>
      <c r="I728">
        <v>75854</v>
      </c>
      <c r="J728" t="s">
        <v>54</v>
      </c>
      <c r="K728" t="s">
        <v>20</v>
      </c>
      <c r="L728" t="s">
        <v>30</v>
      </c>
      <c r="M728" t="s">
        <v>42</v>
      </c>
    </row>
    <row r="729" spans="1:13">
      <c r="A729" t="s">
        <v>1279</v>
      </c>
      <c r="B729" t="s">
        <v>249</v>
      </c>
      <c r="C729" t="s">
        <v>15</v>
      </c>
      <c r="D729" t="s">
        <v>40</v>
      </c>
      <c r="E729" t="s">
        <v>27</v>
      </c>
      <c r="F729" t="s">
        <v>28</v>
      </c>
      <c r="G729">
        <v>52814</v>
      </c>
      <c r="H729">
        <v>59029</v>
      </c>
      <c r="I729">
        <v>6215</v>
      </c>
      <c r="J729" t="s">
        <v>54</v>
      </c>
      <c r="K729" t="s">
        <v>67</v>
      </c>
      <c r="L729" t="s">
        <v>68</v>
      </c>
      <c r="M729" t="s">
        <v>42</v>
      </c>
    </row>
    <row r="730" spans="1:13">
      <c r="A730" t="s">
        <v>1280</v>
      </c>
      <c r="B730" t="s">
        <v>1281</v>
      </c>
      <c r="C730" t="s">
        <v>15</v>
      </c>
      <c r="D730" t="s">
        <v>61</v>
      </c>
      <c r="E730" t="s">
        <v>46</v>
      </c>
      <c r="F730" t="s">
        <v>47</v>
      </c>
      <c r="G730">
        <v>424414</v>
      </c>
      <c r="H730">
        <v>513062</v>
      </c>
      <c r="I730">
        <v>88648</v>
      </c>
      <c r="J730" t="s">
        <v>54</v>
      </c>
      <c r="K730" t="s">
        <v>67</v>
      </c>
      <c r="L730" t="s">
        <v>49</v>
      </c>
      <c r="M730" t="s">
        <v>42</v>
      </c>
    </row>
    <row r="731" spans="1:13">
      <c r="A731" t="s">
        <v>1282</v>
      </c>
      <c r="B731" t="s">
        <v>622</v>
      </c>
      <c r="C731" t="s">
        <v>35</v>
      </c>
      <c r="D731" t="s">
        <v>16</v>
      </c>
      <c r="E731" t="s">
        <v>85</v>
      </c>
      <c r="F731" t="s">
        <v>86</v>
      </c>
      <c r="G731">
        <v>133423</v>
      </c>
      <c r="H731">
        <v>125184</v>
      </c>
      <c r="I731">
        <v>-8239</v>
      </c>
      <c r="J731" t="s">
        <v>19</v>
      </c>
      <c r="K731" t="s">
        <v>41</v>
      </c>
      <c r="L731" t="s">
        <v>49</v>
      </c>
      <c r="M731" t="s">
        <v>42</v>
      </c>
    </row>
    <row r="732" spans="1:13">
      <c r="A732" t="s">
        <v>1283</v>
      </c>
      <c r="B732" t="s">
        <v>1284</v>
      </c>
      <c r="C732" t="s">
        <v>45</v>
      </c>
      <c r="D732" t="s">
        <v>26</v>
      </c>
      <c r="E732" t="s">
        <v>35</v>
      </c>
      <c r="F732" t="s">
        <v>36</v>
      </c>
      <c r="G732">
        <v>273673</v>
      </c>
      <c r="H732">
        <v>290085</v>
      </c>
      <c r="I732">
        <v>16412</v>
      </c>
      <c r="J732" t="s">
        <v>37</v>
      </c>
      <c r="K732" t="s">
        <v>48</v>
      </c>
      <c r="L732" t="s">
        <v>30</v>
      </c>
      <c r="M732" t="s">
        <v>42</v>
      </c>
    </row>
    <row r="733" spans="1:13">
      <c r="A733" t="s">
        <v>1285</v>
      </c>
      <c r="B733" t="s">
        <v>1286</v>
      </c>
      <c r="C733" t="s">
        <v>15</v>
      </c>
      <c r="D733" t="s">
        <v>40</v>
      </c>
      <c r="E733" t="s">
        <v>85</v>
      </c>
      <c r="F733" t="s">
        <v>86</v>
      </c>
      <c r="G733">
        <v>463694</v>
      </c>
      <c r="H733">
        <v>344222</v>
      </c>
      <c r="I733">
        <v>-119472</v>
      </c>
      <c r="J733" t="s">
        <v>19</v>
      </c>
      <c r="K733" t="s">
        <v>41</v>
      </c>
      <c r="L733" t="s">
        <v>30</v>
      </c>
      <c r="M733" t="s">
        <v>42</v>
      </c>
    </row>
    <row r="734" spans="1:13">
      <c r="A734" t="s">
        <v>1287</v>
      </c>
      <c r="B734" t="s">
        <v>1288</v>
      </c>
      <c r="C734" t="s">
        <v>35</v>
      </c>
      <c r="D734" t="s">
        <v>61</v>
      </c>
      <c r="E734" t="s">
        <v>35</v>
      </c>
      <c r="F734" t="s">
        <v>36</v>
      </c>
      <c r="G734">
        <v>313391</v>
      </c>
      <c r="H734">
        <v>392800</v>
      </c>
      <c r="I734">
        <v>79409</v>
      </c>
      <c r="J734" t="s">
        <v>37</v>
      </c>
      <c r="K734" t="s">
        <v>29</v>
      </c>
      <c r="L734" t="s">
        <v>49</v>
      </c>
      <c r="M734" t="s">
        <v>42</v>
      </c>
    </row>
    <row r="735" spans="1:13">
      <c r="A735" t="s">
        <v>1289</v>
      </c>
      <c r="B735" t="s">
        <v>559</v>
      </c>
      <c r="C735" t="s">
        <v>33</v>
      </c>
      <c r="D735" t="s">
        <v>34</v>
      </c>
      <c r="E735" t="s">
        <v>85</v>
      </c>
      <c r="F735" t="s">
        <v>86</v>
      </c>
      <c r="G735">
        <v>415978</v>
      </c>
      <c r="H735">
        <v>433898</v>
      </c>
      <c r="I735">
        <v>17920</v>
      </c>
      <c r="J735" t="s">
        <v>54</v>
      </c>
      <c r="K735" t="s">
        <v>48</v>
      </c>
      <c r="L735" t="s">
        <v>21</v>
      </c>
      <c r="M735" t="s">
        <v>22</v>
      </c>
    </row>
    <row r="736" spans="1:13">
      <c r="A736" t="s">
        <v>1290</v>
      </c>
      <c r="B736" t="s">
        <v>719</v>
      </c>
      <c r="C736" t="s">
        <v>35</v>
      </c>
      <c r="D736" t="s">
        <v>61</v>
      </c>
      <c r="E736" t="s">
        <v>27</v>
      </c>
      <c r="F736" t="s">
        <v>28</v>
      </c>
      <c r="G736">
        <v>200197</v>
      </c>
      <c r="H736">
        <v>226247</v>
      </c>
      <c r="I736">
        <v>26050</v>
      </c>
      <c r="J736" t="s">
        <v>37</v>
      </c>
      <c r="K736" t="s">
        <v>48</v>
      </c>
      <c r="L736" t="s">
        <v>21</v>
      </c>
      <c r="M736" t="s">
        <v>42</v>
      </c>
    </row>
    <row r="737" spans="1:13">
      <c r="A737" t="s">
        <v>1291</v>
      </c>
      <c r="B737" t="s">
        <v>1292</v>
      </c>
      <c r="C737" t="s">
        <v>45</v>
      </c>
      <c r="D737" t="s">
        <v>16</v>
      </c>
      <c r="E737" t="s">
        <v>85</v>
      </c>
      <c r="F737" t="s">
        <v>86</v>
      </c>
      <c r="G737">
        <v>91049</v>
      </c>
      <c r="H737">
        <v>101640</v>
      </c>
      <c r="I737">
        <v>10591</v>
      </c>
      <c r="J737" t="s">
        <v>54</v>
      </c>
      <c r="K737" t="s">
        <v>48</v>
      </c>
      <c r="L737" t="s">
        <v>49</v>
      </c>
      <c r="M737" t="s">
        <v>42</v>
      </c>
    </row>
    <row r="738" spans="1:13">
      <c r="A738" t="s">
        <v>1293</v>
      </c>
      <c r="B738" t="s">
        <v>404</v>
      </c>
      <c r="C738" t="s">
        <v>35</v>
      </c>
      <c r="D738" t="s">
        <v>26</v>
      </c>
      <c r="E738" t="s">
        <v>35</v>
      </c>
      <c r="F738" t="s">
        <v>36</v>
      </c>
      <c r="G738">
        <v>313325</v>
      </c>
      <c r="H738">
        <v>248058</v>
      </c>
      <c r="I738">
        <v>-65267</v>
      </c>
      <c r="J738" t="s">
        <v>54</v>
      </c>
      <c r="K738" t="s">
        <v>48</v>
      </c>
      <c r="L738" t="s">
        <v>30</v>
      </c>
      <c r="M738" t="s">
        <v>22</v>
      </c>
    </row>
    <row r="739" spans="1:13">
      <c r="A739" t="s">
        <v>1294</v>
      </c>
      <c r="B739" t="s">
        <v>357</v>
      </c>
      <c r="C739" t="s">
        <v>25</v>
      </c>
      <c r="D739" t="s">
        <v>61</v>
      </c>
      <c r="E739" t="s">
        <v>85</v>
      </c>
      <c r="F739" t="s">
        <v>86</v>
      </c>
      <c r="G739">
        <v>93581</v>
      </c>
      <c r="H739">
        <v>90158</v>
      </c>
      <c r="I739">
        <v>-3423</v>
      </c>
      <c r="J739" t="s">
        <v>37</v>
      </c>
      <c r="K739" t="s">
        <v>20</v>
      </c>
      <c r="L739" t="s">
        <v>30</v>
      </c>
      <c r="M739" t="s">
        <v>42</v>
      </c>
    </row>
    <row r="740" spans="1:13">
      <c r="A740" t="s">
        <v>1295</v>
      </c>
      <c r="B740" t="s">
        <v>456</v>
      </c>
      <c r="C740" t="s">
        <v>15</v>
      </c>
      <c r="D740" t="s">
        <v>16</v>
      </c>
      <c r="E740" t="s">
        <v>85</v>
      </c>
      <c r="F740" t="s">
        <v>86</v>
      </c>
      <c r="G740">
        <v>288929</v>
      </c>
      <c r="H740">
        <v>389646</v>
      </c>
      <c r="I740">
        <v>100717</v>
      </c>
      <c r="J740" t="s">
        <v>37</v>
      </c>
      <c r="K740" t="s">
        <v>67</v>
      </c>
      <c r="L740" t="s">
        <v>30</v>
      </c>
      <c r="M740" t="s">
        <v>42</v>
      </c>
    </row>
    <row r="741" spans="1:13">
      <c r="A741" t="s">
        <v>1296</v>
      </c>
      <c r="B741" t="s">
        <v>190</v>
      </c>
      <c r="C741" t="s">
        <v>15</v>
      </c>
      <c r="D741" t="s">
        <v>34</v>
      </c>
      <c r="E741" t="s">
        <v>71</v>
      </c>
      <c r="F741" t="s">
        <v>72</v>
      </c>
      <c r="G741">
        <v>385360</v>
      </c>
      <c r="H741">
        <v>279630</v>
      </c>
      <c r="I741">
        <v>-105730</v>
      </c>
      <c r="J741" t="s">
        <v>37</v>
      </c>
      <c r="K741" t="s">
        <v>29</v>
      </c>
      <c r="L741" t="s">
        <v>49</v>
      </c>
      <c r="M741" t="s">
        <v>42</v>
      </c>
    </row>
    <row r="742" spans="1:13">
      <c r="A742" t="s">
        <v>1297</v>
      </c>
      <c r="B742" t="s">
        <v>92</v>
      </c>
      <c r="C742" t="s">
        <v>64</v>
      </c>
      <c r="D742" t="s">
        <v>16</v>
      </c>
      <c r="E742" t="s">
        <v>46</v>
      </c>
      <c r="F742" t="s">
        <v>47</v>
      </c>
      <c r="G742">
        <v>245835</v>
      </c>
      <c r="H742">
        <v>196412</v>
      </c>
      <c r="I742">
        <v>-49423</v>
      </c>
      <c r="J742" t="s">
        <v>19</v>
      </c>
      <c r="K742" t="s">
        <v>41</v>
      </c>
      <c r="L742" t="s">
        <v>49</v>
      </c>
      <c r="M742" t="s">
        <v>42</v>
      </c>
    </row>
    <row r="743" spans="1:13">
      <c r="A743" t="s">
        <v>1298</v>
      </c>
      <c r="B743" t="s">
        <v>1246</v>
      </c>
      <c r="C743" t="s">
        <v>35</v>
      </c>
      <c r="D743" t="s">
        <v>26</v>
      </c>
      <c r="E743" t="s">
        <v>46</v>
      </c>
      <c r="F743" t="s">
        <v>47</v>
      </c>
      <c r="G743">
        <v>498748</v>
      </c>
      <c r="H743">
        <v>683888</v>
      </c>
      <c r="I743">
        <v>185140</v>
      </c>
      <c r="J743" t="s">
        <v>37</v>
      </c>
      <c r="K743" t="s">
        <v>41</v>
      </c>
      <c r="L743" t="s">
        <v>21</v>
      </c>
      <c r="M743" t="s">
        <v>22</v>
      </c>
    </row>
    <row r="744" spans="1:13">
      <c r="A744" t="s">
        <v>1299</v>
      </c>
      <c r="B744" t="s">
        <v>1300</v>
      </c>
      <c r="C744" t="s">
        <v>33</v>
      </c>
      <c r="D744" t="s">
        <v>61</v>
      </c>
      <c r="E744" t="s">
        <v>46</v>
      </c>
      <c r="F744" t="s">
        <v>47</v>
      </c>
      <c r="G744">
        <v>284357</v>
      </c>
      <c r="H744">
        <v>374895</v>
      </c>
      <c r="I744">
        <v>90538</v>
      </c>
      <c r="J744" t="s">
        <v>19</v>
      </c>
      <c r="K744" t="s">
        <v>67</v>
      </c>
      <c r="L744" t="s">
        <v>49</v>
      </c>
      <c r="M744" t="s">
        <v>42</v>
      </c>
    </row>
    <row r="745" spans="1:13">
      <c r="A745" t="s">
        <v>1301</v>
      </c>
      <c r="B745" t="s">
        <v>676</v>
      </c>
      <c r="C745" t="s">
        <v>35</v>
      </c>
      <c r="D745" t="s">
        <v>40</v>
      </c>
      <c r="E745" t="s">
        <v>27</v>
      </c>
      <c r="F745" t="s">
        <v>28</v>
      </c>
      <c r="G745">
        <v>278023</v>
      </c>
      <c r="H745">
        <v>373489</v>
      </c>
      <c r="I745">
        <v>95466</v>
      </c>
      <c r="J745" t="s">
        <v>19</v>
      </c>
      <c r="K745" t="s">
        <v>41</v>
      </c>
      <c r="L745" t="s">
        <v>68</v>
      </c>
      <c r="M745" t="s">
        <v>42</v>
      </c>
    </row>
    <row r="746" spans="1:13">
      <c r="A746" t="s">
        <v>1302</v>
      </c>
      <c r="B746" t="s">
        <v>1303</v>
      </c>
      <c r="C746" t="s">
        <v>35</v>
      </c>
      <c r="D746" t="s">
        <v>61</v>
      </c>
      <c r="E746" t="s">
        <v>46</v>
      </c>
      <c r="F746" t="s">
        <v>47</v>
      </c>
      <c r="G746">
        <v>63174</v>
      </c>
      <c r="H746">
        <v>58343</v>
      </c>
      <c r="I746">
        <v>-4831</v>
      </c>
      <c r="J746" t="s">
        <v>37</v>
      </c>
      <c r="K746" t="s">
        <v>29</v>
      </c>
      <c r="L746" t="s">
        <v>68</v>
      </c>
      <c r="M746" t="s">
        <v>22</v>
      </c>
    </row>
    <row r="747" spans="1:13">
      <c r="A747" t="s">
        <v>1304</v>
      </c>
      <c r="B747" t="s">
        <v>1305</v>
      </c>
      <c r="C747" t="s">
        <v>15</v>
      </c>
      <c r="D747" t="s">
        <v>40</v>
      </c>
      <c r="E747" t="s">
        <v>35</v>
      </c>
      <c r="F747" t="s">
        <v>36</v>
      </c>
      <c r="G747">
        <v>324720</v>
      </c>
      <c r="H747">
        <v>389189</v>
      </c>
      <c r="I747">
        <v>64469</v>
      </c>
      <c r="J747" t="s">
        <v>19</v>
      </c>
      <c r="K747" t="s">
        <v>48</v>
      </c>
      <c r="L747" t="s">
        <v>49</v>
      </c>
      <c r="M747" t="s">
        <v>22</v>
      </c>
    </row>
    <row r="748" spans="1:13">
      <c r="A748" t="s">
        <v>1306</v>
      </c>
      <c r="B748" t="s">
        <v>345</v>
      </c>
      <c r="C748" t="s">
        <v>35</v>
      </c>
      <c r="D748" t="s">
        <v>61</v>
      </c>
      <c r="E748" t="s">
        <v>71</v>
      </c>
      <c r="F748" t="s">
        <v>72</v>
      </c>
      <c r="G748">
        <v>127192</v>
      </c>
      <c r="H748">
        <v>111522</v>
      </c>
      <c r="I748">
        <v>-15670</v>
      </c>
      <c r="J748" t="s">
        <v>19</v>
      </c>
      <c r="K748" t="s">
        <v>48</v>
      </c>
      <c r="L748" t="s">
        <v>49</v>
      </c>
      <c r="M748" t="s">
        <v>22</v>
      </c>
    </row>
    <row r="749" spans="1:13">
      <c r="A749" t="s">
        <v>1307</v>
      </c>
      <c r="B749" t="s">
        <v>1308</v>
      </c>
      <c r="C749" t="s">
        <v>35</v>
      </c>
      <c r="D749" t="s">
        <v>34</v>
      </c>
      <c r="E749" t="s">
        <v>85</v>
      </c>
      <c r="F749" t="s">
        <v>86</v>
      </c>
      <c r="G749">
        <v>447580</v>
      </c>
      <c r="H749">
        <v>580083</v>
      </c>
      <c r="I749">
        <v>132503</v>
      </c>
      <c r="J749" t="s">
        <v>54</v>
      </c>
      <c r="K749" t="s">
        <v>41</v>
      </c>
      <c r="L749" t="s">
        <v>49</v>
      </c>
      <c r="M749" t="s">
        <v>42</v>
      </c>
    </row>
    <row r="750" spans="1:13">
      <c r="A750" t="s">
        <v>1309</v>
      </c>
      <c r="B750" t="s">
        <v>508</v>
      </c>
      <c r="C750" t="s">
        <v>25</v>
      </c>
      <c r="D750" t="s">
        <v>61</v>
      </c>
      <c r="E750" t="s">
        <v>85</v>
      </c>
      <c r="F750" t="s">
        <v>86</v>
      </c>
      <c r="G750">
        <v>496598</v>
      </c>
      <c r="H750">
        <v>668995</v>
      </c>
      <c r="I750">
        <v>172397</v>
      </c>
      <c r="J750" t="s">
        <v>37</v>
      </c>
      <c r="K750" t="s">
        <v>29</v>
      </c>
      <c r="L750" t="s">
        <v>30</v>
      </c>
      <c r="M750" t="s">
        <v>42</v>
      </c>
    </row>
    <row r="751" spans="1:13">
      <c r="A751" t="s">
        <v>1310</v>
      </c>
      <c r="B751" t="s">
        <v>1311</v>
      </c>
      <c r="C751" t="s">
        <v>35</v>
      </c>
      <c r="D751" t="s">
        <v>40</v>
      </c>
      <c r="E751" t="s">
        <v>27</v>
      </c>
      <c r="F751" t="s">
        <v>28</v>
      </c>
      <c r="G751">
        <v>468775</v>
      </c>
      <c r="H751">
        <v>647257</v>
      </c>
      <c r="I751">
        <v>178482</v>
      </c>
      <c r="J751" t="s">
        <v>54</v>
      </c>
      <c r="K751" t="s">
        <v>48</v>
      </c>
      <c r="L751" t="s">
        <v>30</v>
      </c>
      <c r="M751" t="s">
        <v>42</v>
      </c>
    </row>
    <row r="752" spans="1:13">
      <c r="A752" t="s">
        <v>1312</v>
      </c>
      <c r="B752" t="s">
        <v>1281</v>
      </c>
      <c r="C752" t="s">
        <v>35</v>
      </c>
      <c r="D752" t="s">
        <v>34</v>
      </c>
      <c r="E752" t="s">
        <v>71</v>
      </c>
      <c r="F752" t="s">
        <v>72</v>
      </c>
      <c r="G752">
        <v>424768</v>
      </c>
      <c r="H752">
        <v>398413</v>
      </c>
      <c r="I752">
        <v>-26355</v>
      </c>
      <c r="J752" t="s">
        <v>19</v>
      </c>
      <c r="K752" t="s">
        <v>20</v>
      </c>
      <c r="L752" t="s">
        <v>21</v>
      </c>
      <c r="M752" t="s">
        <v>42</v>
      </c>
    </row>
    <row r="753" spans="1:13">
      <c r="A753" t="s">
        <v>1313</v>
      </c>
      <c r="B753" t="s">
        <v>1303</v>
      </c>
      <c r="C753" t="s">
        <v>33</v>
      </c>
      <c r="D753" t="s">
        <v>34</v>
      </c>
      <c r="E753" t="s">
        <v>35</v>
      </c>
      <c r="F753" t="s">
        <v>36</v>
      </c>
      <c r="G753">
        <v>244286</v>
      </c>
      <c r="H753">
        <v>201911</v>
      </c>
      <c r="I753">
        <v>-42375</v>
      </c>
      <c r="J753" t="s">
        <v>54</v>
      </c>
      <c r="K753" t="s">
        <v>20</v>
      </c>
      <c r="L753" t="s">
        <v>49</v>
      </c>
      <c r="M753" t="s">
        <v>42</v>
      </c>
    </row>
    <row r="754" spans="1:13">
      <c r="A754" t="s">
        <v>1314</v>
      </c>
      <c r="B754" t="s">
        <v>156</v>
      </c>
      <c r="C754" t="s">
        <v>15</v>
      </c>
      <c r="D754" t="s">
        <v>34</v>
      </c>
      <c r="E754" t="s">
        <v>17</v>
      </c>
      <c r="F754" t="s">
        <v>18</v>
      </c>
      <c r="G754">
        <v>259633</v>
      </c>
      <c r="H754">
        <v>324346</v>
      </c>
      <c r="I754">
        <v>64713</v>
      </c>
      <c r="J754" t="s">
        <v>19</v>
      </c>
      <c r="K754" t="s">
        <v>29</v>
      </c>
      <c r="L754" t="s">
        <v>68</v>
      </c>
      <c r="M754" t="s">
        <v>22</v>
      </c>
    </row>
    <row r="755" spans="1:13">
      <c r="A755" t="s">
        <v>1315</v>
      </c>
      <c r="B755" t="s">
        <v>1316</v>
      </c>
      <c r="C755" t="s">
        <v>45</v>
      </c>
      <c r="D755" t="s">
        <v>40</v>
      </c>
      <c r="E755" t="s">
        <v>71</v>
      </c>
      <c r="F755" t="s">
        <v>72</v>
      </c>
      <c r="G755">
        <v>455379</v>
      </c>
      <c r="H755">
        <v>483604</v>
      </c>
      <c r="I755">
        <v>28225</v>
      </c>
      <c r="J755" t="s">
        <v>54</v>
      </c>
      <c r="K755" t="s">
        <v>48</v>
      </c>
      <c r="L755" t="s">
        <v>68</v>
      </c>
      <c r="M755" t="s">
        <v>42</v>
      </c>
    </row>
    <row r="756" spans="1:13">
      <c r="A756" t="s">
        <v>1317</v>
      </c>
      <c r="B756" t="s">
        <v>609</v>
      </c>
      <c r="C756" t="s">
        <v>45</v>
      </c>
      <c r="D756" t="s">
        <v>16</v>
      </c>
      <c r="E756" t="s">
        <v>35</v>
      </c>
      <c r="F756" t="s">
        <v>36</v>
      </c>
      <c r="G756">
        <v>368987</v>
      </c>
      <c r="H756">
        <v>471691</v>
      </c>
      <c r="I756">
        <v>102704</v>
      </c>
      <c r="J756" t="s">
        <v>19</v>
      </c>
      <c r="K756" t="s">
        <v>29</v>
      </c>
      <c r="L756" t="s">
        <v>21</v>
      </c>
      <c r="M756" t="s">
        <v>42</v>
      </c>
    </row>
    <row r="757" spans="1:13">
      <c r="A757" t="s">
        <v>1318</v>
      </c>
      <c r="B757" t="s">
        <v>229</v>
      </c>
      <c r="C757" t="s">
        <v>15</v>
      </c>
      <c r="D757" t="s">
        <v>61</v>
      </c>
      <c r="E757" t="s">
        <v>71</v>
      </c>
      <c r="F757" t="s">
        <v>72</v>
      </c>
      <c r="G757">
        <v>163269</v>
      </c>
      <c r="H757">
        <v>174096</v>
      </c>
      <c r="I757">
        <v>10827</v>
      </c>
      <c r="J757" t="s">
        <v>54</v>
      </c>
      <c r="K757" t="s">
        <v>29</v>
      </c>
      <c r="L757" t="s">
        <v>68</v>
      </c>
      <c r="M757" t="s">
        <v>22</v>
      </c>
    </row>
    <row r="758" spans="1:13">
      <c r="A758" t="s">
        <v>1319</v>
      </c>
      <c r="B758" t="s">
        <v>546</v>
      </c>
      <c r="C758" t="s">
        <v>64</v>
      </c>
      <c r="D758" t="s">
        <v>34</v>
      </c>
      <c r="E758" t="s">
        <v>71</v>
      </c>
      <c r="F758" t="s">
        <v>72</v>
      </c>
      <c r="G758">
        <v>105930</v>
      </c>
      <c r="H758">
        <v>115283</v>
      </c>
      <c r="I758">
        <v>9353</v>
      </c>
      <c r="J758" t="s">
        <v>54</v>
      </c>
      <c r="K758" t="s">
        <v>67</v>
      </c>
      <c r="L758" t="s">
        <v>30</v>
      </c>
      <c r="M758" t="s">
        <v>22</v>
      </c>
    </row>
    <row r="759" spans="1:13">
      <c r="A759" t="s">
        <v>1320</v>
      </c>
      <c r="B759" t="s">
        <v>780</v>
      </c>
      <c r="C759" t="s">
        <v>15</v>
      </c>
      <c r="D759" t="s">
        <v>61</v>
      </c>
      <c r="E759" t="s">
        <v>46</v>
      </c>
      <c r="F759" t="s">
        <v>47</v>
      </c>
      <c r="G759">
        <v>128697</v>
      </c>
      <c r="H759">
        <v>100676</v>
      </c>
      <c r="I759">
        <v>-28021</v>
      </c>
      <c r="J759" t="s">
        <v>37</v>
      </c>
      <c r="K759" t="s">
        <v>20</v>
      </c>
      <c r="L759" t="s">
        <v>21</v>
      </c>
      <c r="M759" t="s">
        <v>42</v>
      </c>
    </row>
    <row r="760" spans="1:13">
      <c r="A760" t="s">
        <v>1321</v>
      </c>
      <c r="B760" t="s">
        <v>112</v>
      </c>
      <c r="C760" t="s">
        <v>45</v>
      </c>
      <c r="D760" t="s">
        <v>16</v>
      </c>
      <c r="E760" t="s">
        <v>27</v>
      </c>
      <c r="F760" t="s">
        <v>28</v>
      </c>
      <c r="G760">
        <v>52917</v>
      </c>
      <c r="H760">
        <v>61640</v>
      </c>
      <c r="I760">
        <v>8723</v>
      </c>
      <c r="J760" t="s">
        <v>19</v>
      </c>
      <c r="K760" t="s">
        <v>20</v>
      </c>
      <c r="L760" t="s">
        <v>21</v>
      </c>
      <c r="M760" t="s">
        <v>42</v>
      </c>
    </row>
    <row r="761" spans="1:13">
      <c r="A761" t="s">
        <v>1322</v>
      </c>
      <c r="B761" t="s">
        <v>1323</v>
      </c>
      <c r="C761" t="s">
        <v>35</v>
      </c>
      <c r="D761" t="s">
        <v>40</v>
      </c>
      <c r="E761" t="s">
        <v>17</v>
      </c>
      <c r="F761" t="s">
        <v>18</v>
      </c>
      <c r="G761">
        <v>378419</v>
      </c>
      <c r="H761">
        <v>287884</v>
      </c>
      <c r="I761">
        <v>-90535</v>
      </c>
      <c r="J761" t="s">
        <v>37</v>
      </c>
      <c r="K761" t="s">
        <v>41</v>
      </c>
      <c r="L761" t="s">
        <v>21</v>
      </c>
      <c r="M761" t="s">
        <v>22</v>
      </c>
    </row>
    <row r="762" spans="1:13">
      <c r="A762" t="s">
        <v>1324</v>
      </c>
      <c r="B762" t="s">
        <v>767</v>
      </c>
      <c r="C762" t="s">
        <v>15</v>
      </c>
      <c r="D762" t="s">
        <v>34</v>
      </c>
      <c r="E762" t="s">
        <v>85</v>
      </c>
      <c r="F762" t="s">
        <v>86</v>
      </c>
      <c r="G762">
        <v>406200</v>
      </c>
      <c r="H762">
        <v>476411</v>
      </c>
      <c r="I762">
        <v>70211</v>
      </c>
      <c r="J762" t="s">
        <v>54</v>
      </c>
      <c r="K762" t="s">
        <v>20</v>
      </c>
      <c r="L762" t="s">
        <v>21</v>
      </c>
      <c r="M762" t="s">
        <v>22</v>
      </c>
    </row>
    <row r="763" spans="1:13">
      <c r="A763" t="s">
        <v>1325</v>
      </c>
      <c r="B763" t="s">
        <v>1326</v>
      </c>
      <c r="C763" t="s">
        <v>33</v>
      </c>
      <c r="D763" t="s">
        <v>26</v>
      </c>
      <c r="E763" t="s">
        <v>85</v>
      </c>
      <c r="F763" t="s">
        <v>86</v>
      </c>
      <c r="G763">
        <v>256369</v>
      </c>
      <c r="H763">
        <v>243644</v>
      </c>
      <c r="I763">
        <v>-12725</v>
      </c>
      <c r="J763" t="s">
        <v>54</v>
      </c>
      <c r="K763" t="s">
        <v>20</v>
      </c>
      <c r="L763" t="s">
        <v>49</v>
      </c>
      <c r="M763" t="s">
        <v>42</v>
      </c>
    </row>
    <row r="764" spans="1:13">
      <c r="A764" t="s">
        <v>1327</v>
      </c>
      <c r="B764" t="s">
        <v>586</v>
      </c>
      <c r="C764" t="s">
        <v>45</v>
      </c>
      <c r="D764" t="s">
        <v>40</v>
      </c>
      <c r="E764" t="s">
        <v>85</v>
      </c>
      <c r="F764" t="s">
        <v>86</v>
      </c>
      <c r="G764">
        <v>438565</v>
      </c>
      <c r="H764">
        <v>476474</v>
      </c>
      <c r="I764">
        <v>37909</v>
      </c>
      <c r="J764" t="s">
        <v>54</v>
      </c>
      <c r="K764" t="s">
        <v>29</v>
      </c>
      <c r="L764" t="s">
        <v>49</v>
      </c>
      <c r="M764" t="s">
        <v>22</v>
      </c>
    </row>
    <row r="765" spans="1:13">
      <c r="A765" t="s">
        <v>1328</v>
      </c>
      <c r="B765" t="s">
        <v>1329</v>
      </c>
      <c r="C765" t="s">
        <v>45</v>
      </c>
      <c r="D765" t="s">
        <v>40</v>
      </c>
      <c r="E765" t="s">
        <v>85</v>
      </c>
      <c r="F765" t="s">
        <v>86</v>
      </c>
      <c r="G765">
        <v>383715</v>
      </c>
      <c r="H765">
        <v>475035</v>
      </c>
      <c r="I765">
        <v>91320</v>
      </c>
      <c r="J765" t="s">
        <v>54</v>
      </c>
      <c r="K765" t="s">
        <v>20</v>
      </c>
      <c r="L765" t="s">
        <v>30</v>
      </c>
      <c r="M765" t="s">
        <v>22</v>
      </c>
    </row>
    <row r="766" spans="1:13">
      <c r="A766" t="s">
        <v>1330</v>
      </c>
      <c r="B766" t="s">
        <v>194</v>
      </c>
      <c r="C766" t="s">
        <v>35</v>
      </c>
      <c r="D766" t="s">
        <v>34</v>
      </c>
      <c r="E766" t="s">
        <v>46</v>
      </c>
      <c r="F766" t="s">
        <v>47</v>
      </c>
      <c r="G766">
        <v>282070</v>
      </c>
      <c r="H766">
        <v>266202</v>
      </c>
      <c r="I766">
        <v>-15868</v>
      </c>
      <c r="J766" t="s">
        <v>37</v>
      </c>
      <c r="K766" t="s">
        <v>48</v>
      </c>
      <c r="L766" t="s">
        <v>68</v>
      </c>
      <c r="M766" t="s">
        <v>22</v>
      </c>
    </row>
    <row r="767" spans="1:13">
      <c r="A767" t="s">
        <v>1331</v>
      </c>
      <c r="B767" t="s">
        <v>285</v>
      </c>
      <c r="C767" t="s">
        <v>45</v>
      </c>
      <c r="D767" t="s">
        <v>34</v>
      </c>
      <c r="E767" t="s">
        <v>17</v>
      </c>
      <c r="F767" t="s">
        <v>18</v>
      </c>
      <c r="G767">
        <v>289835</v>
      </c>
      <c r="H767">
        <v>308767</v>
      </c>
      <c r="I767">
        <v>18932</v>
      </c>
      <c r="J767" t="s">
        <v>19</v>
      </c>
      <c r="K767" t="s">
        <v>20</v>
      </c>
      <c r="L767" t="s">
        <v>21</v>
      </c>
      <c r="M767" t="s">
        <v>42</v>
      </c>
    </row>
    <row r="768" spans="1:13">
      <c r="A768" t="s">
        <v>1332</v>
      </c>
      <c r="B768" t="s">
        <v>1239</v>
      </c>
      <c r="C768" t="s">
        <v>33</v>
      </c>
      <c r="D768" t="s">
        <v>40</v>
      </c>
      <c r="E768" t="s">
        <v>17</v>
      </c>
      <c r="F768" t="s">
        <v>18</v>
      </c>
      <c r="G768">
        <v>286931</v>
      </c>
      <c r="H768">
        <v>226827</v>
      </c>
      <c r="I768">
        <v>-60104</v>
      </c>
      <c r="J768" t="s">
        <v>54</v>
      </c>
      <c r="K768" t="s">
        <v>41</v>
      </c>
      <c r="L768" t="s">
        <v>21</v>
      </c>
      <c r="M768" t="s">
        <v>42</v>
      </c>
    </row>
    <row r="769" spans="1:13">
      <c r="A769" t="s">
        <v>1333</v>
      </c>
      <c r="B769" t="s">
        <v>750</v>
      </c>
      <c r="C769" t="s">
        <v>45</v>
      </c>
      <c r="D769" t="s">
        <v>26</v>
      </c>
      <c r="E769" t="s">
        <v>17</v>
      </c>
      <c r="F769" t="s">
        <v>18</v>
      </c>
      <c r="G769">
        <v>427578</v>
      </c>
      <c r="H769">
        <v>519951</v>
      </c>
      <c r="I769">
        <v>92373</v>
      </c>
      <c r="J769" t="s">
        <v>37</v>
      </c>
      <c r="K769" t="s">
        <v>29</v>
      </c>
      <c r="L769" t="s">
        <v>30</v>
      </c>
      <c r="M769" t="s">
        <v>42</v>
      </c>
    </row>
    <row r="770" spans="1:13">
      <c r="A770" t="s">
        <v>1334</v>
      </c>
      <c r="B770" t="s">
        <v>354</v>
      </c>
      <c r="C770" t="s">
        <v>15</v>
      </c>
      <c r="D770" t="s">
        <v>34</v>
      </c>
      <c r="E770" t="s">
        <v>17</v>
      </c>
      <c r="F770" t="s">
        <v>18</v>
      </c>
      <c r="G770">
        <v>338035</v>
      </c>
      <c r="H770">
        <v>471297</v>
      </c>
      <c r="I770">
        <v>133262</v>
      </c>
      <c r="J770" t="s">
        <v>19</v>
      </c>
      <c r="K770" t="s">
        <v>67</v>
      </c>
      <c r="L770" t="s">
        <v>49</v>
      </c>
      <c r="M770" t="s">
        <v>42</v>
      </c>
    </row>
    <row r="771" spans="1:13">
      <c r="A771" t="s">
        <v>1335</v>
      </c>
      <c r="B771" t="s">
        <v>940</v>
      </c>
      <c r="C771" t="s">
        <v>35</v>
      </c>
      <c r="D771" t="s">
        <v>16</v>
      </c>
      <c r="E771" t="s">
        <v>46</v>
      </c>
      <c r="F771" t="s">
        <v>47</v>
      </c>
      <c r="G771">
        <v>308239</v>
      </c>
      <c r="H771">
        <v>294764</v>
      </c>
      <c r="I771">
        <v>-13475</v>
      </c>
      <c r="J771" t="s">
        <v>37</v>
      </c>
      <c r="K771" t="s">
        <v>41</v>
      </c>
      <c r="L771" t="s">
        <v>21</v>
      </c>
      <c r="M771" t="s">
        <v>42</v>
      </c>
    </row>
    <row r="772" spans="1:13">
      <c r="A772" t="s">
        <v>1336</v>
      </c>
      <c r="B772" t="s">
        <v>1337</v>
      </c>
      <c r="C772" t="s">
        <v>25</v>
      </c>
      <c r="D772" t="s">
        <v>34</v>
      </c>
      <c r="E772" t="s">
        <v>85</v>
      </c>
      <c r="F772" t="s">
        <v>86</v>
      </c>
      <c r="G772">
        <v>311711</v>
      </c>
      <c r="H772">
        <v>339747</v>
      </c>
      <c r="I772">
        <v>28036</v>
      </c>
      <c r="J772" t="s">
        <v>19</v>
      </c>
      <c r="K772" t="s">
        <v>48</v>
      </c>
      <c r="L772" t="s">
        <v>68</v>
      </c>
      <c r="M772" t="s">
        <v>22</v>
      </c>
    </row>
    <row r="773" spans="1:13">
      <c r="A773" t="s">
        <v>1338</v>
      </c>
      <c r="B773" t="s">
        <v>1339</v>
      </c>
      <c r="C773" t="s">
        <v>15</v>
      </c>
      <c r="D773" t="s">
        <v>26</v>
      </c>
      <c r="E773" t="s">
        <v>46</v>
      </c>
      <c r="F773" t="s">
        <v>47</v>
      </c>
      <c r="G773">
        <v>459163</v>
      </c>
      <c r="H773">
        <v>341836</v>
      </c>
      <c r="I773">
        <v>-117327</v>
      </c>
      <c r="J773" t="s">
        <v>19</v>
      </c>
      <c r="K773" t="s">
        <v>48</v>
      </c>
      <c r="L773" t="s">
        <v>68</v>
      </c>
      <c r="M773" t="s">
        <v>42</v>
      </c>
    </row>
    <row r="774" spans="1:13">
      <c r="A774" t="s">
        <v>1340</v>
      </c>
      <c r="B774" t="s">
        <v>745</v>
      </c>
      <c r="C774" t="s">
        <v>45</v>
      </c>
      <c r="D774" t="s">
        <v>16</v>
      </c>
      <c r="E774" t="s">
        <v>17</v>
      </c>
      <c r="F774" t="s">
        <v>18</v>
      </c>
      <c r="G774">
        <v>146959</v>
      </c>
      <c r="H774">
        <v>143554</v>
      </c>
      <c r="I774">
        <v>-3405</v>
      </c>
      <c r="J774" t="s">
        <v>54</v>
      </c>
      <c r="K774" t="s">
        <v>29</v>
      </c>
      <c r="L774" t="s">
        <v>49</v>
      </c>
      <c r="M774" t="s">
        <v>22</v>
      </c>
    </row>
    <row r="775" spans="1:13">
      <c r="A775" t="s">
        <v>1341</v>
      </c>
      <c r="B775" t="s">
        <v>670</v>
      </c>
      <c r="C775" t="s">
        <v>35</v>
      </c>
      <c r="D775" t="s">
        <v>16</v>
      </c>
      <c r="E775" t="s">
        <v>27</v>
      </c>
      <c r="F775" t="s">
        <v>28</v>
      </c>
      <c r="G775">
        <v>453832</v>
      </c>
      <c r="H775">
        <v>608191</v>
      </c>
      <c r="I775">
        <v>154359</v>
      </c>
      <c r="J775" t="s">
        <v>54</v>
      </c>
      <c r="K775" t="s">
        <v>29</v>
      </c>
      <c r="L775" t="s">
        <v>21</v>
      </c>
      <c r="M775" t="s">
        <v>22</v>
      </c>
    </row>
    <row r="776" spans="1:13">
      <c r="A776" t="s">
        <v>1342</v>
      </c>
      <c r="B776" t="s">
        <v>1101</v>
      </c>
      <c r="C776" t="s">
        <v>45</v>
      </c>
      <c r="D776" t="s">
        <v>40</v>
      </c>
      <c r="E776" t="s">
        <v>46</v>
      </c>
      <c r="F776" t="s">
        <v>47</v>
      </c>
      <c r="G776">
        <v>216965</v>
      </c>
      <c r="H776">
        <v>271839</v>
      </c>
      <c r="I776">
        <v>54874</v>
      </c>
      <c r="J776" t="s">
        <v>54</v>
      </c>
      <c r="K776" t="s">
        <v>41</v>
      </c>
      <c r="L776" t="s">
        <v>21</v>
      </c>
      <c r="M776" t="s">
        <v>22</v>
      </c>
    </row>
    <row r="777" spans="1:13">
      <c r="A777" t="s">
        <v>1343</v>
      </c>
      <c r="B777" t="s">
        <v>1344</v>
      </c>
      <c r="C777" t="s">
        <v>45</v>
      </c>
      <c r="D777" t="s">
        <v>16</v>
      </c>
      <c r="E777" t="s">
        <v>71</v>
      </c>
      <c r="F777" t="s">
        <v>72</v>
      </c>
      <c r="G777">
        <v>300682</v>
      </c>
      <c r="H777">
        <v>293477</v>
      </c>
      <c r="I777">
        <v>-7205</v>
      </c>
      <c r="J777" t="s">
        <v>54</v>
      </c>
      <c r="K777" t="s">
        <v>41</v>
      </c>
      <c r="L777" t="s">
        <v>49</v>
      </c>
      <c r="M777" t="s">
        <v>22</v>
      </c>
    </row>
    <row r="778" spans="1:13">
      <c r="A778" t="s">
        <v>1345</v>
      </c>
      <c r="B778" t="s">
        <v>521</v>
      </c>
      <c r="C778" t="s">
        <v>33</v>
      </c>
      <c r="D778" t="s">
        <v>26</v>
      </c>
      <c r="E778" t="s">
        <v>71</v>
      </c>
      <c r="F778" t="s">
        <v>72</v>
      </c>
      <c r="G778">
        <v>367226</v>
      </c>
      <c r="H778">
        <v>483134</v>
      </c>
      <c r="I778">
        <v>115908</v>
      </c>
      <c r="J778" t="s">
        <v>19</v>
      </c>
      <c r="K778" t="s">
        <v>67</v>
      </c>
      <c r="L778" t="s">
        <v>68</v>
      </c>
      <c r="M778" t="s">
        <v>22</v>
      </c>
    </row>
    <row r="779" spans="1:13">
      <c r="A779" t="s">
        <v>1346</v>
      </c>
      <c r="B779" t="s">
        <v>1347</v>
      </c>
      <c r="C779" t="s">
        <v>45</v>
      </c>
      <c r="D779" t="s">
        <v>61</v>
      </c>
      <c r="E779" t="s">
        <v>35</v>
      </c>
      <c r="F779" t="s">
        <v>36</v>
      </c>
      <c r="G779">
        <v>427360</v>
      </c>
      <c r="H779">
        <v>482455</v>
      </c>
      <c r="I779">
        <v>55095</v>
      </c>
      <c r="J779" t="s">
        <v>37</v>
      </c>
      <c r="K779" t="s">
        <v>20</v>
      </c>
      <c r="L779" t="s">
        <v>49</v>
      </c>
      <c r="M779" t="s">
        <v>42</v>
      </c>
    </row>
    <row r="780" spans="1:13">
      <c r="A780" t="s">
        <v>1348</v>
      </c>
      <c r="B780" t="s">
        <v>867</v>
      </c>
      <c r="C780" t="s">
        <v>25</v>
      </c>
      <c r="D780" t="s">
        <v>34</v>
      </c>
      <c r="E780" t="s">
        <v>71</v>
      </c>
      <c r="F780" t="s">
        <v>72</v>
      </c>
      <c r="G780">
        <v>444522</v>
      </c>
      <c r="H780">
        <v>505149</v>
      </c>
      <c r="I780">
        <v>60627</v>
      </c>
      <c r="J780" t="s">
        <v>54</v>
      </c>
      <c r="K780" t="s">
        <v>20</v>
      </c>
      <c r="L780" t="s">
        <v>21</v>
      </c>
      <c r="M780" t="s">
        <v>42</v>
      </c>
    </row>
    <row r="781" spans="1:13">
      <c r="A781" t="s">
        <v>1349</v>
      </c>
      <c r="B781" t="s">
        <v>679</v>
      </c>
      <c r="C781" t="s">
        <v>64</v>
      </c>
      <c r="D781" t="s">
        <v>16</v>
      </c>
      <c r="E781" t="s">
        <v>46</v>
      </c>
      <c r="F781" t="s">
        <v>47</v>
      </c>
      <c r="G781">
        <v>224903</v>
      </c>
      <c r="H781">
        <v>272239</v>
      </c>
      <c r="I781">
        <v>47336</v>
      </c>
      <c r="J781" t="s">
        <v>19</v>
      </c>
      <c r="K781" t="s">
        <v>29</v>
      </c>
      <c r="L781" t="s">
        <v>21</v>
      </c>
      <c r="M781" t="s">
        <v>42</v>
      </c>
    </row>
    <row r="782" spans="1:13">
      <c r="A782" t="s">
        <v>1350</v>
      </c>
      <c r="B782" t="s">
        <v>1351</v>
      </c>
      <c r="C782" t="s">
        <v>64</v>
      </c>
      <c r="D782" t="s">
        <v>16</v>
      </c>
      <c r="E782" t="s">
        <v>27</v>
      </c>
      <c r="F782" t="s">
        <v>28</v>
      </c>
      <c r="G782">
        <v>150990</v>
      </c>
      <c r="H782">
        <v>175937</v>
      </c>
      <c r="I782">
        <v>24947</v>
      </c>
      <c r="J782" t="s">
        <v>19</v>
      </c>
      <c r="K782" t="s">
        <v>29</v>
      </c>
      <c r="L782" t="s">
        <v>21</v>
      </c>
      <c r="M782" t="s">
        <v>42</v>
      </c>
    </row>
    <row r="783" spans="1:13">
      <c r="A783" t="s">
        <v>1352</v>
      </c>
      <c r="B783" t="s">
        <v>643</v>
      </c>
      <c r="C783" t="s">
        <v>33</v>
      </c>
      <c r="D783" t="s">
        <v>34</v>
      </c>
      <c r="E783" t="s">
        <v>85</v>
      </c>
      <c r="F783" t="s">
        <v>86</v>
      </c>
      <c r="G783">
        <v>330732</v>
      </c>
      <c r="H783">
        <v>363504</v>
      </c>
      <c r="I783">
        <v>32772</v>
      </c>
      <c r="J783" t="s">
        <v>54</v>
      </c>
      <c r="K783" t="s">
        <v>29</v>
      </c>
      <c r="L783" t="s">
        <v>49</v>
      </c>
      <c r="M783" t="s">
        <v>22</v>
      </c>
    </row>
    <row r="784" spans="1:13">
      <c r="A784" t="s">
        <v>1353</v>
      </c>
      <c r="B784" t="s">
        <v>1244</v>
      </c>
      <c r="C784" t="s">
        <v>25</v>
      </c>
      <c r="D784" t="s">
        <v>34</v>
      </c>
      <c r="E784" t="s">
        <v>27</v>
      </c>
      <c r="F784" t="s">
        <v>28</v>
      </c>
      <c r="G784">
        <v>371897</v>
      </c>
      <c r="H784">
        <v>261479</v>
      </c>
      <c r="I784">
        <v>-110418</v>
      </c>
      <c r="J784" t="s">
        <v>54</v>
      </c>
      <c r="K784" t="s">
        <v>20</v>
      </c>
      <c r="L784" t="s">
        <v>68</v>
      </c>
      <c r="M784" t="s">
        <v>42</v>
      </c>
    </row>
    <row r="785" spans="1:13">
      <c r="A785" t="s">
        <v>1354</v>
      </c>
      <c r="B785" t="s">
        <v>1355</v>
      </c>
      <c r="C785" t="s">
        <v>15</v>
      </c>
      <c r="D785" t="s">
        <v>61</v>
      </c>
      <c r="E785" t="s">
        <v>17</v>
      </c>
      <c r="F785" t="s">
        <v>18</v>
      </c>
      <c r="G785">
        <v>262775</v>
      </c>
      <c r="H785">
        <v>321743</v>
      </c>
      <c r="I785">
        <v>58968</v>
      </c>
      <c r="J785" t="s">
        <v>37</v>
      </c>
      <c r="K785" t="s">
        <v>48</v>
      </c>
      <c r="L785" t="s">
        <v>68</v>
      </c>
      <c r="M785" t="s">
        <v>42</v>
      </c>
    </row>
    <row r="786" spans="1:13">
      <c r="A786" t="s">
        <v>1356</v>
      </c>
      <c r="B786" t="s">
        <v>523</v>
      </c>
      <c r="C786" t="s">
        <v>33</v>
      </c>
      <c r="D786" t="s">
        <v>26</v>
      </c>
      <c r="E786" t="s">
        <v>85</v>
      </c>
      <c r="F786" t="s">
        <v>86</v>
      </c>
      <c r="G786">
        <v>201303</v>
      </c>
      <c r="H786">
        <v>206655</v>
      </c>
      <c r="I786">
        <v>5352</v>
      </c>
      <c r="J786" t="s">
        <v>54</v>
      </c>
      <c r="K786" t="s">
        <v>29</v>
      </c>
      <c r="L786" t="s">
        <v>49</v>
      </c>
      <c r="M786" t="s">
        <v>42</v>
      </c>
    </row>
    <row r="787" spans="1:13">
      <c r="A787" t="s">
        <v>1357</v>
      </c>
      <c r="B787" t="s">
        <v>245</v>
      </c>
      <c r="C787" t="s">
        <v>33</v>
      </c>
      <c r="D787" t="s">
        <v>16</v>
      </c>
      <c r="E787" t="s">
        <v>17</v>
      </c>
      <c r="F787" t="s">
        <v>18</v>
      </c>
      <c r="G787">
        <v>387506</v>
      </c>
      <c r="H787">
        <v>498952</v>
      </c>
      <c r="I787">
        <v>111446</v>
      </c>
      <c r="J787" t="s">
        <v>19</v>
      </c>
      <c r="K787" t="s">
        <v>29</v>
      </c>
      <c r="L787" t="s">
        <v>68</v>
      </c>
      <c r="M787" t="s">
        <v>42</v>
      </c>
    </row>
    <row r="788" spans="1:13">
      <c r="A788" t="s">
        <v>1358</v>
      </c>
      <c r="B788" t="s">
        <v>233</v>
      </c>
      <c r="C788" t="s">
        <v>33</v>
      </c>
      <c r="D788" t="s">
        <v>40</v>
      </c>
      <c r="E788" t="s">
        <v>35</v>
      </c>
      <c r="F788" t="s">
        <v>36</v>
      </c>
      <c r="G788">
        <v>181627</v>
      </c>
      <c r="H788">
        <v>208101</v>
      </c>
      <c r="I788">
        <v>26474</v>
      </c>
      <c r="J788" t="s">
        <v>37</v>
      </c>
      <c r="K788" t="s">
        <v>41</v>
      </c>
      <c r="L788" t="s">
        <v>68</v>
      </c>
      <c r="M788" t="s">
        <v>22</v>
      </c>
    </row>
    <row r="789" spans="1:13">
      <c r="A789" t="s">
        <v>1359</v>
      </c>
      <c r="B789" t="s">
        <v>406</v>
      </c>
      <c r="C789" t="s">
        <v>25</v>
      </c>
      <c r="D789" t="s">
        <v>16</v>
      </c>
      <c r="E789" t="s">
        <v>71</v>
      </c>
      <c r="F789" t="s">
        <v>72</v>
      </c>
      <c r="G789">
        <v>470866</v>
      </c>
      <c r="H789">
        <v>415557</v>
      </c>
      <c r="I789">
        <v>-55309</v>
      </c>
      <c r="J789" t="s">
        <v>19</v>
      </c>
      <c r="K789" t="s">
        <v>29</v>
      </c>
      <c r="L789" t="s">
        <v>21</v>
      </c>
      <c r="M789" t="s">
        <v>22</v>
      </c>
    </row>
    <row r="790" spans="1:13">
      <c r="A790" t="s">
        <v>1360</v>
      </c>
      <c r="B790" t="s">
        <v>176</v>
      </c>
      <c r="C790" t="s">
        <v>35</v>
      </c>
      <c r="D790" t="s">
        <v>34</v>
      </c>
      <c r="E790" t="s">
        <v>85</v>
      </c>
      <c r="F790" t="s">
        <v>86</v>
      </c>
      <c r="G790">
        <v>86035</v>
      </c>
      <c r="H790">
        <v>114801</v>
      </c>
      <c r="I790">
        <v>28766</v>
      </c>
      <c r="J790" t="s">
        <v>19</v>
      </c>
      <c r="K790" t="s">
        <v>29</v>
      </c>
      <c r="L790" t="s">
        <v>21</v>
      </c>
      <c r="M790" t="s">
        <v>42</v>
      </c>
    </row>
    <row r="791" spans="1:13">
      <c r="A791" t="s">
        <v>1361</v>
      </c>
      <c r="B791" t="s">
        <v>1362</v>
      </c>
      <c r="C791" t="s">
        <v>25</v>
      </c>
      <c r="D791" t="s">
        <v>26</v>
      </c>
      <c r="E791" t="s">
        <v>17</v>
      </c>
      <c r="F791" t="s">
        <v>18</v>
      </c>
      <c r="G791">
        <v>371110</v>
      </c>
      <c r="H791">
        <v>481439</v>
      </c>
      <c r="I791">
        <v>110329</v>
      </c>
      <c r="J791" t="s">
        <v>54</v>
      </c>
      <c r="K791" t="s">
        <v>67</v>
      </c>
      <c r="L791" t="s">
        <v>30</v>
      </c>
      <c r="M791" t="s">
        <v>42</v>
      </c>
    </row>
    <row r="792" spans="1:13">
      <c r="A792" t="s">
        <v>1363</v>
      </c>
      <c r="B792" t="s">
        <v>640</v>
      </c>
      <c r="C792" t="s">
        <v>35</v>
      </c>
      <c r="D792" t="s">
        <v>16</v>
      </c>
      <c r="E792" t="s">
        <v>71</v>
      </c>
      <c r="F792" t="s">
        <v>72</v>
      </c>
      <c r="G792">
        <v>182312</v>
      </c>
      <c r="H792">
        <v>192090</v>
      </c>
      <c r="I792">
        <v>9778</v>
      </c>
      <c r="J792" t="s">
        <v>37</v>
      </c>
      <c r="K792" t="s">
        <v>48</v>
      </c>
      <c r="L792" t="s">
        <v>21</v>
      </c>
      <c r="M792" t="s">
        <v>42</v>
      </c>
    </row>
    <row r="793" spans="1:13">
      <c r="A793" t="s">
        <v>1364</v>
      </c>
      <c r="B793" t="s">
        <v>837</v>
      </c>
      <c r="C793" t="s">
        <v>25</v>
      </c>
      <c r="D793" t="s">
        <v>34</v>
      </c>
      <c r="E793" t="s">
        <v>46</v>
      </c>
      <c r="F793" t="s">
        <v>47</v>
      </c>
      <c r="G793">
        <v>227124</v>
      </c>
      <c r="H793">
        <v>201016</v>
      </c>
      <c r="I793">
        <v>-26108</v>
      </c>
      <c r="J793" t="s">
        <v>37</v>
      </c>
      <c r="K793" t="s">
        <v>67</v>
      </c>
      <c r="L793" t="s">
        <v>30</v>
      </c>
      <c r="M793" t="s">
        <v>42</v>
      </c>
    </row>
    <row r="794" spans="1:13">
      <c r="A794" t="s">
        <v>1365</v>
      </c>
      <c r="B794" t="s">
        <v>1366</v>
      </c>
      <c r="C794" t="s">
        <v>25</v>
      </c>
      <c r="D794" t="s">
        <v>34</v>
      </c>
      <c r="E794" t="s">
        <v>85</v>
      </c>
      <c r="F794" t="s">
        <v>86</v>
      </c>
      <c r="G794">
        <v>124419</v>
      </c>
      <c r="H794">
        <v>165716</v>
      </c>
      <c r="I794">
        <v>41297</v>
      </c>
      <c r="J794" t="s">
        <v>37</v>
      </c>
      <c r="K794" t="s">
        <v>29</v>
      </c>
      <c r="L794" t="s">
        <v>21</v>
      </c>
      <c r="M794" t="s">
        <v>42</v>
      </c>
    </row>
    <row r="795" spans="1:13">
      <c r="A795" t="s">
        <v>1367</v>
      </c>
      <c r="B795" t="s">
        <v>1368</v>
      </c>
      <c r="C795" t="s">
        <v>64</v>
      </c>
      <c r="D795" t="s">
        <v>26</v>
      </c>
      <c r="E795" t="s">
        <v>85</v>
      </c>
      <c r="F795" t="s">
        <v>86</v>
      </c>
      <c r="G795">
        <v>401688</v>
      </c>
      <c r="H795">
        <v>383576</v>
      </c>
      <c r="I795">
        <v>-18112</v>
      </c>
      <c r="J795" t="s">
        <v>37</v>
      </c>
      <c r="K795" t="s">
        <v>29</v>
      </c>
      <c r="L795" t="s">
        <v>21</v>
      </c>
      <c r="M795" t="s">
        <v>22</v>
      </c>
    </row>
    <row r="796" spans="1:13">
      <c r="A796" t="s">
        <v>1369</v>
      </c>
      <c r="B796" t="s">
        <v>712</v>
      </c>
      <c r="C796" t="s">
        <v>45</v>
      </c>
      <c r="D796" t="s">
        <v>40</v>
      </c>
      <c r="E796" t="s">
        <v>71</v>
      </c>
      <c r="F796" t="s">
        <v>72</v>
      </c>
      <c r="G796">
        <v>50783</v>
      </c>
      <c r="H796">
        <v>40107</v>
      </c>
      <c r="I796">
        <v>-10676</v>
      </c>
      <c r="J796" t="s">
        <v>19</v>
      </c>
      <c r="K796" t="s">
        <v>67</v>
      </c>
      <c r="L796" t="s">
        <v>30</v>
      </c>
      <c r="M796" t="s">
        <v>42</v>
      </c>
    </row>
    <row r="797" spans="1:13">
      <c r="A797" t="s">
        <v>1370</v>
      </c>
      <c r="B797" t="s">
        <v>1371</v>
      </c>
      <c r="C797" t="s">
        <v>33</v>
      </c>
      <c r="D797" t="s">
        <v>40</v>
      </c>
      <c r="E797" t="s">
        <v>35</v>
      </c>
      <c r="F797" t="s">
        <v>36</v>
      </c>
      <c r="G797">
        <v>281778</v>
      </c>
      <c r="H797">
        <v>353377</v>
      </c>
      <c r="I797">
        <v>71599</v>
      </c>
      <c r="J797" t="s">
        <v>54</v>
      </c>
      <c r="K797" t="s">
        <v>67</v>
      </c>
      <c r="L797" t="s">
        <v>30</v>
      </c>
      <c r="M797" t="s">
        <v>42</v>
      </c>
    </row>
    <row r="798" spans="1:13">
      <c r="A798" t="s">
        <v>1372</v>
      </c>
      <c r="B798" t="s">
        <v>533</v>
      </c>
      <c r="C798" t="s">
        <v>25</v>
      </c>
      <c r="D798" t="s">
        <v>34</v>
      </c>
      <c r="E798" t="s">
        <v>85</v>
      </c>
      <c r="F798" t="s">
        <v>86</v>
      </c>
      <c r="G798">
        <v>270837</v>
      </c>
      <c r="H798">
        <v>358327</v>
      </c>
      <c r="I798">
        <v>87490</v>
      </c>
      <c r="J798" t="s">
        <v>54</v>
      </c>
      <c r="K798" t="s">
        <v>20</v>
      </c>
      <c r="L798" t="s">
        <v>30</v>
      </c>
      <c r="M798" t="s">
        <v>22</v>
      </c>
    </row>
    <row r="799" spans="1:13">
      <c r="A799" t="s">
        <v>1373</v>
      </c>
      <c r="B799" t="s">
        <v>1374</v>
      </c>
      <c r="C799" t="s">
        <v>45</v>
      </c>
      <c r="D799" t="s">
        <v>34</v>
      </c>
      <c r="E799" t="s">
        <v>17</v>
      </c>
      <c r="F799" t="s">
        <v>18</v>
      </c>
      <c r="G799">
        <v>458760</v>
      </c>
      <c r="H799">
        <v>573194</v>
      </c>
      <c r="I799">
        <v>114434</v>
      </c>
      <c r="J799" t="s">
        <v>54</v>
      </c>
      <c r="K799" t="s">
        <v>29</v>
      </c>
      <c r="L799" t="s">
        <v>30</v>
      </c>
      <c r="M799" t="s">
        <v>42</v>
      </c>
    </row>
    <row r="800" spans="1:13">
      <c r="A800" t="s">
        <v>1375</v>
      </c>
      <c r="B800" t="s">
        <v>1376</v>
      </c>
      <c r="C800" t="s">
        <v>15</v>
      </c>
      <c r="D800" t="s">
        <v>61</v>
      </c>
      <c r="E800" t="s">
        <v>17</v>
      </c>
      <c r="F800" t="s">
        <v>18</v>
      </c>
      <c r="G800">
        <v>154712</v>
      </c>
      <c r="H800">
        <v>124843</v>
      </c>
      <c r="I800">
        <v>-29869</v>
      </c>
      <c r="J800" t="s">
        <v>37</v>
      </c>
      <c r="K800" t="s">
        <v>48</v>
      </c>
      <c r="L800" t="s">
        <v>30</v>
      </c>
      <c r="M800" t="s">
        <v>42</v>
      </c>
    </row>
    <row r="801" spans="1:13">
      <c r="A801" t="s">
        <v>1377</v>
      </c>
      <c r="B801" t="s">
        <v>1378</v>
      </c>
      <c r="C801" t="s">
        <v>64</v>
      </c>
      <c r="D801" t="s">
        <v>16</v>
      </c>
      <c r="E801" t="s">
        <v>46</v>
      </c>
      <c r="F801" t="s">
        <v>47</v>
      </c>
      <c r="G801">
        <v>295709</v>
      </c>
      <c r="H801">
        <v>329812</v>
      </c>
      <c r="I801">
        <v>34103</v>
      </c>
      <c r="J801" t="s">
        <v>19</v>
      </c>
      <c r="K801" t="s">
        <v>41</v>
      </c>
      <c r="L801" t="s">
        <v>49</v>
      </c>
      <c r="M801" t="s">
        <v>42</v>
      </c>
    </row>
    <row r="802" spans="1:13">
      <c r="A802" t="s">
        <v>1379</v>
      </c>
      <c r="B802" t="s">
        <v>1380</v>
      </c>
      <c r="C802" t="s">
        <v>64</v>
      </c>
      <c r="D802" t="s">
        <v>34</v>
      </c>
      <c r="E802" t="s">
        <v>35</v>
      </c>
      <c r="F802" t="s">
        <v>36</v>
      </c>
      <c r="G802">
        <v>89098</v>
      </c>
      <c r="H802">
        <v>81850</v>
      </c>
      <c r="I802">
        <v>-7248</v>
      </c>
      <c r="J802" t="s">
        <v>54</v>
      </c>
      <c r="K802" t="s">
        <v>29</v>
      </c>
      <c r="L802" t="s">
        <v>49</v>
      </c>
      <c r="M802" t="s">
        <v>22</v>
      </c>
    </row>
    <row r="803" spans="1:13">
      <c r="A803" t="s">
        <v>1381</v>
      </c>
      <c r="B803" t="s">
        <v>239</v>
      </c>
      <c r="C803" t="s">
        <v>25</v>
      </c>
      <c r="D803" t="s">
        <v>61</v>
      </c>
      <c r="E803" t="s">
        <v>35</v>
      </c>
      <c r="F803" t="s">
        <v>36</v>
      </c>
      <c r="G803">
        <v>260919</v>
      </c>
      <c r="H803">
        <v>194992</v>
      </c>
      <c r="I803">
        <v>-65927</v>
      </c>
      <c r="J803" t="s">
        <v>54</v>
      </c>
      <c r="K803" t="s">
        <v>41</v>
      </c>
      <c r="L803" t="s">
        <v>49</v>
      </c>
      <c r="M803" t="s">
        <v>42</v>
      </c>
    </row>
    <row r="804" spans="1:13">
      <c r="A804" t="s">
        <v>1382</v>
      </c>
      <c r="B804" t="s">
        <v>1383</v>
      </c>
      <c r="C804" t="s">
        <v>35</v>
      </c>
      <c r="D804" t="s">
        <v>40</v>
      </c>
      <c r="E804" t="s">
        <v>35</v>
      </c>
      <c r="F804" t="s">
        <v>36</v>
      </c>
      <c r="G804">
        <v>303106</v>
      </c>
      <c r="H804">
        <v>408204</v>
      </c>
      <c r="I804">
        <v>105098</v>
      </c>
      <c r="J804" t="s">
        <v>19</v>
      </c>
      <c r="K804" t="s">
        <v>29</v>
      </c>
      <c r="L804" t="s">
        <v>68</v>
      </c>
      <c r="M804" t="s">
        <v>42</v>
      </c>
    </row>
    <row r="805" spans="1:13">
      <c r="A805" t="s">
        <v>1384</v>
      </c>
      <c r="B805" t="s">
        <v>1385</v>
      </c>
      <c r="C805" t="s">
        <v>15</v>
      </c>
      <c r="D805" t="s">
        <v>40</v>
      </c>
      <c r="E805" t="s">
        <v>46</v>
      </c>
      <c r="F805" t="s">
        <v>47</v>
      </c>
      <c r="G805">
        <v>492434</v>
      </c>
      <c r="H805">
        <v>423216</v>
      </c>
      <c r="I805">
        <v>-69218</v>
      </c>
      <c r="J805" t="s">
        <v>37</v>
      </c>
      <c r="K805" t="s">
        <v>20</v>
      </c>
      <c r="L805" t="s">
        <v>49</v>
      </c>
      <c r="M805" t="s">
        <v>22</v>
      </c>
    </row>
    <row r="806" spans="1:13">
      <c r="A806" t="s">
        <v>1386</v>
      </c>
      <c r="B806" t="s">
        <v>172</v>
      </c>
      <c r="C806" t="s">
        <v>33</v>
      </c>
      <c r="D806" t="s">
        <v>16</v>
      </c>
      <c r="E806" t="s">
        <v>46</v>
      </c>
      <c r="F806" t="s">
        <v>47</v>
      </c>
      <c r="G806">
        <v>299784</v>
      </c>
      <c r="H806">
        <v>388952</v>
      </c>
      <c r="I806">
        <v>89168</v>
      </c>
      <c r="J806" t="s">
        <v>54</v>
      </c>
      <c r="K806" t="s">
        <v>67</v>
      </c>
      <c r="L806" t="s">
        <v>68</v>
      </c>
      <c r="M806" t="s">
        <v>42</v>
      </c>
    </row>
    <row r="807" spans="1:13">
      <c r="A807" t="s">
        <v>1387</v>
      </c>
      <c r="B807" t="s">
        <v>1388</v>
      </c>
      <c r="C807" t="s">
        <v>25</v>
      </c>
      <c r="D807" t="s">
        <v>61</v>
      </c>
      <c r="E807" t="s">
        <v>35</v>
      </c>
      <c r="F807" t="s">
        <v>36</v>
      </c>
      <c r="G807">
        <v>422769</v>
      </c>
      <c r="H807">
        <v>464646</v>
      </c>
      <c r="I807">
        <v>41877</v>
      </c>
      <c r="J807" t="s">
        <v>37</v>
      </c>
      <c r="K807" t="s">
        <v>20</v>
      </c>
      <c r="L807" t="s">
        <v>68</v>
      </c>
      <c r="M807" t="s">
        <v>42</v>
      </c>
    </row>
    <row r="808" spans="1:13">
      <c r="A808" t="s">
        <v>1389</v>
      </c>
      <c r="B808" t="s">
        <v>1390</v>
      </c>
      <c r="C808" t="s">
        <v>45</v>
      </c>
      <c r="D808" t="s">
        <v>40</v>
      </c>
      <c r="E808" t="s">
        <v>71</v>
      </c>
      <c r="F808" t="s">
        <v>72</v>
      </c>
      <c r="G808">
        <v>211489</v>
      </c>
      <c r="H808">
        <v>164296</v>
      </c>
      <c r="I808">
        <v>-47193</v>
      </c>
      <c r="J808" t="s">
        <v>54</v>
      </c>
      <c r="K808" t="s">
        <v>67</v>
      </c>
      <c r="L808" t="s">
        <v>68</v>
      </c>
      <c r="M808" t="s">
        <v>42</v>
      </c>
    </row>
    <row r="809" spans="1:13">
      <c r="A809" t="s">
        <v>1391</v>
      </c>
      <c r="B809" t="s">
        <v>1392</v>
      </c>
      <c r="C809" t="s">
        <v>35</v>
      </c>
      <c r="D809" t="s">
        <v>40</v>
      </c>
      <c r="E809" t="s">
        <v>27</v>
      </c>
      <c r="F809" t="s">
        <v>28</v>
      </c>
      <c r="G809">
        <v>151657</v>
      </c>
      <c r="H809">
        <v>194518</v>
      </c>
      <c r="I809">
        <v>42861</v>
      </c>
      <c r="J809" t="s">
        <v>37</v>
      </c>
      <c r="K809" t="s">
        <v>41</v>
      </c>
      <c r="L809" t="s">
        <v>49</v>
      </c>
      <c r="M809" t="s">
        <v>22</v>
      </c>
    </row>
    <row r="810" spans="1:13">
      <c r="A810" t="s">
        <v>1393</v>
      </c>
      <c r="B810" t="s">
        <v>1394</v>
      </c>
      <c r="C810" t="s">
        <v>35</v>
      </c>
      <c r="D810" t="s">
        <v>34</v>
      </c>
      <c r="E810" t="s">
        <v>85</v>
      </c>
      <c r="F810" t="s">
        <v>86</v>
      </c>
      <c r="G810">
        <v>275135</v>
      </c>
      <c r="H810">
        <v>290293</v>
      </c>
      <c r="I810">
        <v>15158</v>
      </c>
      <c r="J810" t="s">
        <v>19</v>
      </c>
      <c r="K810" t="s">
        <v>67</v>
      </c>
      <c r="L810" t="s">
        <v>30</v>
      </c>
      <c r="M810" t="s">
        <v>22</v>
      </c>
    </row>
    <row r="811" spans="1:13">
      <c r="A811" t="s">
        <v>1395</v>
      </c>
      <c r="B811" t="s">
        <v>1091</v>
      </c>
      <c r="C811" t="s">
        <v>15</v>
      </c>
      <c r="D811" t="s">
        <v>34</v>
      </c>
      <c r="E811" t="s">
        <v>71</v>
      </c>
      <c r="F811" t="s">
        <v>72</v>
      </c>
      <c r="G811">
        <v>161080</v>
      </c>
      <c r="H811">
        <v>114048</v>
      </c>
      <c r="I811">
        <v>-47032</v>
      </c>
      <c r="J811" t="s">
        <v>37</v>
      </c>
      <c r="K811" t="s">
        <v>29</v>
      </c>
      <c r="L811" t="s">
        <v>49</v>
      </c>
      <c r="M811" t="s">
        <v>22</v>
      </c>
    </row>
    <row r="812" spans="1:13">
      <c r="A812" t="s">
        <v>1396</v>
      </c>
      <c r="B812" t="s">
        <v>1152</v>
      </c>
      <c r="C812" t="s">
        <v>33</v>
      </c>
      <c r="D812" t="s">
        <v>34</v>
      </c>
      <c r="E812" t="s">
        <v>46</v>
      </c>
      <c r="F812" t="s">
        <v>47</v>
      </c>
      <c r="G812">
        <v>141394</v>
      </c>
      <c r="H812">
        <v>120708</v>
      </c>
      <c r="I812">
        <v>-20686</v>
      </c>
      <c r="J812" t="s">
        <v>37</v>
      </c>
      <c r="K812" t="s">
        <v>29</v>
      </c>
      <c r="L812" t="s">
        <v>21</v>
      </c>
      <c r="M812" t="s">
        <v>22</v>
      </c>
    </row>
    <row r="813" spans="1:13">
      <c r="A813" t="s">
        <v>1397</v>
      </c>
      <c r="B813" t="s">
        <v>1398</v>
      </c>
      <c r="C813" t="s">
        <v>64</v>
      </c>
      <c r="D813" t="s">
        <v>26</v>
      </c>
      <c r="E813" t="s">
        <v>17</v>
      </c>
      <c r="F813" t="s">
        <v>18</v>
      </c>
      <c r="G813">
        <v>161026</v>
      </c>
      <c r="H813">
        <v>198086</v>
      </c>
      <c r="I813">
        <v>37060</v>
      </c>
      <c r="J813" t="s">
        <v>54</v>
      </c>
      <c r="K813" t="s">
        <v>29</v>
      </c>
      <c r="L813" t="s">
        <v>68</v>
      </c>
      <c r="M813" t="s">
        <v>42</v>
      </c>
    </row>
    <row r="814" spans="1:13">
      <c r="A814" t="s">
        <v>1399</v>
      </c>
      <c r="B814" t="s">
        <v>1311</v>
      </c>
      <c r="C814" t="s">
        <v>25</v>
      </c>
      <c r="D814" t="s">
        <v>40</v>
      </c>
      <c r="E814" t="s">
        <v>27</v>
      </c>
      <c r="F814" t="s">
        <v>28</v>
      </c>
      <c r="G814">
        <v>185228</v>
      </c>
      <c r="H814">
        <v>242726</v>
      </c>
      <c r="I814">
        <v>57498</v>
      </c>
      <c r="J814" t="s">
        <v>37</v>
      </c>
      <c r="K814" t="s">
        <v>29</v>
      </c>
      <c r="L814" t="s">
        <v>30</v>
      </c>
      <c r="M814" t="s">
        <v>42</v>
      </c>
    </row>
    <row r="815" spans="1:13">
      <c r="A815" t="s">
        <v>1400</v>
      </c>
      <c r="B815" t="s">
        <v>243</v>
      </c>
      <c r="C815" t="s">
        <v>35</v>
      </c>
      <c r="D815" t="s">
        <v>40</v>
      </c>
      <c r="E815" t="s">
        <v>85</v>
      </c>
      <c r="F815" t="s">
        <v>86</v>
      </c>
      <c r="G815">
        <v>230712</v>
      </c>
      <c r="H815">
        <v>218699</v>
      </c>
      <c r="I815">
        <v>-12013</v>
      </c>
      <c r="J815" t="s">
        <v>19</v>
      </c>
      <c r="K815" t="s">
        <v>20</v>
      </c>
      <c r="L815" t="s">
        <v>49</v>
      </c>
      <c r="M815" t="s">
        <v>42</v>
      </c>
    </row>
    <row r="816" spans="1:13">
      <c r="A816" t="s">
        <v>1401</v>
      </c>
      <c r="B816" t="s">
        <v>1402</v>
      </c>
      <c r="C816" t="s">
        <v>15</v>
      </c>
      <c r="D816" t="s">
        <v>40</v>
      </c>
      <c r="E816" t="s">
        <v>46</v>
      </c>
      <c r="F816" t="s">
        <v>47</v>
      </c>
      <c r="G816">
        <v>142637</v>
      </c>
      <c r="H816">
        <v>193592</v>
      </c>
      <c r="I816">
        <v>50955</v>
      </c>
      <c r="J816" t="s">
        <v>54</v>
      </c>
      <c r="K816" t="s">
        <v>48</v>
      </c>
      <c r="L816" t="s">
        <v>21</v>
      </c>
      <c r="M816" t="s">
        <v>42</v>
      </c>
    </row>
    <row r="817" spans="1:13">
      <c r="A817" t="s">
        <v>1403</v>
      </c>
      <c r="B817" t="s">
        <v>1404</v>
      </c>
      <c r="C817" t="s">
        <v>15</v>
      </c>
      <c r="D817" t="s">
        <v>26</v>
      </c>
      <c r="E817" t="s">
        <v>35</v>
      </c>
      <c r="F817" t="s">
        <v>36</v>
      </c>
      <c r="G817">
        <v>54270</v>
      </c>
      <c r="H817">
        <v>49728</v>
      </c>
      <c r="I817">
        <v>-4542</v>
      </c>
      <c r="J817" t="s">
        <v>54</v>
      </c>
      <c r="K817" t="s">
        <v>48</v>
      </c>
      <c r="L817" t="s">
        <v>21</v>
      </c>
      <c r="M817" t="s">
        <v>22</v>
      </c>
    </row>
    <row r="818" spans="1:13">
      <c r="A818" t="s">
        <v>1405</v>
      </c>
      <c r="B818" t="s">
        <v>506</v>
      </c>
      <c r="C818" t="s">
        <v>35</v>
      </c>
      <c r="D818" t="s">
        <v>26</v>
      </c>
      <c r="E818" t="s">
        <v>35</v>
      </c>
      <c r="F818" t="s">
        <v>36</v>
      </c>
      <c r="G818">
        <v>487455</v>
      </c>
      <c r="H818">
        <v>350990</v>
      </c>
      <c r="I818">
        <v>-136465</v>
      </c>
      <c r="J818" t="s">
        <v>54</v>
      </c>
      <c r="K818" t="s">
        <v>29</v>
      </c>
      <c r="L818" t="s">
        <v>49</v>
      </c>
      <c r="M818" t="s">
        <v>42</v>
      </c>
    </row>
    <row r="819" spans="1:13">
      <c r="A819" t="s">
        <v>1406</v>
      </c>
      <c r="B819" t="s">
        <v>622</v>
      </c>
      <c r="C819" t="s">
        <v>45</v>
      </c>
      <c r="D819" t="s">
        <v>34</v>
      </c>
      <c r="E819" t="s">
        <v>27</v>
      </c>
      <c r="F819" t="s">
        <v>28</v>
      </c>
      <c r="G819">
        <v>488978</v>
      </c>
      <c r="H819">
        <v>659405</v>
      </c>
      <c r="I819">
        <v>170427</v>
      </c>
      <c r="J819" t="s">
        <v>19</v>
      </c>
      <c r="K819" t="s">
        <v>48</v>
      </c>
      <c r="L819" t="s">
        <v>30</v>
      </c>
      <c r="M819" t="s">
        <v>22</v>
      </c>
    </row>
    <row r="820" spans="1:13">
      <c r="A820" t="s">
        <v>1407</v>
      </c>
      <c r="B820" t="s">
        <v>1408</v>
      </c>
      <c r="C820" t="s">
        <v>35</v>
      </c>
      <c r="D820" t="s">
        <v>40</v>
      </c>
      <c r="E820" t="s">
        <v>27</v>
      </c>
      <c r="F820" t="s">
        <v>28</v>
      </c>
      <c r="G820">
        <v>218051</v>
      </c>
      <c r="H820">
        <v>221639</v>
      </c>
      <c r="I820">
        <v>3588</v>
      </c>
      <c r="J820" t="s">
        <v>19</v>
      </c>
      <c r="K820" t="s">
        <v>48</v>
      </c>
      <c r="L820" t="s">
        <v>49</v>
      </c>
      <c r="M820" t="s">
        <v>22</v>
      </c>
    </row>
    <row r="821" spans="1:13">
      <c r="A821" t="s">
        <v>1409</v>
      </c>
      <c r="B821" t="s">
        <v>112</v>
      </c>
      <c r="C821" t="s">
        <v>45</v>
      </c>
      <c r="D821" t="s">
        <v>16</v>
      </c>
      <c r="E821" t="s">
        <v>27</v>
      </c>
      <c r="F821" t="s">
        <v>28</v>
      </c>
      <c r="G821">
        <v>248455</v>
      </c>
      <c r="H821">
        <v>177406</v>
      </c>
      <c r="I821">
        <v>-71049</v>
      </c>
      <c r="J821" t="s">
        <v>19</v>
      </c>
      <c r="K821" t="s">
        <v>67</v>
      </c>
      <c r="L821" t="s">
        <v>68</v>
      </c>
      <c r="M821" t="s">
        <v>22</v>
      </c>
    </row>
    <row r="822" spans="1:13">
      <c r="A822" t="s">
        <v>1410</v>
      </c>
      <c r="B822" t="s">
        <v>845</v>
      </c>
      <c r="C822" t="s">
        <v>64</v>
      </c>
      <c r="D822" t="s">
        <v>34</v>
      </c>
      <c r="E822" t="s">
        <v>71</v>
      </c>
      <c r="F822" t="s">
        <v>72</v>
      </c>
      <c r="G822">
        <v>495756</v>
      </c>
      <c r="H822">
        <v>671215</v>
      </c>
      <c r="I822">
        <v>175459</v>
      </c>
      <c r="J822" t="s">
        <v>19</v>
      </c>
      <c r="K822" t="s">
        <v>48</v>
      </c>
      <c r="L822" t="s">
        <v>21</v>
      </c>
      <c r="M822" t="s">
        <v>22</v>
      </c>
    </row>
    <row r="823" spans="1:13">
      <c r="A823" t="s">
        <v>1411</v>
      </c>
      <c r="B823" t="s">
        <v>1074</v>
      </c>
      <c r="C823" t="s">
        <v>45</v>
      </c>
      <c r="D823" t="s">
        <v>34</v>
      </c>
      <c r="E823" t="s">
        <v>46</v>
      </c>
      <c r="F823" t="s">
        <v>47</v>
      </c>
      <c r="G823">
        <v>236727</v>
      </c>
      <c r="H823">
        <v>283652</v>
      </c>
      <c r="I823">
        <v>46925</v>
      </c>
      <c r="J823" t="s">
        <v>54</v>
      </c>
      <c r="K823" t="s">
        <v>48</v>
      </c>
      <c r="L823" t="s">
        <v>30</v>
      </c>
      <c r="M823" t="s">
        <v>42</v>
      </c>
    </row>
    <row r="824" spans="1:13">
      <c r="A824" t="s">
        <v>1412</v>
      </c>
      <c r="B824" t="s">
        <v>1085</v>
      </c>
      <c r="C824" t="s">
        <v>33</v>
      </c>
      <c r="D824" t="s">
        <v>16</v>
      </c>
      <c r="E824" t="s">
        <v>35</v>
      </c>
      <c r="F824" t="s">
        <v>36</v>
      </c>
      <c r="G824">
        <v>334413</v>
      </c>
      <c r="H824">
        <v>239028</v>
      </c>
      <c r="I824">
        <v>-95385</v>
      </c>
      <c r="J824" t="s">
        <v>54</v>
      </c>
      <c r="K824" t="s">
        <v>67</v>
      </c>
      <c r="L824" t="s">
        <v>21</v>
      </c>
      <c r="M824" t="s">
        <v>42</v>
      </c>
    </row>
    <row r="825" spans="1:13">
      <c r="A825" t="s">
        <v>1413</v>
      </c>
      <c r="B825" t="s">
        <v>603</v>
      </c>
      <c r="C825" t="s">
        <v>64</v>
      </c>
      <c r="D825" t="s">
        <v>40</v>
      </c>
      <c r="E825" t="s">
        <v>35</v>
      </c>
      <c r="F825" t="s">
        <v>36</v>
      </c>
      <c r="G825">
        <v>100362</v>
      </c>
      <c r="H825">
        <v>85332</v>
      </c>
      <c r="I825">
        <v>-15030</v>
      </c>
      <c r="J825" t="s">
        <v>37</v>
      </c>
      <c r="K825" t="s">
        <v>29</v>
      </c>
      <c r="L825" t="s">
        <v>49</v>
      </c>
      <c r="M825" t="s">
        <v>42</v>
      </c>
    </row>
    <row r="826" spans="1:13">
      <c r="A826" t="s">
        <v>1414</v>
      </c>
      <c r="B826" t="s">
        <v>60</v>
      </c>
      <c r="C826" t="s">
        <v>15</v>
      </c>
      <c r="D826" t="s">
        <v>16</v>
      </c>
      <c r="E826" t="s">
        <v>85</v>
      </c>
      <c r="F826" t="s">
        <v>86</v>
      </c>
      <c r="G826">
        <v>268508</v>
      </c>
      <c r="H826">
        <v>251967</v>
      </c>
      <c r="I826">
        <v>-16541</v>
      </c>
      <c r="J826" t="s">
        <v>54</v>
      </c>
      <c r="K826" t="s">
        <v>20</v>
      </c>
      <c r="L826" t="s">
        <v>21</v>
      </c>
      <c r="M826" t="s">
        <v>42</v>
      </c>
    </row>
    <row r="827" spans="1:13">
      <c r="A827" t="s">
        <v>1415</v>
      </c>
      <c r="B827" t="s">
        <v>1416</v>
      </c>
      <c r="C827" t="s">
        <v>33</v>
      </c>
      <c r="D827" t="s">
        <v>40</v>
      </c>
      <c r="E827" t="s">
        <v>17</v>
      </c>
      <c r="F827" t="s">
        <v>18</v>
      </c>
      <c r="G827">
        <v>253337</v>
      </c>
      <c r="H827">
        <v>336487</v>
      </c>
      <c r="I827">
        <v>83150</v>
      </c>
      <c r="J827" t="s">
        <v>54</v>
      </c>
      <c r="K827" t="s">
        <v>29</v>
      </c>
      <c r="L827" t="s">
        <v>49</v>
      </c>
      <c r="M827" t="s">
        <v>22</v>
      </c>
    </row>
    <row r="828" spans="1:13">
      <c r="A828" t="s">
        <v>1417</v>
      </c>
      <c r="B828" t="s">
        <v>350</v>
      </c>
      <c r="C828" t="s">
        <v>15</v>
      </c>
      <c r="D828" t="s">
        <v>16</v>
      </c>
      <c r="E828" t="s">
        <v>35</v>
      </c>
      <c r="F828" t="s">
        <v>36</v>
      </c>
      <c r="G828">
        <v>473108</v>
      </c>
      <c r="H828">
        <v>521259</v>
      </c>
      <c r="I828">
        <v>48151</v>
      </c>
      <c r="J828" t="s">
        <v>37</v>
      </c>
      <c r="K828" t="s">
        <v>41</v>
      </c>
      <c r="L828" t="s">
        <v>30</v>
      </c>
      <c r="M828" t="s">
        <v>22</v>
      </c>
    </row>
    <row r="829" spans="1:13">
      <c r="A829" t="s">
        <v>1418</v>
      </c>
      <c r="B829" t="s">
        <v>1419</v>
      </c>
      <c r="C829" t="s">
        <v>25</v>
      </c>
      <c r="D829" t="s">
        <v>34</v>
      </c>
      <c r="E829" t="s">
        <v>35</v>
      </c>
      <c r="F829" t="s">
        <v>36</v>
      </c>
      <c r="G829">
        <v>477257</v>
      </c>
      <c r="H829">
        <v>512839</v>
      </c>
      <c r="I829">
        <v>35582</v>
      </c>
      <c r="J829" t="s">
        <v>37</v>
      </c>
      <c r="K829" t="s">
        <v>67</v>
      </c>
      <c r="L829" t="s">
        <v>49</v>
      </c>
      <c r="M829" t="s">
        <v>42</v>
      </c>
    </row>
    <row r="830" spans="1:13">
      <c r="A830" t="s">
        <v>1420</v>
      </c>
      <c r="B830" t="s">
        <v>1025</v>
      </c>
      <c r="C830" t="s">
        <v>25</v>
      </c>
      <c r="D830" t="s">
        <v>16</v>
      </c>
      <c r="E830" t="s">
        <v>71</v>
      </c>
      <c r="F830" t="s">
        <v>72</v>
      </c>
      <c r="G830">
        <v>96648</v>
      </c>
      <c r="H830">
        <v>115848</v>
      </c>
      <c r="I830">
        <v>19200</v>
      </c>
      <c r="J830" t="s">
        <v>37</v>
      </c>
      <c r="K830" t="s">
        <v>67</v>
      </c>
      <c r="L830" t="s">
        <v>49</v>
      </c>
      <c r="M830" t="s">
        <v>42</v>
      </c>
    </row>
    <row r="831" spans="1:13">
      <c r="A831" t="s">
        <v>1421</v>
      </c>
      <c r="B831" t="s">
        <v>1422</v>
      </c>
      <c r="C831" t="s">
        <v>45</v>
      </c>
      <c r="D831" t="s">
        <v>26</v>
      </c>
      <c r="E831" t="s">
        <v>27</v>
      </c>
      <c r="F831" t="s">
        <v>28</v>
      </c>
      <c r="G831">
        <v>432449</v>
      </c>
      <c r="H831">
        <v>374333</v>
      </c>
      <c r="I831">
        <v>-58116</v>
      </c>
      <c r="J831" t="s">
        <v>37</v>
      </c>
      <c r="K831" t="s">
        <v>41</v>
      </c>
      <c r="L831" t="s">
        <v>30</v>
      </c>
      <c r="M831" t="s">
        <v>22</v>
      </c>
    </row>
    <row r="832" spans="1:13">
      <c r="A832" t="s">
        <v>1423</v>
      </c>
      <c r="B832" t="s">
        <v>1424</v>
      </c>
      <c r="C832" t="s">
        <v>35</v>
      </c>
      <c r="D832" t="s">
        <v>26</v>
      </c>
      <c r="E832" t="s">
        <v>71</v>
      </c>
      <c r="F832" t="s">
        <v>72</v>
      </c>
      <c r="G832">
        <v>295295</v>
      </c>
      <c r="H832">
        <v>296361</v>
      </c>
      <c r="I832">
        <v>1066</v>
      </c>
      <c r="J832" t="s">
        <v>19</v>
      </c>
      <c r="K832" t="s">
        <v>41</v>
      </c>
      <c r="L832" t="s">
        <v>30</v>
      </c>
      <c r="M832" t="s">
        <v>42</v>
      </c>
    </row>
    <row r="833" spans="1:13">
      <c r="A833" t="s">
        <v>1425</v>
      </c>
      <c r="B833" t="s">
        <v>1426</v>
      </c>
      <c r="C833" t="s">
        <v>33</v>
      </c>
      <c r="D833" t="s">
        <v>61</v>
      </c>
      <c r="E833" t="s">
        <v>71</v>
      </c>
      <c r="F833" t="s">
        <v>72</v>
      </c>
      <c r="G833">
        <v>305498</v>
      </c>
      <c r="H833">
        <v>216761</v>
      </c>
      <c r="I833">
        <v>-88737</v>
      </c>
      <c r="J833" t="s">
        <v>19</v>
      </c>
      <c r="K833" t="s">
        <v>29</v>
      </c>
      <c r="L833" t="s">
        <v>21</v>
      </c>
      <c r="M833" t="s">
        <v>22</v>
      </c>
    </row>
    <row r="834" spans="1:13">
      <c r="A834" t="s">
        <v>1427</v>
      </c>
      <c r="B834" t="s">
        <v>1037</v>
      </c>
      <c r="C834" t="s">
        <v>25</v>
      </c>
      <c r="D834" t="s">
        <v>40</v>
      </c>
      <c r="E834" t="s">
        <v>85</v>
      </c>
      <c r="F834" t="s">
        <v>86</v>
      </c>
      <c r="G834">
        <v>233185</v>
      </c>
      <c r="H834">
        <v>288641</v>
      </c>
      <c r="I834">
        <v>55456</v>
      </c>
      <c r="J834" t="s">
        <v>37</v>
      </c>
      <c r="K834" t="s">
        <v>48</v>
      </c>
      <c r="L834" t="s">
        <v>49</v>
      </c>
      <c r="M834" t="s">
        <v>42</v>
      </c>
    </row>
    <row r="835" spans="1:13">
      <c r="A835" t="s">
        <v>1428</v>
      </c>
      <c r="B835" t="s">
        <v>51</v>
      </c>
      <c r="C835" t="s">
        <v>45</v>
      </c>
      <c r="D835" t="s">
        <v>40</v>
      </c>
      <c r="E835" t="s">
        <v>35</v>
      </c>
      <c r="F835" t="s">
        <v>36</v>
      </c>
      <c r="G835">
        <v>64094</v>
      </c>
      <c r="H835">
        <v>68510</v>
      </c>
      <c r="I835">
        <v>4416</v>
      </c>
      <c r="J835" t="s">
        <v>37</v>
      </c>
      <c r="K835" t="s">
        <v>48</v>
      </c>
      <c r="L835" t="s">
        <v>68</v>
      </c>
      <c r="M835" t="s">
        <v>42</v>
      </c>
    </row>
    <row r="836" spans="1:13">
      <c r="A836" t="s">
        <v>1429</v>
      </c>
      <c r="B836" t="s">
        <v>1430</v>
      </c>
      <c r="C836" t="s">
        <v>35</v>
      </c>
      <c r="D836" t="s">
        <v>40</v>
      </c>
      <c r="E836" t="s">
        <v>27</v>
      </c>
      <c r="F836" t="s">
        <v>28</v>
      </c>
      <c r="G836">
        <v>83743</v>
      </c>
      <c r="H836">
        <v>71803</v>
      </c>
      <c r="I836">
        <v>-11940</v>
      </c>
      <c r="J836" t="s">
        <v>37</v>
      </c>
      <c r="K836" t="s">
        <v>48</v>
      </c>
      <c r="L836" t="s">
        <v>30</v>
      </c>
      <c r="M836" t="s">
        <v>22</v>
      </c>
    </row>
    <row r="837" spans="1:13">
      <c r="A837" t="s">
        <v>1431</v>
      </c>
      <c r="B837" t="s">
        <v>1432</v>
      </c>
      <c r="C837" t="s">
        <v>33</v>
      </c>
      <c r="D837" t="s">
        <v>34</v>
      </c>
      <c r="E837" t="s">
        <v>27</v>
      </c>
      <c r="F837" t="s">
        <v>28</v>
      </c>
      <c r="G837">
        <v>138279</v>
      </c>
      <c r="H837">
        <v>136775</v>
      </c>
      <c r="I837">
        <v>-1504</v>
      </c>
      <c r="J837" t="s">
        <v>54</v>
      </c>
      <c r="K837" t="s">
        <v>48</v>
      </c>
      <c r="L837" t="s">
        <v>30</v>
      </c>
      <c r="M837" t="s">
        <v>22</v>
      </c>
    </row>
    <row r="838" spans="1:13">
      <c r="A838" t="s">
        <v>1433</v>
      </c>
      <c r="B838" t="s">
        <v>1434</v>
      </c>
      <c r="C838" t="s">
        <v>15</v>
      </c>
      <c r="D838" t="s">
        <v>26</v>
      </c>
      <c r="E838" t="s">
        <v>17</v>
      </c>
      <c r="F838" t="s">
        <v>18</v>
      </c>
      <c r="G838">
        <v>342919</v>
      </c>
      <c r="H838">
        <v>268842</v>
      </c>
      <c r="I838">
        <v>-74077</v>
      </c>
      <c r="J838" t="s">
        <v>19</v>
      </c>
      <c r="K838" t="s">
        <v>67</v>
      </c>
      <c r="L838" t="s">
        <v>30</v>
      </c>
      <c r="M838" t="s">
        <v>22</v>
      </c>
    </row>
    <row r="839" spans="1:13">
      <c r="A839" t="s">
        <v>1435</v>
      </c>
      <c r="B839" t="s">
        <v>1436</v>
      </c>
      <c r="C839" t="s">
        <v>25</v>
      </c>
      <c r="D839" t="s">
        <v>40</v>
      </c>
      <c r="E839" t="s">
        <v>46</v>
      </c>
      <c r="F839" t="s">
        <v>47</v>
      </c>
      <c r="G839">
        <v>284884</v>
      </c>
      <c r="H839">
        <v>311099</v>
      </c>
      <c r="I839">
        <v>26215</v>
      </c>
      <c r="J839" t="s">
        <v>37</v>
      </c>
      <c r="K839" t="s">
        <v>41</v>
      </c>
      <c r="L839" t="s">
        <v>30</v>
      </c>
      <c r="M839" t="s">
        <v>22</v>
      </c>
    </row>
    <row r="840" spans="1:13">
      <c r="A840" t="s">
        <v>1437</v>
      </c>
      <c r="B840" t="s">
        <v>473</v>
      </c>
      <c r="C840" t="s">
        <v>45</v>
      </c>
      <c r="D840" t="s">
        <v>26</v>
      </c>
      <c r="E840" t="s">
        <v>71</v>
      </c>
      <c r="F840" t="s">
        <v>72</v>
      </c>
      <c r="G840">
        <v>294222</v>
      </c>
      <c r="H840">
        <v>344945</v>
      </c>
      <c r="I840">
        <v>50723</v>
      </c>
      <c r="J840" t="s">
        <v>54</v>
      </c>
      <c r="K840" t="s">
        <v>29</v>
      </c>
      <c r="L840" t="s">
        <v>68</v>
      </c>
      <c r="M840" t="s">
        <v>42</v>
      </c>
    </row>
    <row r="841" spans="1:13">
      <c r="A841" t="s">
        <v>1438</v>
      </c>
      <c r="B841" t="s">
        <v>1439</v>
      </c>
      <c r="C841" t="s">
        <v>45</v>
      </c>
      <c r="D841" t="s">
        <v>61</v>
      </c>
      <c r="E841" t="s">
        <v>46</v>
      </c>
      <c r="F841" t="s">
        <v>47</v>
      </c>
      <c r="G841">
        <v>396798</v>
      </c>
      <c r="H841">
        <v>442325</v>
      </c>
      <c r="I841">
        <v>45527</v>
      </c>
      <c r="J841" t="s">
        <v>54</v>
      </c>
      <c r="K841" t="s">
        <v>29</v>
      </c>
      <c r="L841" t="s">
        <v>21</v>
      </c>
      <c r="M841" t="s">
        <v>42</v>
      </c>
    </row>
    <row r="842" spans="1:13">
      <c r="A842" t="s">
        <v>1440</v>
      </c>
      <c r="B842" t="s">
        <v>796</v>
      </c>
      <c r="C842" t="s">
        <v>45</v>
      </c>
      <c r="D842" t="s">
        <v>34</v>
      </c>
      <c r="E842" t="s">
        <v>35</v>
      </c>
      <c r="F842" t="s">
        <v>36</v>
      </c>
      <c r="G842">
        <v>451659</v>
      </c>
      <c r="H842">
        <v>474720</v>
      </c>
      <c r="I842">
        <v>23061</v>
      </c>
      <c r="J842" t="s">
        <v>19</v>
      </c>
      <c r="K842" t="s">
        <v>20</v>
      </c>
      <c r="L842" t="s">
        <v>68</v>
      </c>
      <c r="M842" t="s">
        <v>22</v>
      </c>
    </row>
    <row r="843" spans="1:13">
      <c r="A843" t="s">
        <v>1441</v>
      </c>
      <c r="B843" t="s">
        <v>1442</v>
      </c>
      <c r="C843" t="s">
        <v>45</v>
      </c>
      <c r="D843" t="s">
        <v>34</v>
      </c>
      <c r="E843" t="s">
        <v>71</v>
      </c>
      <c r="F843" t="s">
        <v>72</v>
      </c>
      <c r="G843">
        <v>444157</v>
      </c>
      <c r="H843">
        <v>470918</v>
      </c>
      <c r="I843">
        <v>26761</v>
      </c>
      <c r="J843" t="s">
        <v>19</v>
      </c>
      <c r="K843" t="s">
        <v>67</v>
      </c>
      <c r="L843" t="s">
        <v>68</v>
      </c>
      <c r="M843" t="s">
        <v>42</v>
      </c>
    </row>
    <row r="844" spans="1:13">
      <c r="A844" t="s">
        <v>1443</v>
      </c>
      <c r="B844" t="s">
        <v>1444</v>
      </c>
      <c r="C844" t="s">
        <v>15</v>
      </c>
      <c r="D844" t="s">
        <v>26</v>
      </c>
      <c r="E844" t="s">
        <v>71</v>
      </c>
      <c r="F844" t="s">
        <v>72</v>
      </c>
      <c r="G844">
        <v>281172</v>
      </c>
      <c r="H844">
        <v>379832</v>
      </c>
      <c r="I844">
        <v>98660</v>
      </c>
      <c r="J844" t="s">
        <v>19</v>
      </c>
      <c r="K844" t="s">
        <v>41</v>
      </c>
      <c r="L844" t="s">
        <v>21</v>
      </c>
      <c r="M844" t="s">
        <v>42</v>
      </c>
    </row>
    <row r="845" spans="1:13">
      <c r="A845" t="s">
        <v>1445</v>
      </c>
      <c r="B845" t="s">
        <v>335</v>
      </c>
      <c r="C845" t="s">
        <v>25</v>
      </c>
      <c r="D845" t="s">
        <v>61</v>
      </c>
      <c r="E845" t="s">
        <v>85</v>
      </c>
      <c r="F845" t="s">
        <v>86</v>
      </c>
      <c r="G845">
        <v>479260</v>
      </c>
      <c r="H845">
        <v>339527</v>
      </c>
      <c r="I845">
        <v>-139733</v>
      </c>
      <c r="J845" t="s">
        <v>54</v>
      </c>
      <c r="K845" t="s">
        <v>48</v>
      </c>
      <c r="L845" t="s">
        <v>21</v>
      </c>
      <c r="M845" t="s">
        <v>22</v>
      </c>
    </row>
    <row r="846" spans="1:13">
      <c r="A846" t="s">
        <v>1446</v>
      </c>
      <c r="B846" t="s">
        <v>1447</v>
      </c>
      <c r="C846" t="s">
        <v>35</v>
      </c>
      <c r="D846" t="s">
        <v>40</v>
      </c>
      <c r="E846" t="s">
        <v>71</v>
      </c>
      <c r="F846" t="s">
        <v>72</v>
      </c>
      <c r="G846">
        <v>396012</v>
      </c>
      <c r="H846">
        <v>491813</v>
      </c>
      <c r="I846">
        <v>95801</v>
      </c>
      <c r="J846" t="s">
        <v>37</v>
      </c>
      <c r="K846" t="s">
        <v>29</v>
      </c>
      <c r="L846" t="s">
        <v>49</v>
      </c>
      <c r="M846" t="s">
        <v>42</v>
      </c>
    </row>
    <row r="847" spans="1:13">
      <c r="A847" t="s">
        <v>1448</v>
      </c>
      <c r="B847" t="s">
        <v>211</v>
      </c>
      <c r="C847" t="s">
        <v>25</v>
      </c>
      <c r="D847" t="s">
        <v>26</v>
      </c>
      <c r="E847" t="s">
        <v>46</v>
      </c>
      <c r="F847" t="s">
        <v>47</v>
      </c>
      <c r="G847">
        <v>77451</v>
      </c>
      <c r="H847">
        <v>76683</v>
      </c>
      <c r="I847">
        <v>-768</v>
      </c>
      <c r="J847" t="s">
        <v>54</v>
      </c>
      <c r="K847" t="s">
        <v>41</v>
      </c>
      <c r="L847" t="s">
        <v>30</v>
      </c>
      <c r="M847" t="s">
        <v>42</v>
      </c>
    </row>
    <row r="848" spans="1:13">
      <c r="A848" t="s">
        <v>1449</v>
      </c>
      <c r="B848" t="s">
        <v>467</v>
      </c>
      <c r="C848" t="s">
        <v>15</v>
      </c>
      <c r="D848" t="s">
        <v>16</v>
      </c>
      <c r="E848" t="s">
        <v>46</v>
      </c>
      <c r="F848" t="s">
        <v>47</v>
      </c>
      <c r="G848">
        <v>130153</v>
      </c>
      <c r="H848">
        <v>124014</v>
      </c>
      <c r="I848">
        <v>-6139</v>
      </c>
      <c r="J848" t="s">
        <v>19</v>
      </c>
      <c r="K848" t="s">
        <v>29</v>
      </c>
      <c r="L848" t="s">
        <v>21</v>
      </c>
      <c r="M848" t="s">
        <v>42</v>
      </c>
    </row>
    <row r="849" spans="1:13">
      <c r="A849" t="s">
        <v>1450</v>
      </c>
      <c r="B849" t="s">
        <v>1451</v>
      </c>
      <c r="C849" t="s">
        <v>35</v>
      </c>
      <c r="D849" t="s">
        <v>40</v>
      </c>
      <c r="E849" t="s">
        <v>46</v>
      </c>
      <c r="F849" t="s">
        <v>47</v>
      </c>
      <c r="G849">
        <v>492981</v>
      </c>
      <c r="H849">
        <v>500873</v>
      </c>
      <c r="I849">
        <v>7892</v>
      </c>
      <c r="J849" t="s">
        <v>37</v>
      </c>
      <c r="K849" t="s">
        <v>20</v>
      </c>
      <c r="L849" t="s">
        <v>21</v>
      </c>
      <c r="M849" t="s">
        <v>42</v>
      </c>
    </row>
    <row r="850" spans="1:13">
      <c r="A850" t="s">
        <v>1452</v>
      </c>
      <c r="B850" t="s">
        <v>1453</v>
      </c>
      <c r="C850" t="s">
        <v>35</v>
      </c>
      <c r="D850" t="s">
        <v>34</v>
      </c>
      <c r="E850" t="s">
        <v>35</v>
      </c>
      <c r="F850" t="s">
        <v>36</v>
      </c>
      <c r="G850">
        <v>257048</v>
      </c>
      <c r="H850">
        <v>210164</v>
      </c>
      <c r="I850">
        <v>-46884</v>
      </c>
      <c r="J850" t="s">
        <v>37</v>
      </c>
      <c r="K850" t="s">
        <v>29</v>
      </c>
      <c r="L850" t="s">
        <v>49</v>
      </c>
      <c r="M850" t="s">
        <v>22</v>
      </c>
    </row>
    <row r="851" spans="1:13">
      <c r="A851" t="s">
        <v>1454</v>
      </c>
      <c r="B851" t="s">
        <v>375</v>
      </c>
      <c r="C851" t="s">
        <v>35</v>
      </c>
      <c r="D851" t="s">
        <v>40</v>
      </c>
      <c r="E851" t="s">
        <v>17</v>
      </c>
      <c r="F851" t="s">
        <v>18</v>
      </c>
      <c r="G851">
        <v>228055</v>
      </c>
      <c r="H851">
        <v>225033</v>
      </c>
      <c r="I851">
        <v>-3022</v>
      </c>
      <c r="J851" t="s">
        <v>54</v>
      </c>
      <c r="K851" t="s">
        <v>20</v>
      </c>
      <c r="L851" t="s">
        <v>30</v>
      </c>
      <c r="M851" t="s">
        <v>22</v>
      </c>
    </row>
    <row r="852" spans="1:13">
      <c r="A852" t="s">
        <v>1455</v>
      </c>
      <c r="B852" t="s">
        <v>638</v>
      </c>
      <c r="C852" t="s">
        <v>33</v>
      </c>
      <c r="D852" t="s">
        <v>16</v>
      </c>
      <c r="E852" t="s">
        <v>35</v>
      </c>
      <c r="F852" t="s">
        <v>36</v>
      </c>
      <c r="G852">
        <v>430845</v>
      </c>
      <c r="H852">
        <v>364387</v>
      </c>
      <c r="I852">
        <v>-66458</v>
      </c>
      <c r="J852" t="s">
        <v>37</v>
      </c>
      <c r="K852" t="s">
        <v>29</v>
      </c>
      <c r="L852" t="s">
        <v>30</v>
      </c>
      <c r="M852" t="s">
        <v>22</v>
      </c>
    </row>
    <row r="853" spans="1:13">
      <c r="A853" t="s">
        <v>1456</v>
      </c>
      <c r="B853" t="s">
        <v>658</v>
      </c>
      <c r="C853" t="s">
        <v>33</v>
      </c>
      <c r="D853" t="s">
        <v>61</v>
      </c>
      <c r="E853" t="s">
        <v>27</v>
      </c>
      <c r="F853" t="s">
        <v>28</v>
      </c>
      <c r="G853">
        <v>422522</v>
      </c>
      <c r="H853">
        <v>480576</v>
      </c>
      <c r="I853">
        <v>58054</v>
      </c>
      <c r="J853" t="s">
        <v>19</v>
      </c>
      <c r="K853" t="s">
        <v>29</v>
      </c>
      <c r="L853" t="s">
        <v>49</v>
      </c>
      <c r="M853" t="s">
        <v>22</v>
      </c>
    </row>
    <row r="854" spans="1:13">
      <c r="A854" t="s">
        <v>1457</v>
      </c>
      <c r="B854" t="s">
        <v>391</v>
      </c>
      <c r="C854" t="s">
        <v>15</v>
      </c>
      <c r="D854" t="s">
        <v>34</v>
      </c>
      <c r="E854" t="s">
        <v>27</v>
      </c>
      <c r="F854" t="s">
        <v>28</v>
      </c>
      <c r="G854">
        <v>458540</v>
      </c>
      <c r="H854">
        <v>623770</v>
      </c>
      <c r="I854">
        <v>165230</v>
      </c>
      <c r="J854" t="s">
        <v>37</v>
      </c>
      <c r="K854" t="s">
        <v>48</v>
      </c>
      <c r="L854" t="s">
        <v>49</v>
      </c>
      <c r="M854" t="s">
        <v>22</v>
      </c>
    </row>
    <row r="855" spans="1:13">
      <c r="A855" t="s">
        <v>1458</v>
      </c>
      <c r="B855" t="s">
        <v>1459</v>
      </c>
      <c r="C855" t="s">
        <v>45</v>
      </c>
      <c r="D855" t="s">
        <v>61</v>
      </c>
      <c r="E855" t="s">
        <v>35</v>
      </c>
      <c r="F855" t="s">
        <v>36</v>
      </c>
      <c r="G855">
        <v>336084</v>
      </c>
      <c r="H855">
        <v>249325</v>
      </c>
      <c r="I855">
        <v>-86759</v>
      </c>
      <c r="J855" t="s">
        <v>54</v>
      </c>
      <c r="K855" t="s">
        <v>41</v>
      </c>
      <c r="L855" t="s">
        <v>30</v>
      </c>
      <c r="M855" t="s">
        <v>22</v>
      </c>
    </row>
    <row r="856" spans="1:13">
      <c r="A856" t="s">
        <v>1460</v>
      </c>
      <c r="B856" t="s">
        <v>1303</v>
      </c>
      <c r="C856" t="s">
        <v>64</v>
      </c>
      <c r="D856" t="s">
        <v>61</v>
      </c>
      <c r="E856" t="s">
        <v>71</v>
      </c>
      <c r="F856" t="s">
        <v>72</v>
      </c>
      <c r="G856">
        <v>116080</v>
      </c>
      <c r="H856">
        <v>145913</v>
      </c>
      <c r="I856">
        <v>29833</v>
      </c>
      <c r="J856" t="s">
        <v>54</v>
      </c>
      <c r="K856" t="s">
        <v>41</v>
      </c>
      <c r="L856" t="s">
        <v>49</v>
      </c>
      <c r="M856" t="s">
        <v>22</v>
      </c>
    </row>
    <row r="857" spans="1:13">
      <c r="A857" t="s">
        <v>1461</v>
      </c>
      <c r="B857" t="s">
        <v>1148</v>
      </c>
      <c r="C857" t="s">
        <v>35</v>
      </c>
      <c r="D857" t="s">
        <v>26</v>
      </c>
      <c r="E857" t="s">
        <v>17</v>
      </c>
      <c r="F857" t="s">
        <v>18</v>
      </c>
      <c r="G857">
        <v>81635</v>
      </c>
      <c r="H857">
        <v>57427</v>
      </c>
      <c r="I857">
        <v>-24208</v>
      </c>
      <c r="J857" t="s">
        <v>19</v>
      </c>
      <c r="K857" t="s">
        <v>41</v>
      </c>
      <c r="L857" t="s">
        <v>21</v>
      </c>
      <c r="M857" t="s">
        <v>42</v>
      </c>
    </row>
    <row r="858" spans="1:13">
      <c r="A858" t="s">
        <v>1462</v>
      </c>
      <c r="B858" t="s">
        <v>1463</v>
      </c>
      <c r="C858" t="s">
        <v>33</v>
      </c>
      <c r="D858" t="s">
        <v>16</v>
      </c>
      <c r="E858" t="s">
        <v>35</v>
      </c>
      <c r="F858" t="s">
        <v>36</v>
      </c>
      <c r="G858">
        <v>417132</v>
      </c>
      <c r="H858">
        <v>378982</v>
      </c>
      <c r="I858">
        <v>-38150</v>
      </c>
      <c r="J858" t="s">
        <v>19</v>
      </c>
      <c r="K858" t="s">
        <v>29</v>
      </c>
      <c r="L858" t="s">
        <v>68</v>
      </c>
      <c r="M858" t="s">
        <v>22</v>
      </c>
    </row>
    <row r="859" spans="1:13">
      <c r="A859" t="s">
        <v>1464</v>
      </c>
      <c r="B859" t="s">
        <v>1465</v>
      </c>
      <c r="C859" t="s">
        <v>64</v>
      </c>
      <c r="D859" t="s">
        <v>16</v>
      </c>
      <c r="E859" t="s">
        <v>17</v>
      </c>
      <c r="F859" t="s">
        <v>18</v>
      </c>
      <c r="G859">
        <v>337282</v>
      </c>
      <c r="H859">
        <v>434365</v>
      </c>
      <c r="I859">
        <v>97083</v>
      </c>
      <c r="J859" t="s">
        <v>37</v>
      </c>
      <c r="K859" t="s">
        <v>67</v>
      </c>
      <c r="L859" t="s">
        <v>68</v>
      </c>
      <c r="M859" t="s">
        <v>42</v>
      </c>
    </row>
    <row r="860" spans="1:13">
      <c r="A860" t="s">
        <v>1466</v>
      </c>
      <c r="B860" t="s">
        <v>1467</v>
      </c>
      <c r="C860" t="s">
        <v>33</v>
      </c>
      <c r="D860" t="s">
        <v>26</v>
      </c>
      <c r="E860" t="s">
        <v>71</v>
      </c>
      <c r="F860" t="s">
        <v>72</v>
      </c>
      <c r="G860">
        <v>118194</v>
      </c>
      <c r="H860">
        <v>120150</v>
      </c>
      <c r="I860">
        <v>1956</v>
      </c>
      <c r="J860" t="s">
        <v>19</v>
      </c>
      <c r="K860" t="s">
        <v>20</v>
      </c>
      <c r="L860" t="s">
        <v>30</v>
      </c>
      <c r="M860" t="s">
        <v>42</v>
      </c>
    </row>
    <row r="861" spans="1:13">
      <c r="A861" t="s">
        <v>1468</v>
      </c>
      <c r="B861" t="s">
        <v>1376</v>
      </c>
      <c r="C861" t="s">
        <v>15</v>
      </c>
      <c r="D861" t="s">
        <v>34</v>
      </c>
      <c r="E861" t="s">
        <v>17</v>
      </c>
      <c r="F861" t="s">
        <v>18</v>
      </c>
      <c r="G861">
        <v>403396</v>
      </c>
      <c r="H861">
        <v>381151</v>
      </c>
      <c r="I861">
        <v>-22245</v>
      </c>
      <c r="J861" t="s">
        <v>54</v>
      </c>
      <c r="K861" t="s">
        <v>67</v>
      </c>
      <c r="L861" t="s">
        <v>49</v>
      </c>
      <c r="M861" t="s">
        <v>42</v>
      </c>
    </row>
    <row r="862" spans="1:13">
      <c r="A862" t="s">
        <v>1469</v>
      </c>
      <c r="B862" t="s">
        <v>142</v>
      </c>
      <c r="C862" t="s">
        <v>33</v>
      </c>
      <c r="D862" t="s">
        <v>61</v>
      </c>
      <c r="E862" t="s">
        <v>27</v>
      </c>
      <c r="F862" t="s">
        <v>28</v>
      </c>
      <c r="G862">
        <v>352167</v>
      </c>
      <c r="H862">
        <v>434860</v>
      </c>
      <c r="I862">
        <v>82693</v>
      </c>
      <c r="J862" t="s">
        <v>19</v>
      </c>
      <c r="K862" t="s">
        <v>41</v>
      </c>
      <c r="L862" t="s">
        <v>30</v>
      </c>
      <c r="M862" t="s">
        <v>42</v>
      </c>
    </row>
    <row r="863" spans="1:13">
      <c r="A863" t="s">
        <v>1470</v>
      </c>
      <c r="B863" t="s">
        <v>1471</v>
      </c>
      <c r="C863" t="s">
        <v>35</v>
      </c>
      <c r="D863" t="s">
        <v>34</v>
      </c>
      <c r="E863" t="s">
        <v>27</v>
      </c>
      <c r="F863" t="s">
        <v>28</v>
      </c>
      <c r="G863">
        <v>237684</v>
      </c>
      <c r="H863">
        <v>277052</v>
      </c>
      <c r="I863">
        <v>39368</v>
      </c>
      <c r="J863" t="s">
        <v>37</v>
      </c>
      <c r="K863" t="s">
        <v>29</v>
      </c>
      <c r="L863" t="s">
        <v>21</v>
      </c>
      <c r="M863" t="s">
        <v>42</v>
      </c>
    </row>
    <row r="864" spans="1:13">
      <c r="A864" t="s">
        <v>1472</v>
      </c>
      <c r="B864" t="s">
        <v>1473</v>
      </c>
      <c r="C864" t="s">
        <v>25</v>
      </c>
      <c r="D864" t="s">
        <v>16</v>
      </c>
      <c r="E864" t="s">
        <v>35</v>
      </c>
      <c r="F864" t="s">
        <v>36</v>
      </c>
      <c r="G864">
        <v>378661</v>
      </c>
      <c r="H864">
        <v>326686</v>
      </c>
      <c r="I864">
        <v>-51975</v>
      </c>
      <c r="J864" t="s">
        <v>19</v>
      </c>
      <c r="K864" t="s">
        <v>29</v>
      </c>
      <c r="L864" t="s">
        <v>68</v>
      </c>
      <c r="M864" t="s">
        <v>42</v>
      </c>
    </row>
    <row r="865" spans="1:13">
      <c r="A865" t="s">
        <v>1474</v>
      </c>
      <c r="B865" t="s">
        <v>1475</v>
      </c>
      <c r="C865" t="s">
        <v>35</v>
      </c>
      <c r="D865" t="s">
        <v>26</v>
      </c>
      <c r="E865" t="s">
        <v>71</v>
      </c>
      <c r="F865" t="s">
        <v>72</v>
      </c>
      <c r="G865">
        <v>443914</v>
      </c>
      <c r="H865">
        <v>499575</v>
      </c>
      <c r="I865">
        <v>55661</v>
      </c>
      <c r="J865" t="s">
        <v>37</v>
      </c>
      <c r="K865" t="s">
        <v>29</v>
      </c>
      <c r="L865" t="s">
        <v>49</v>
      </c>
      <c r="M865" t="s">
        <v>22</v>
      </c>
    </row>
    <row r="866" spans="1:13">
      <c r="A866" t="s">
        <v>1476</v>
      </c>
      <c r="B866" t="s">
        <v>782</v>
      </c>
      <c r="C866" t="s">
        <v>33</v>
      </c>
      <c r="D866" t="s">
        <v>16</v>
      </c>
      <c r="E866" t="s">
        <v>71</v>
      </c>
      <c r="F866" t="s">
        <v>72</v>
      </c>
      <c r="G866">
        <v>230002</v>
      </c>
      <c r="H866">
        <v>302534</v>
      </c>
      <c r="I866">
        <v>72532</v>
      </c>
      <c r="J866" t="s">
        <v>19</v>
      </c>
      <c r="K866" t="s">
        <v>48</v>
      </c>
      <c r="L866" t="s">
        <v>68</v>
      </c>
      <c r="M866" t="s">
        <v>22</v>
      </c>
    </row>
    <row r="867" spans="1:13">
      <c r="A867" t="s">
        <v>1477</v>
      </c>
      <c r="B867" t="s">
        <v>1478</v>
      </c>
      <c r="C867" t="s">
        <v>25</v>
      </c>
      <c r="D867" t="s">
        <v>26</v>
      </c>
      <c r="E867" t="s">
        <v>46</v>
      </c>
      <c r="F867" t="s">
        <v>47</v>
      </c>
      <c r="G867">
        <v>496135</v>
      </c>
      <c r="H867">
        <v>670335</v>
      </c>
      <c r="I867">
        <v>174200</v>
      </c>
      <c r="J867" t="s">
        <v>54</v>
      </c>
      <c r="K867" t="s">
        <v>48</v>
      </c>
      <c r="L867" t="s">
        <v>68</v>
      </c>
      <c r="M867" t="s">
        <v>42</v>
      </c>
    </row>
    <row r="868" spans="1:13">
      <c r="A868" t="s">
        <v>1479</v>
      </c>
      <c r="B868" t="s">
        <v>335</v>
      </c>
      <c r="C868" t="s">
        <v>35</v>
      </c>
      <c r="D868" t="s">
        <v>61</v>
      </c>
      <c r="E868" t="s">
        <v>85</v>
      </c>
      <c r="F868" t="s">
        <v>86</v>
      </c>
      <c r="G868">
        <v>476338</v>
      </c>
      <c r="H868">
        <v>515534</v>
      </c>
      <c r="I868">
        <v>39196</v>
      </c>
      <c r="J868" t="s">
        <v>19</v>
      </c>
      <c r="K868" t="s">
        <v>29</v>
      </c>
      <c r="L868" t="s">
        <v>49</v>
      </c>
      <c r="M868" t="s">
        <v>42</v>
      </c>
    </row>
    <row r="869" spans="1:13">
      <c r="A869" t="s">
        <v>1480</v>
      </c>
      <c r="B869" t="s">
        <v>1398</v>
      </c>
      <c r="C869" t="s">
        <v>33</v>
      </c>
      <c r="D869" t="s">
        <v>34</v>
      </c>
      <c r="E869" t="s">
        <v>35</v>
      </c>
      <c r="F869" t="s">
        <v>36</v>
      </c>
      <c r="G869">
        <v>478158</v>
      </c>
      <c r="H869">
        <v>364186</v>
      </c>
      <c r="I869">
        <v>-113972</v>
      </c>
      <c r="J869" t="s">
        <v>54</v>
      </c>
      <c r="K869" t="s">
        <v>41</v>
      </c>
      <c r="L869" t="s">
        <v>68</v>
      </c>
      <c r="M869" t="s">
        <v>42</v>
      </c>
    </row>
    <row r="870" spans="1:13">
      <c r="A870" t="s">
        <v>1481</v>
      </c>
      <c r="B870" t="s">
        <v>1482</v>
      </c>
      <c r="C870" t="s">
        <v>25</v>
      </c>
      <c r="D870" t="s">
        <v>61</v>
      </c>
      <c r="E870" t="s">
        <v>27</v>
      </c>
      <c r="F870" t="s">
        <v>28</v>
      </c>
      <c r="G870">
        <v>103645</v>
      </c>
      <c r="H870">
        <v>105507</v>
      </c>
      <c r="I870">
        <v>1862</v>
      </c>
      <c r="J870" t="s">
        <v>37</v>
      </c>
      <c r="K870" t="s">
        <v>48</v>
      </c>
      <c r="L870" t="s">
        <v>49</v>
      </c>
      <c r="M870" t="s">
        <v>22</v>
      </c>
    </row>
    <row r="871" spans="1:13">
      <c r="A871" t="s">
        <v>1483</v>
      </c>
      <c r="B871" t="s">
        <v>1284</v>
      </c>
      <c r="C871" t="s">
        <v>15</v>
      </c>
      <c r="D871" t="s">
        <v>61</v>
      </c>
      <c r="E871" t="s">
        <v>71</v>
      </c>
      <c r="F871" t="s">
        <v>72</v>
      </c>
      <c r="G871">
        <v>82044</v>
      </c>
      <c r="H871">
        <v>75183</v>
      </c>
      <c r="I871">
        <v>-6861</v>
      </c>
      <c r="J871" t="s">
        <v>19</v>
      </c>
      <c r="K871" t="s">
        <v>48</v>
      </c>
      <c r="L871" t="s">
        <v>49</v>
      </c>
      <c r="M871" t="s">
        <v>22</v>
      </c>
    </row>
    <row r="872" spans="1:13">
      <c r="A872" t="s">
        <v>1484</v>
      </c>
      <c r="B872" t="s">
        <v>1485</v>
      </c>
      <c r="C872" t="s">
        <v>45</v>
      </c>
      <c r="D872" t="s">
        <v>61</v>
      </c>
      <c r="E872" t="s">
        <v>85</v>
      </c>
      <c r="F872" t="s">
        <v>86</v>
      </c>
      <c r="G872">
        <v>273915</v>
      </c>
      <c r="H872">
        <v>277638</v>
      </c>
      <c r="I872">
        <v>3723</v>
      </c>
      <c r="J872" t="s">
        <v>37</v>
      </c>
      <c r="K872" t="s">
        <v>48</v>
      </c>
      <c r="L872" t="s">
        <v>49</v>
      </c>
      <c r="M872" t="s">
        <v>42</v>
      </c>
    </row>
    <row r="873" spans="1:13">
      <c r="A873" t="s">
        <v>1486</v>
      </c>
      <c r="B873" t="s">
        <v>1487</v>
      </c>
      <c r="C873" t="s">
        <v>25</v>
      </c>
      <c r="D873" t="s">
        <v>16</v>
      </c>
      <c r="E873" t="s">
        <v>35</v>
      </c>
      <c r="F873" t="s">
        <v>36</v>
      </c>
      <c r="G873">
        <v>386518</v>
      </c>
      <c r="H873">
        <v>340815</v>
      </c>
      <c r="I873">
        <v>-45703</v>
      </c>
      <c r="J873" t="s">
        <v>19</v>
      </c>
      <c r="K873" t="s">
        <v>48</v>
      </c>
      <c r="L873" t="s">
        <v>21</v>
      </c>
      <c r="M873" t="s">
        <v>22</v>
      </c>
    </row>
    <row r="874" spans="1:13">
      <c r="A874" t="s">
        <v>1488</v>
      </c>
      <c r="B874" t="s">
        <v>1451</v>
      </c>
      <c r="C874" t="s">
        <v>25</v>
      </c>
      <c r="D874" t="s">
        <v>40</v>
      </c>
      <c r="E874" t="s">
        <v>71</v>
      </c>
      <c r="F874" t="s">
        <v>72</v>
      </c>
      <c r="G874">
        <v>400816</v>
      </c>
      <c r="H874">
        <v>497465</v>
      </c>
      <c r="I874">
        <v>96649</v>
      </c>
      <c r="J874" t="s">
        <v>54</v>
      </c>
      <c r="K874" t="s">
        <v>20</v>
      </c>
      <c r="L874" t="s">
        <v>49</v>
      </c>
      <c r="M874" t="s">
        <v>22</v>
      </c>
    </row>
    <row r="875" spans="1:13">
      <c r="A875" t="s">
        <v>1489</v>
      </c>
      <c r="B875" t="s">
        <v>1490</v>
      </c>
      <c r="C875" t="s">
        <v>45</v>
      </c>
      <c r="D875" t="s">
        <v>26</v>
      </c>
      <c r="E875" t="s">
        <v>17</v>
      </c>
      <c r="F875" t="s">
        <v>18</v>
      </c>
      <c r="G875">
        <v>235762</v>
      </c>
      <c r="H875">
        <v>263961</v>
      </c>
      <c r="I875">
        <v>28199</v>
      </c>
      <c r="J875" t="s">
        <v>37</v>
      </c>
      <c r="K875" t="s">
        <v>48</v>
      </c>
      <c r="L875" t="s">
        <v>49</v>
      </c>
      <c r="M875" t="s">
        <v>42</v>
      </c>
    </row>
    <row r="876" spans="1:13">
      <c r="A876" t="s">
        <v>1491</v>
      </c>
      <c r="B876" t="s">
        <v>398</v>
      </c>
      <c r="C876" t="s">
        <v>25</v>
      </c>
      <c r="D876" t="s">
        <v>34</v>
      </c>
      <c r="E876" t="s">
        <v>71</v>
      </c>
      <c r="F876" t="s">
        <v>72</v>
      </c>
      <c r="G876">
        <v>233224</v>
      </c>
      <c r="H876">
        <v>317883</v>
      </c>
      <c r="I876">
        <v>84659</v>
      </c>
      <c r="J876" t="s">
        <v>37</v>
      </c>
      <c r="K876" t="s">
        <v>29</v>
      </c>
      <c r="L876" t="s">
        <v>21</v>
      </c>
      <c r="M876" t="s">
        <v>42</v>
      </c>
    </row>
    <row r="877" spans="1:13">
      <c r="A877" t="s">
        <v>1492</v>
      </c>
      <c r="B877" t="s">
        <v>1493</v>
      </c>
      <c r="C877" t="s">
        <v>64</v>
      </c>
      <c r="D877" t="s">
        <v>16</v>
      </c>
      <c r="E877" t="s">
        <v>85</v>
      </c>
      <c r="F877" t="s">
        <v>86</v>
      </c>
      <c r="G877">
        <v>285777</v>
      </c>
      <c r="H877">
        <v>256977</v>
      </c>
      <c r="I877">
        <v>-28800</v>
      </c>
      <c r="J877" t="s">
        <v>37</v>
      </c>
      <c r="K877" t="s">
        <v>67</v>
      </c>
      <c r="L877" t="s">
        <v>49</v>
      </c>
      <c r="M877" t="s">
        <v>22</v>
      </c>
    </row>
    <row r="878" spans="1:13">
      <c r="A878" t="s">
        <v>1494</v>
      </c>
      <c r="B878" t="s">
        <v>580</v>
      </c>
      <c r="C878" t="s">
        <v>33</v>
      </c>
      <c r="D878" t="s">
        <v>26</v>
      </c>
      <c r="E878" t="s">
        <v>46</v>
      </c>
      <c r="F878" t="s">
        <v>47</v>
      </c>
      <c r="G878">
        <v>329781</v>
      </c>
      <c r="H878">
        <v>246423</v>
      </c>
      <c r="I878">
        <v>-83358</v>
      </c>
      <c r="J878" t="s">
        <v>54</v>
      </c>
      <c r="K878" t="s">
        <v>29</v>
      </c>
      <c r="L878" t="s">
        <v>21</v>
      </c>
      <c r="M878" t="s">
        <v>42</v>
      </c>
    </row>
    <row r="879" spans="1:13">
      <c r="A879" t="s">
        <v>1495</v>
      </c>
      <c r="B879" t="s">
        <v>1496</v>
      </c>
      <c r="C879" t="s">
        <v>33</v>
      </c>
      <c r="D879" t="s">
        <v>26</v>
      </c>
      <c r="E879" t="s">
        <v>27</v>
      </c>
      <c r="F879" t="s">
        <v>28</v>
      </c>
      <c r="G879">
        <v>162885</v>
      </c>
      <c r="H879">
        <v>218788</v>
      </c>
      <c r="I879">
        <v>55903</v>
      </c>
      <c r="J879" t="s">
        <v>54</v>
      </c>
      <c r="K879" t="s">
        <v>67</v>
      </c>
      <c r="L879" t="s">
        <v>21</v>
      </c>
      <c r="M879" t="s">
        <v>22</v>
      </c>
    </row>
    <row r="880" spans="1:13">
      <c r="A880" t="s">
        <v>1497</v>
      </c>
      <c r="B880" t="s">
        <v>219</v>
      </c>
      <c r="C880" t="s">
        <v>15</v>
      </c>
      <c r="D880" t="s">
        <v>34</v>
      </c>
      <c r="E880" t="s">
        <v>46</v>
      </c>
      <c r="F880" t="s">
        <v>47</v>
      </c>
      <c r="G880">
        <v>142922</v>
      </c>
      <c r="H880">
        <v>185025</v>
      </c>
      <c r="I880">
        <v>42103</v>
      </c>
      <c r="J880" t="s">
        <v>37</v>
      </c>
      <c r="K880" t="s">
        <v>67</v>
      </c>
      <c r="L880" t="s">
        <v>30</v>
      </c>
      <c r="M880" t="s">
        <v>42</v>
      </c>
    </row>
    <row r="881" spans="1:13">
      <c r="A881" t="s">
        <v>1498</v>
      </c>
      <c r="B881" t="s">
        <v>120</v>
      </c>
      <c r="C881" t="s">
        <v>45</v>
      </c>
      <c r="D881" t="s">
        <v>34</v>
      </c>
      <c r="E881" t="s">
        <v>17</v>
      </c>
      <c r="F881" t="s">
        <v>18</v>
      </c>
      <c r="G881">
        <v>158544</v>
      </c>
      <c r="H881">
        <v>214068</v>
      </c>
      <c r="I881">
        <v>55524</v>
      </c>
      <c r="J881" t="s">
        <v>54</v>
      </c>
      <c r="K881" t="s">
        <v>41</v>
      </c>
      <c r="L881" t="s">
        <v>30</v>
      </c>
      <c r="M881" t="s">
        <v>22</v>
      </c>
    </row>
    <row r="882" spans="1:13">
      <c r="A882" t="s">
        <v>1499</v>
      </c>
      <c r="B882" t="s">
        <v>1219</v>
      </c>
      <c r="C882" t="s">
        <v>33</v>
      </c>
      <c r="D882" t="s">
        <v>26</v>
      </c>
      <c r="E882" t="s">
        <v>85</v>
      </c>
      <c r="F882" t="s">
        <v>86</v>
      </c>
      <c r="G882">
        <v>283815</v>
      </c>
      <c r="H882">
        <v>341126</v>
      </c>
      <c r="I882">
        <v>57311</v>
      </c>
      <c r="J882" t="s">
        <v>54</v>
      </c>
      <c r="K882" t="s">
        <v>20</v>
      </c>
      <c r="L882" t="s">
        <v>49</v>
      </c>
      <c r="M882" t="s">
        <v>42</v>
      </c>
    </row>
    <row r="883" spans="1:13">
      <c r="A883" t="s">
        <v>1500</v>
      </c>
      <c r="B883" t="s">
        <v>154</v>
      </c>
      <c r="C883" t="s">
        <v>25</v>
      </c>
      <c r="D883" t="s">
        <v>26</v>
      </c>
      <c r="E883" t="s">
        <v>46</v>
      </c>
      <c r="F883" t="s">
        <v>47</v>
      </c>
      <c r="G883">
        <v>82360</v>
      </c>
      <c r="H883">
        <v>109745</v>
      </c>
      <c r="I883">
        <v>27385</v>
      </c>
      <c r="J883" t="s">
        <v>19</v>
      </c>
      <c r="K883" t="s">
        <v>67</v>
      </c>
      <c r="L883" t="s">
        <v>49</v>
      </c>
      <c r="M883" t="s">
        <v>22</v>
      </c>
    </row>
    <row r="884" spans="1:13">
      <c r="A884" t="s">
        <v>1501</v>
      </c>
      <c r="B884" t="s">
        <v>302</v>
      </c>
      <c r="C884" t="s">
        <v>45</v>
      </c>
      <c r="D884" t="s">
        <v>26</v>
      </c>
      <c r="E884" t="s">
        <v>17</v>
      </c>
      <c r="F884" t="s">
        <v>18</v>
      </c>
      <c r="G884">
        <v>96107</v>
      </c>
      <c r="H884">
        <v>74522</v>
      </c>
      <c r="I884">
        <v>-21585</v>
      </c>
      <c r="J884" t="s">
        <v>19</v>
      </c>
      <c r="K884" t="s">
        <v>67</v>
      </c>
      <c r="L884" t="s">
        <v>49</v>
      </c>
      <c r="M884" t="s">
        <v>22</v>
      </c>
    </row>
    <row r="885" spans="1:13">
      <c r="A885" t="s">
        <v>1502</v>
      </c>
      <c r="B885" t="s">
        <v>1503</v>
      </c>
      <c r="C885" t="s">
        <v>25</v>
      </c>
      <c r="D885" t="s">
        <v>61</v>
      </c>
      <c r="E885" t="s">
        <v>71</v>
      </c>
      <c r="F885" t="s">
        <v>72</v>
      </c>
      <c r="G885">
        <v>128623</v>
      </c>
      <c r="H885">
        <v>141706</v>
      </c>
      <c r="I885">
        <v>13083</v>
      </c>
      <c r="J885" t="s">
        <v>54</v>
      </c>
      <c r="K885" t="s">
        <v>48</v>
      </c>
      <c r="L885" t="s">
        <v>30</v>
      </c>
      <c r="M885" t="s">
        <v>22</v>
      </c>
    </row>
    <row r="886" spans="1:13">
      <c r="A886" t="s">
        <v>1504</v>
      </c>
      <c r="B886" t="s">
        <v>845</v>
      </c>
      <c r="C886" t="s">
        <v>35</v>
      </c>
      <c r="D886" t="s">
        <v>16</v>
      </c>
      <c r="E886" t="s">
        <v>46</v>
      </c>
      <c r="F886" t="s">
        <v>47</v>
      </c>
      <c r="G886">
        <v>100866</v>
      </c>
      <c r="H886">
        <v>71056</v>
      </c>
      <c r="I886">
        <v>-29810</v>
      </c>
      <c r="J886" t="s">
        <v>19</v>
      </c>
      <c r="K886" t="s">
        <v>29</v>
      </c>
      <c r="L886" t="s">
        <v>49</v>
      </c>
      <c r="M886" t="s">
        <v>42</v>
      </c>
    </row>
    <row r="887" spans="1:13">
      <c r="A887" t="s">
        <v>1505</v>
      </c>
      <c r="B887" t="s">
        <v>872</v>
      </c>
      <c r="C887" t="s">
        <v>15</v>
      </c>
      <c r="D887" t="s">
        <v>26</v>
      </c>
      <c r="E887" t="s">
        <v>35</v>
      </c>
      <c r="F887" t="s">
        <v>36</v>
      </c>
      <c r="G887">
        <v>111857</v>
      </c>
      <c r="H887">
        <v>132329</v>
      </c>
      <c r="I887">
        <v>20472</v>
      </c>
      <c r="J887" t="s">
        <v>19</v>
      </c>
      <c r="K887" t="s">
        <v>29</v>
      </c>
      <c r="L887" t="s">
        <v>21</v>
      </c>
      <c r="M887" t="s">
        <v>42</v>
      </c>
    </row>
    <row r="888" spans="1:13">
      <c r="A888" t="s">
        <v>1506</v>
      </c>
      <c r="B888" t="s">
        <v>1507</v>
      </c>
      <c r="C888" t="s">
        <v>25</v>
      </c>
      <c r="D888" t="s">
        <v>26</v>
      </c>
      <c r="E888" t="s">
        <v>71</v>
      </c>
      <c r="F888" t="s">
        <v>72</v>
      </c>
      <c r="G888">
        <v>462726</v>
      </c>
      <c r="H888">
        <v>468538</v>
      </c>
      <c r="I888">
        <v>5812</v>
      </c>
      <c r="J888" t="s">
        <v>19</v>
      </c>
      <c r="K888" t="s">
        <v>41</v>
      </c>
      <c r="L888" t="s">
        <v>49</v>
      </c>
      <c r="M888" t="s">
        <v>42</v>
      </c>
    </row>
    <row r="889" spans="1:13">
      <c r="A889" t="s">
        <v>1508</v>
      </c>
      <c r="B889" t="s">
        <v>1127</v>
      </c>
      <c r="C889" t="s">
        <v>35</v>
      </c>
      <c r="D889" t="s">
        <v>40</v>
      </c>
      <c r="E889" t="s">
        <v>27</v>
      </c>
      <c r="F889" t="s">
        <v>28</v>
      </c>
      <c r="G889">
        <v>298009</v>
      </c>
      <c r="H889">
        <v>290676</v>
      </c>
      <c r="I889">
        <v>-7333</v>
      </c>
      <c r="J889" t="s">
        <v>37</v>
      </c>
      <c r="K889" t="s">
        <v>67</v>
      </c>
      <c r="L889" t="s">
        <v>49</v>
      </c>
      <c r="M889" t="s">
        <v>42</v>
      </c>
    </row>
    <row r="890" spans="1:13">
      <c r="A890" t="s">
        <v>1509</v>
      </c>
      <c r="B890" t="s">
        <v>826</v>
      </c>
      <c r="C890" t="s">
        <v>25</v>
      </c>
      <c r="D890" t="s">
        <v>26</v>
      </c>
      <c r="E890" t="s">
        <v>27</v>
      </c>
      <c r="F890" t="s">
        <v>28</v>
      </c>
      <c r="G890">
        <v>427005</v>
      </c>
      <c r="H890">
        <v>513556</v>
      </c>
      <c r="I890">
        <v>86551</v>
      </c>
      <c r="J890" t="s">
        <v>37</v>
      </c>
      <c r="K890" t="s">
        <v>48</v>
      </c>
      <c r="L890" t="s">
        <v>30</v>
      </c>
      <c r="M890" t="s">
        <v>22</v>
      </c>
    </row>
    <row r="891" spans="1:13">
      <c r="A891" t="s">
        <v>1510</v>
      </c>
      <c r="B891" t="s">
        <v>1337</v>
      </c>
      <c r="C891" t="s">
        <v>25</v>
      </c>
      <c r="D891" t="s">
        <v>26</v>
      </c>
      <c r="E891" t="s">
        <v>85</v>
      </c>
      <c r="F891" t="s">
        <v>86</v>
      </c>
      <c r="G891">
        <v>181816</v>
      </c>
      <c r="H891">
        <v>211617</v>
      </c>
      <c r="I891">
        <v>29801</v>
      </c>
      <c r="J891" t="s">
        <v>54</v>
      </c>
      <c r="K891" t="s">
        <v>41</v>
      </c>
      <c r="L891" t="s">
        <v>49</v>
      </c>
      <c r="M891" t="s">
        <v>42</v>
      </c>
    </row>
    <row r="892" spans="1:13">
      <c r="A892" t="s">
        <v>1511</v>
      </c>
      <c r="B892" t="s">
        <v>1252</v>
      </c>
      <c r="C892" t="s">
        <v>25</v>
      </c>
      <c r="D892" t="s">
        <v>26</v>
      </c>
      <c r="E892" t="s">
        <v>71</v>
      </c>
      <c r="F892" t="s">
        <v>72</v>
      </c>
      <c r="G892">
        <v>493583</v>
      </c>
      <c r="H892">
        <v>360764</v>
      </c>
      <c r="I892">
        <v>-132819</v>
      </c>
      <c r="J892" t="s">
        <v>54</v>
      </c>
      <c r="K892" t="s">
        <v>67</v>
      </c>
      <c r="L892" t="s">
        <v>49</v>
      </c>
      <c r="M892" t="s">
        <v>22</v>
      </c>
    </row>
    <row r="893" spans="1:13">
      <c r="A893" t="s">
        <v>1512</v>
      </c>
      <c r="B893" t="s">
        <v>253</v>
      </c>
      <c r="C893" t="s">
        <v>25</v>
      </c>
      <c r="D893" t="s">
        <v>16</v>
      </c>
      <c r="E893" t="s">
        <v>27</v>
      </c>
      <c r="F893" t="s">
        <v>28</v>
      </c>
      <c r="G893">
        <v>141403</v>
      </c>
      <c r="H893">
        <v>141088</v>
      </c>
      <c r="I893">
        <v>-315</v>
      </c>
      <c r="J893" t="s">
        <v>37</v>
      </c>
      <c r="K893" t="s">
        <v>67</v>
      </c>
      <c r="L893" t="s">
        <v>21</v>
      </c>
      <c r="M893" t="s">
        <v>22</v>
      </c>
    </row>
    <row r="894" spans="1:13">
      <c r="A894" t="s">
        <v>1513</v>
      </c>
      <c r="B894" t="s">
        <v>70</v>
      </c>
      <c r="C894" t="s">
        <v>35</v>
      </c>
      <c r="D894" t="s">
        <v>16</v>
      </c>
      <c r="E894" t="s">
        <v>17</v>
      </c>
      <c r="F894" t="s">
        <v>18</v>
      </c>
      <c r="G894">
        <v>63809</v>
      </c>
      <c r="H894">
        <v>67603</v>
      </c>
      <c r="I894">
        <v>3794</v>
      </c>
      <c r="J894" t="s">
        <v>19</v>
      </c>
      <c r="K894" t="s">
        <v>20</v>
      </c>
      <c r="L894" t="s">
        <v>49</v>
      </c>
      <c r="M894" t="s">
        <v>22</v>
      </c>
    </row>
    <row r="895" spans="1:13">
      <c r="A895" t="s">
        <v>1514</v>
      </c>
      <c r="B895" t="s">
        <v>259</v>
      </c>
      <c r="C895" t="s">
        <v>35</v>
      </c>
      <c r="D895" t="s">
        <v>40</v>
      </c>
      <c r="E895" t="s">
        <v>17</v>
      </c>
      <c r="F895" t="s">
        <v>18</v>
      </c>
      <c r="G895">
        <v>472771</v>
      </c>
      <c r="H895">
        <v>562892</v>
      </c>
      <c r="I895">
        <v>90121</v>
      </c>
      <c r="J895" t="s">
        <v>19</v>
      </c>
      <c r="K895" t="s">
        <v>48</v>
      </c>
      <c r="L895" t="s">
        <v>30</v>
      </c>
      <c r="M895" t="s">
        <v>22</v>
      </c>
    </row>
    <row r="896" spans="1:13">
      <c r="A896" t="s">
        <v>1515</v>
      </c>
      <c r="B896" t="s">
        <v>398</v>
      </c>
      <c r="C896" t="s">
        <v>45</v>
      </c>
      <c r="D896" t="s">
        <v>40</v>
      </c>
      <c r="E896" t="s">
        <v>35</v>
      </c>
      <c r="F896" t="s">
        <v>36</v>
      </c>
      <c r="G896">
        <v>67361</v>
      </c>
      <c r="H896">
        <v>77363</v>
      </c>
      <c r="I896">
        <v>10002</v>
      </c>
      <c r="J896" t="s">
        <v>54</v>
      </c>
      <c r="K896" t="s">
        <v>20</v>
      </c>
      <c r="L896" t="s">
        <v>21</v>
      </c>
      <c r="M896" t="s">
        <v>42</v>
      </c>
    </row>
    <row r="897" spans="1:13">
      <c r="A897" t="s">
        <v>1516</v>
      </c>
      <c r="B897" t="s">
        <v>343</v>
      </c>
      <c r="C897" t="s">
        <v>64</v>
      </c>
      <c r="D897" t="s">
        <v>34</v>
      </c>
      <c r="E897" t="s">
        <v>17</v>
      </c>
      <c r="F897" t="s">
        <v>18</v>
      </c>
      <c r="G897">
        <v>61632</v>
      </c>
      <c r="H897">
        <v>73916</v>
      </c>
      <c r="I897">
        <v>12284</v>
      </c>
      <c r="J897" t="s">
        <v>54</v>
      </c>
      <c r="K897" t="s">
        <v>20</v>
      </c>
      <c r="L897" t="s">
        <v>68</v>
      </c>
      <c r="M897" t="s">
        <v>42</v>
      </c>
    </row>
    <row r="898" spans="1:13">
      <c r="A898" t="s">
        <v>1517</v>
      </c>
      <c r="B898" t="s">
        <v>1518</v>
      </c>
      <c r="C898" t="s">
        <v>15</v>
      </c>
      <c r="D898" t="s">
        <v>40</v>
      </c>
      <c r="E898" t="s">
        <v>17</v>
      </c>
      <c r="F898" t="s">
        <v>18</v>
      </c>
      <c r="G898">
        <v>345355</v>
      </c>
      <c r="H898">
        <v>349289</v>
      </c>
      <c r="I898">
        <v>3934</v>
      </c>
      <c r="J898" t="s">
        <v>54</v>
      </c>
      <c r="K898" t="s">
        <v>41</v>
      </c>
      <c r="L898" t="s">
        <v>68</v>
      </c>
      <c r="M898" t="s">
        <v>42</v>
      </c>
    </row>
    <row r="899" spans="1:13">
      <c r="A899" t="s">
        <v>1519</v>
      </c>
      <c r="B899" t="s">
        <v>324</v>
      </c>
      <c r="C899" t="s">
        <v>33</v>
      </c>
      <c r="D899" t="s">
        <v>61</v>
      </c>
      <c r="E899" t="s">
        <v>85</v>
      </c>
      <c r="F899" t="s">
        <v>86</v>
      </c>
      <c r="G899">
        <v>58603</v>
      </c>
      <c r="H899">
        <v>62672</v>
      </c>
      <c r="I899">
        <v>4069</v>
      </c>
      <c r="J899" t="s">
        <v>19</v>
      </c>
      <c r="K899" t="s">
        <v>29</v>
      </c>
      <c r="L899" t="s">
        <v>49</v>
      </c>
      <c r="M899" t="s">
        <v>42</v>
      </c>
    </row>
    <row r="900" spans="1:13">
      <c r="A900" t="s">
        <v>1520</v>
      </c>
      <c r="B900" t="s">
        <v>789</v>
      </c>
      <c r="C900" t="s">
        <v>33</v>
      </c>
      <c r="D900" t="s">
        <v>16</v>
      </c>
      <c r="E900" t="s">
        <v>17</v>
      </c>
      <c r="F900" t="s">
        <v>18</v>
      </c>
      <c r="G900">
        <v>471147</v>
      </c>
      <c r="H900">
        <v>507219</v>
      </c>
      <c r="I900">
        <v>36072</v>
      </c>
      <c r="J900" t="s">
        <v>19</v>
      </c>
      <c r="K900" t="s">
        <v>20</v>
      </c>
      <c r="L900" t="s">
        <v>21</v>
      </c>
      <c r="M900" t="s">
        <v>42</v>
      </c>
    </row>
    <row r="901" spans="1:13">
      <c r="A901" t="s">
        <v>1521</v>
      </c>
      <c r="B901" t="s">
        <v>1522</v>
      </c>
      <c r="C901" t="s">
        <v>15</v>
      </c>
      <c r="D901" t="s">
        <v>16</v>
      </c>
      <c r="E901" t="s">
        <v>27</v>
      </c>
      <c r="F901" t="s">
        <v>28</v>
      </c>
      <c r="G901">
        <v>248860</v>
      </c>
      <c r="H901">
        <v>202698</v>
      </c>
      <c r="I901">
        <v>-46162</v>
      </c>
      <c r="J901" t="s">
        <v>37</v>
      </c>
      <c r="K901" t="s">
        <v>41</v>
      </c>
      <c r="L901" t="s">
        <v>68</v>
      </c>
      <c r="M901" t="s">
        <v>42</v>
      </c>
    </row>
    <row r="902" spans="1:13">
      <c r="A902" t="s">
        <v>1523</v>
      </c>
      <c r="B902" t="s">
        <v>106</v>
      </c>
      <c r="C902" t="s">
        <v>64</v>
      </c>
      <c r="D902" t="s">
        <v>61</v>
      </c>
      <c r="E902" t="s">
        <v>71</v>
      </c>
      <c r="F902" t="s">
        <v>72</v>
      </c>
      <c r="G902">
        <v>74564</v>
      </c>
      <c r="H902">
        <v>97425</v>
      </c>
      <c r="I902">
        <v>22861</v>
      </c>
      <c r="J902" t="s">
        <v>19</v>
      </c>
      <c r="K902" t="s">
        <v>41</v>
      </c>
      <c r="L902" t="s">
        <v>30</v>
      </c>
      <c r="M902" t="s">
        <v>42</v>
      </c>
    </row>
    <row r="903" spans="1:13">
      <c r="A903" t="s">
        <v>1524</v>
      </c>
      <c r="B903" t="s">
        <v>473</v>
      </c>
      <c r="C903" t="s">
        <v>15</v>
      </c>
      <c r="D903" t="s">
        <v>16</v>
      </c>
      <c r="E903" t="s">
        <v>46</v>
      </c>
      <c r="F903" t="s">
        <v>47</v>
      </c>
      <c r="G903">
        <v>444998</v>
      </c>
      <c r="H903">
        <v>436743</v>
      </c>
      <c r="I903">
        <v>-8255</v>
      </c>
      <c r="J903" t="s">
        <v>37</v>
      </c>
      <c r="K903" t="s">
        <v>20</v>
      </c>
      <c r="L903" t="s">
        <v>30</v>
      </c>
      <c r="M903" t="s">
        <v>42</v>
      </c>
    </row>
    <row r="904" spans="1:13">
      <c r="A904" t="s">
        <v>1525</v>
      </c>
      <c r="B904" t="s">
        <v>1526</v>
      </c>
      <c r="C904" t="s">
        <v>35</v>
      </c>
      <c r="D904" t="s">
        <v>61</v>
      </c>
      <c r="E904" t="s">
        <v>27</v>
      </c>
      <c r="F904" t="s">
        <v>28</v>
      </c>
      <c r="G904">
        <v>55460</v>
      </c>
      <c r="H904">
        <v>52450</v>
      </c>
      <c r="I904">
        <v>-3010</v>
      </c>
      <c r="J904" t="s">
        <v>37</v>
      </c>
      <c r="K904" t="s">
        <v>29</v>
      </c>
      <c r="L904" t="s">
        <v>30</v>
      </c>
      <c r="M904" t="s">
        <v>22</v>
      </c>
    </row>
    <row r="905" spans="1:13">
      <c r="A905" t="s">
        <v>1527</v>
      </c>
      <c r="B905" t="s">
        <v>1113</v>
      </c>
      <c r="C905" t="s">
        <v>45</v>
      </c>
      <c r="D905" t="s">
        <v>34</v>
      </c>
      <c r="E905" t="s">
        <v>35</v>
      </c>
      <c r="F905" t="s">
        <v>36</v>
      </c>
      <c r="G905">
        <v>239104</v>
      </c>
      <c r="H905">
        <v>176611</v>
      </c>
      <c r="I905">
        <v>-62493</v>
      </c>
      <c r="J905" t="s">
        <v>37</v>
      </c>
      <c r="K905" t="s">
        <v>20</v>
      </c>
      <c r="L905" t="s">
        <v>49</v>
      </c>
      <c r="M905" t="s">
        <v>42</v>
      </c>
    </row>
    <row r="906" spans="1:13">
      <c r="A906" t="s">
        <v>1528</v>
      </c>
      <c r="B906" t="s">
        <v>1529</v>
      </c>
      <c r="C906" t="s">
        <v>25</v>
      </c>
      <c r="D906" t="s">
        <v>16</v>
      </c>
      <c r="E906" t="s">
        <v>46</v>
      </c>
      <c r="F906" t="s">
        <v>47</v>
      </c>
      <c r="G906">
        <v>495442</v>
      </c>
      <c r="H906">
        <v>376931</v>
      </c>
      <c r="I906">
        <v>-118511</v>
      </c>
      <c r="J906" t="s">
        <v>37</v>
      </c>
      <c r="K906" t="s">
        <v>20</v>
      </c>
      <c r="L906" t="s">
        <v>30</v>
      </c>
      <c r="M906" t="s">
        <v>42</v>
      </c>
    </row>
    <row r="907" spans="1:13">
      <c r="A907" t="s">
        <v>1530</v>
      </c>
      <c r="B907" t="s">
        <v>1259</v>
      </c>
      <c r="C907" t="s">
        <v>25</v>
      </c>
      <c r="D907" t="s">
        <v>40</v>
      </c>
      <c r="E907" t="s">
        <v>35</v>
      </c>
      <c r="F907" t="s">
        <v>36</v>
      </c>
      <c r="G907">
        <v>197965</v>
      </c>
      <c r="H907">
        <v>219746</v>
      </c>
      <c r="I907">
        <v>21781</v>
      </c>
      <c r="J907" t="s">
        <v>37</v>
      </c>
      <c r="K907" t="s">
        <v>29</v>
      </c>
      <c r="L907" t="s">
        <v>21</v>
      </c>
      <c r="M907" t="s">
        <v>22</v>
      </c>
    </row>
    <row r="908" spans="1:13">
      <c r="A908" t="s">
        <v>1531</v>
      </c>
      <c r="B908" t="s">
        <v>682</v>
      </c>
      <c r="C908" t="s">
        <v>33</v>
      </c>
      <c r="D908" t="s">
        <v>34</v>
      </c>
      <c r="E908" t="s">
        <v>27</v>
      </c>
      <c r="F908" t="s">
        <v>28</v>
      </c>
      <c r="G908">
        <v>203541</v>
      </c>
      <c r="H908">
        <v>192606</v>
      </c>
      <c r="I908">
        <v>-10935</v>
      </c>
      <c r="J908" t="s">
        <v>37</v>
      </c>
      <c r="K908" t="s">
        <v>20</v>
      </c>
      <c r="L908" t="s">
        <v>30</v>
      </c>
      <c r="M908" t="s">
        <v>42</v>
      </c>
    </row>
    <row r="909" spans="1:13">
      <c r="A909" t="s">
        <v>1532</v>
      </c>
      <c r="B909" t="s">
        <v>997</v>
      </c>
      <c r="C909" t="s">
        <v>64</v>
      </c>
      <c r="D909" t="s">
        <v>40</v>
      </c>
      <c r="E909" t="s">
        <v>85</v>
      </c>
      <c r="F909" t="s">
        <v>86</v>
      </c>
      <c r="G909">
        <v>81704</v>
      </c>
      <c r="H909">
        <v>71342</v>
      </c>
      <c r="I909">
        <v>-10362</v>
      </c>
      <c r="J909" t="s">
        <v>54</v>
      </c>
      <c r="K909" t="s">
        <v>67</v>
      </c>
      <c r="L909" t="s">
        <v>30</v>
      </c>
      <c r="M909" t="s">
        <v>22</v>
      </c>
    </row>
    <row r="910" spans="1:13">
      <c r="A910" t="s">
        <v>1533</v>
      </c>
      <c r="B910" t="s">
        <v>291</v>
      </c>
      <c r="C910" t="s">
        <v>64</v>
      </c>
      <c r="D910" t="s">
        <v>40</v>
      </c>
      <c r="E910" t="s">
        <v>85</v>
      </c>
      <c r="F910" t="s">
        <v>86</v>
      </c>
      <c r="G910">
        <v>426341</v>
      </c>
      <c r="H910">
        <v>585945</v>
      </c>
      <c r="I910">
        <v>159604</v>
      </c>
      <c r="J910" t="s">
        <v>54</v>
      </c>
      <c r="K910" t="s">
        <v>67</v>
      </c>
      <c r="L910" t="s">
        <v>68</v>
      </c>
      <c r="M910" t="s">
        <v>22</v>
      </c>
    </row>
    <row r="911" spans="1:13">
      <c r="A911" t="s">
        <v>1534</v>
      </c>
      <c r="B911" t="s">
        <v>1535</v>
      </c>
      <c r="C911" t="s">
        <v>25</v>
      </c>
      <c r="D911" t="s">
        <v>26</v>
      </c>
      <c r="E911" t="s">
        <v>46</v>
      </c>
      <c r="F911" t="s">
        <v>47</v>
      </c>
      <c r="G911">
        <v>330794</v>
      </c>
      <c r="H911">
        <v>291079</v>
      </c>
      <c r="I911">
        <v>-39715</v>
      </c>
      <c r="J911" t="s">
        <v>37</v>
      </c>
      <c r="K911" t="s">
        <v>67</v>
      </c>
      <c r="L911" t="s">
        <v>21</v>
      </c>
      <c r="M911" t="s">
        <v>22</v>
      </c>
    </row>
    <row r="912" spans="1:13">
      <c r="A912" t="s">
        <v>1536</v>
      </c>
      <c r="B912" t="s">
        <v>1537</v>
      </c>
      <c r="C912" t="s">
        <v>25</v>
      </c>
      <c r="D912" t="s">
        <v>40</v>
      </c>
      <c r="E912" t="s">
        <v>35</v>
      </c>
      <c r="F912" t="s">
        <v>36</v>
      </c>
      <c r="G912">
        <v>172671</v>
      </c>
      <c r="H912">
        <v>186644</v>
      </c>
      <c r="I912">
        <v>13973</v>
      </c>
      <c r="J912" t="s">
        <v>19</v>
      </c>
      <c r="K912" t="s">
        <v>48</v>
      </c>
      <c r="L912" t="s">
        <v>49</v>
      </c>
      <c r="M912" t="s">
        <v>42</v>
      </c>
    </row>
    <row r="913" spans="1:13">
      <c r="A913" t="s">
        <v>1538</v>
      </c>
      <c r="B913" t="s">
        <v>1250</v>
      </c>
      <c r="C913" t="s">
        <v>64</v>
      </c>
      <c r="D913" t="s">
        <v>34</v>
      </c>
      <c r="E913" t="s">
        <v>46</v>
      </c>
      <c r="F913" t="s">
        <v>47</v>
      </c>
      <c r="G913">
        <v>499294</v>
      </c>
      <c r="H913">
        <v>688346</v>
      </c>
      <c r="I913">
        <v>189052</v>
      </c>
      <c r="J913" t="s">
        <v>37</v>
      </c>
      <c r="K913" t="s">
        <v>20</v>
      </c>
      <c r="L913" t="s">
        <v>21</v>
      </c>
      <c r="M913" t="s">
        <v>42</v>
      </c>
    </row>
    <row r="914" spans="1:13">
      <c r="A914" t="s">
        <v>1539</v>
      </c>
      <c r="B914" t="s">
        <v>1540</v>
      </c>
      <c r="C914" t="s">
        <v>45</v>
      </c>
      <c r="D914" t="s">
        <v>34</v>
      </c>
      <c r="E914" t="s">
        <v>35</v>
      </c>
      <c r="F914" t="s">
        <v>36</v>
      </c>
      <c r="G914">
        <v>306540</v>
      </c>
      <c r="H914">
        <v>367497</v>
      </c>
      <c r="I914">
        <v>60957</v>
      </c>
      <c r="J914" t="s">
        <v>37</v>
      </c>
      <c r="K914" t="s">
        <v>20</v>
      </c>
      <c r="L914" t="s">
        <v>49</v>
      </c>
      <c r="M914" t="s">
        <v>42</v>
      </c>
    </row>
    <row r="915" spans="1:13">
      <c r="A915" t="s">
        <v>1541</v>
      </c>
      <c r="B915" t="s">
        <v>885</v>
      </c>
      <c r="C915" t="s">
        <v>33</v>
      </c>
      <c r="D915" t="s">
        <v>26</v>
      </c>
      <c r="E915" t="s">
        <v>17</v>
      </c>
      <c r="F915" t="s">
        <v>18</v>
      </c>
      <c r="G915">
        <v>74271</v>
      </c>
      <c r="H915">
        <v>80614</v>
      </c>
      <c r="I915">
        <v>6343</v>
      </c>
      <c r="J915" t="s">
        <v>37</v>
      </c>
      <c r="K915" t="s">
        <v>20</v>
      </c>
      <c r="L915" t="s">
        <v>30</v>
      </c>
      <c r="M915" t="s">
        <v>22</v>
      </c>
    </row>
    <row r="916" spans="1:13">
      <c r="A916" t="s">
        <v>1542</v>
      </c>
      <c r="B916" t="s">
        <v>1432</v>
      </c>
      <c r="C916" t="s">
        <v>33</v>
      </c>
      <c r="D916" t="s">
        <v>40</v>
      </c>
      <c r="E916" t="s">
        <v>17</v>
      </c>
      <c r="F916" t="s">
        <v>18</v>
      </c>
      <c r="G916">
        <v>442714</v>
      </c>
      <c r="H916">
        <v>471831</v>
      </c>
      <c r="I916">
        <v>29117</v>
      </c>
      <c r="J916" t="s">
        <v>54</v>
      </c>
      <c r="K916" t="s">
        <v>48</v>
      </c>
      <c r="L916" t="s">
        <v>68</v>
      </c>
      <c r="M916" t="s">
        <v>42</v>
      </c>
    </row>
    <row r="917" spans="1:13">
      <c r="A917" t="s">
        <v>1543</v>
      </c>
      <c r="B917" t="s">
        <v>961</v>
      </c>
      <c r="C917" t="s">
        <v>25</v>
      </c>
      <c r="D917" t="s">
        <v>40</v>
      </c>
      <c r="E917" t="s">
        <v>35</v>
      </c>
      <c r="F917" t="s">
        <v>36</v>
      </c>
      <c r="G917">
        <v>345501</v>
      </c>
      <c r="H917">
        <v>442852</v>
      </c>
      <c r="I917">
        <v>97351</v>
      </c>
      <c r="J917" t="s">
        <v>37</v>
      </c>
      <c r="K917" t="s">
        <v>67</v>
      </c>
      <c r="L917" t="s">
        <v>49</v>
      </c>
      <c r="M917" t="s">
        <v>22</v>
      </c>
    </row>
    <row r="918" spans="1:13">
      <c r="A918" t="s">
        <v>1544</v>
      </c>
      <c r="B918" t="s">
        <v>940</v>
      </c>
      <c r="C918" t="s">
        <v>25</v>
      </c>
      <c r="D918" t="s">
        <v>40</v>
      </c>
      <c r="E918" t="s">
        <v>17</v>
      </c>
      <c r="F918" t="s">
        <v>18</v>
      </c>
      <c r="G918">
        <v>370063</v>
      </c>
      <c r="H918">
        <v>289541</v>
      </c>
      <c r="I918">
        <v>-80522</v>
      </c>
      <c r="J918" t="s">
        <v>19</v>
      </c>
      <c r="K918" t="s">
        <v>67</v>
      </c>
      <c r="L918" t="s">
        <v>21</v>
      </c>
      <c r="M918" t="s">
        <v>42</v>
      </c>
    </row>
    <row r="919" spans="1:13">
      <c r="A919" t="s">
        <v>1545</v>
      </c>
      <c r="B919" t="s">
        <v>1546</v>
      </c>
      <c r="C919" t="s">
        <v>35</v>
      </c>
      <c r="D919" t="s">
        <v>34</v>
      </c>
      <c r="E919" t="s">
        <v>35</v>
      </c>
      <c r="F919" t="s">
        <v>36</v>
      </c>
      <c r="G919">
        <v>223099</v>
      </c>
      <c r="H919">
        <v>206383</v>
      </c>
      <c r="I919">
        <v>-16716</v>
      </c>
      <c r="J919" t="s">
        <v>54</v>
      </c>
      <c r="K919" t="s">
        <v>48</v>
      </c>
      <c r="L919" t="s">
        <v>68</v>
      </c>
      <c r="M919" t="s">
        <v>42</v>
      </c>
    </row>
    <row r="920" spans="1:13">
      <c r="A920" t="s">
        <v>1547</v>
      </c>
      <c r="B920" t="s">
        <v>333</v>
      </c>
      <c r="C920" t="s">
        <v>33</v>
      </c>
      <c r="D920" t="s">
        <v>61</v>
      </c>
      <c r="E920" t="s">
        <v>85</v>
      </c>
      <c r="F920" t="s">
        <v>86</v>
      </c>
      <c r="G920">
        <v>489322</v>
      </c>
      <c r="H920">
        <v>440854</v>
      </c>
      <c r="I920">
        <v>-48468</v>
      </c>
      <c r="J920" t="s">
        <v>19</v>
      </c>
      <c r="K920" t="s">
        <v>20</v>
      </c>
      <c r="L920" t="s">
        <v>21</v>
      </c>
      <c r="M920" t="s">
        <v>42</v>
      </c>
    </row>
    <row r="921" spans="1:13">
      <c r="A921" t="s">
        <v>1548</v>
      </c>
      <c r="B921" t="s">
        <v>116</v>
      </c>
      <c r="C921" t="s">
        <v>45</v>
      </c>
      <c r="D921" t="s">
        <v>16</v>
      </c>
      <c r="E921" t="s">
        <v>17</v>
      </c>
      <c r="F921" t="s">
        <v>18</v>
      </c>
      <c r="G921">
        <v>66995</v>
      </c>
      <c r="H921">
        <v>81916</v>
      </c>
      <c r="I921">
        <v>14921</v>
      </c>
      <c r="J921" t="s">
        <v>54</v>
      </c>
      <c r="K921" t="s">
        <v>48</v>
      </c>
      <c r="L921" t="s">
        <v>30</v>
      </c>
      <c r="M921" t="s">
        <v>22</v>
      </c>
    </row>
    <row r="922" spans="1:13">
      <c r="A922" t="s">
        <v>1549</v>
      </c>
      <c r="B922" t="s">
        <v>1040</v>
      </c>
      <c r="C922" t="s">
        <v>35</v>
      </c>
      <c r="D922" t="s">
        <v>26</v>
      </c>
      <c r="E922" t="s">
        <v>27</v>
      </c>
      <c r="F922" t="s">
        <v>28</v>
      </c>
      <c r="G922">
        <v>209491</v>
      </c>
      <c r="H922">
        <v>228326</v>
      </c>
      <c r="I922">
        <v>18835</v>
      </c>
      <c r="J922" t="s">
        <v>19</v>
      </c>
      <c r="K922" t="s">
        <v>29</v>
      </c>
      <c r="L922" t="s">
        <v>21</v>
      </c>
      <c r="M922" t="s">
        <v>42</v>
      </c>
    </row>
    <row r="923" spans="1:13">
      <c r="A923" t="s">
        <v>1550</v>
      </c>
      <c r="B923" t="s">
        <v>1551</v>
      </c>
      <c r="C923" t="s">
        <v>15</v>
      </c>
      <c r="D923" t="s">
        <v>34</v>
      </c>
      <c r="E923" t="s">
        <v>17</v>
      </c>
      <c r="F923" t="s">
        <v>18</v>
      </c>
      <c r="G923">
        <v>172952</v>
      </c>
      <c r="H923">
        <v>203359</v>
      </c>
      <c r="I923">
        <v>30407</v>
      </c>
      <c r="J923" t="s">
        <v>19</v>
      </c>
      <c r="K923" t="s">
        <v>29</v>
      </c>
      <c r="L923" t="s">
        <v>68</v>
      </c>
      <c r="M923" t="s">
        <v>22</v>
      </c>
    </row>
    <row r="924" spans="1:13">
      <c r="A924" t="s">
        <v>1552</v>
      </c>
      <c r="B924" t="s">
        <v>1553</v>
      </c>
      <c r="C924" t="s">
        <v>25</v>
      </c>
      <c r="D924" t="s">
        <v>16</v>
      </c>
      <c r="E924" t="s">
        <v>17</v>
      </c>
      <c r="F924" t="s">
        <v>18</v>
      </c>
      <c r="G924">
        <v>432956</v>
      </c>
      <c r="H924">
        <v>544202</v>
      </c>
      <c r="I924">
        <v>111246</v>
      </c>
      <c r="J924" t="s">
        <v>19</v>
      </c>
      <c r="K924" t="s">
        <v>20</v>
      </c>
      <c r="L924" t="s">
        <v>21</v>
      </c>
      <c r="M924" t="s">
        <v>22</v>
      </c>
    </row>
    <row r="925" spans="1:13">
      <c r="A925" t="s">
        <v>1554</v>
      </c>
      <c r="B925" t="s">
        <v>1442</v>
      </c>
      <c r="C925" t="s">
        <v>64</v>
      </c>
      <c r="D925" t="s">
        <v>40</v>
      </c>
      <c r="E925" t="s">
        <v>27</v>
      </c>
      <c r="F925" t="s">
        <v>28</v>
      </c>
      <c r="G925">
        <v>420803</v>
      </c>
      <c r="H925">
        <v>429356</v>
      </c>
      <c r="I925">
        <v>8553</v>
      </c>
      <c r="J925" t="s">
        <v>54</v>
      </c>
      <c r="K925" t="s">
        <v>41</v>
      </c>
      <c r="L925" t="s">
        <v>30</v>
      </c>
      <c r="M925" t="s">
        <v>42</v>
      </c>
    </row>
    <row r="926" spans="1:13">
      <c r="A926" t="s">
        <v>1555</v>
      </c>
      <c r="B926" t="s">
        <v>148</v>
      </c>
      <c r="C926" t="s">
        <v>35</v>
      </c>
      <c r="D926" t="s">
        <v>16</v>
      </c>
      <c r="E926" t="s">
        <v>27</v>
      </c>
      <c r="F926" t="s">
        <v>28</v>
      </c>
      <c r="G926">
        <v>307154</v>
      </c>
      <c r="H926">
        <v>238636</v>
      </c>
      <c r="I926">
        <v>-68518</v>
      </c>
      <c r="J926" t="s">
        <v>19</v>
      </c>
      <c r="K926" t="s">
        <v>20</v>
      </c>
      <c r="L926" t="s">
        <v>21</v>
      </c>
      <c r="M926" t="s">
        <v>42</v>
      </c>
    </row>
    <row r="927" spans="1:13">
      <c r="A927" t="s">
        <v>1556</v>
      </c>
      <c r="B927" t="s">
        <v>1557</v>
      </c>
      <c r="C927" t="s">
        <v>45</v>
      </c>
      <c r="D927" t="s">
        <v>26</v>
      </c>
      <c r="E927" t="s">
        <v>17</v>
      </c>
      <c r="F927" t="s">
        <v>18</v>
      </c>
      <c r="G927">
        <v>276380</v>
      </c>
      <c r="H927">
        <v>326551</v>
      </c>
      <c r="I927">
        <v>50171</v>
      </c>
      <c r="J927" t="s">
        <v>19</v>
      </c>
      <c r="K927" t="s">
        <v>29</v>
      </c>
      <c r="L927" t="s">
        <v>68</v>
      </c>
      <c r="M927" t="s">
        <v>22</v>
      </c>
    </row>
    <row r="928" spans="1:13">
      <c r="A928" t="s">
        <v>1558</v>
      </c>
      <c r="B928" t="s">
        <v>1559</v>
      </c>
      <c r="C928" t="s">
        <v>45</v>
      </c>
      <c r="D928" t="s">
        <v>61</v>
      </c>
      <c r="E928" t="s">
        <v>85</v>
      </c>
      <c r="F928" t="s">
        <v>86</v>
      </c>
      <c r="G928">
        <v>388046</v>
      </c>
      <c r="H928">
        <v>529961</v>
      </c>
      <c r="I928">
        <v>141915</v>
      </c>
      <c r="J928" t="s">
        <v>19</v>
      </c>
      <c r="K928" t="s">
        <v>20</v>
      </c>
      <c r="L928" t="s">
        <v>30</v>
      </c>
      <c r="M928" t="s">
        <v>42</v>
      </c>
    </row>
    <row r="929" spans="1:13">
      <c r="A929" t="s">
        <v>1560</v>
      </c>
      <c r="B929" t="s">
        <v>1094</v>
      </c>
      <c r="C929" t="s">
        <v>64</v>
      </c>
      <c r="D929" t="s">
        <v>26</v>
      </c>
      <c r="E929" t="s">
        <v>17</v>
      </c>
      <c r="F929" t="s">
        <v>18</v>
      </c>
      <c r="G929">
        <v>487640</v>
      </c>
      <c r="H929">
        <v>514287</v>
      </c>
      <c r="I929">
        <v>26647</v>
      </c>
      <c r="J929" t="s">
        <v>37</v>
      </c>
      <c r="K929" t="s">
        <v>41</v>
      </c>
      <c r="L929" t="s">
        <v>49</v>
      </c>
      <c r="M929" t="s">
        <v>42</v>
      </c>
    </row>
    <row r="930" spans="1:13">
      <c r="A930" t="s">
        <v>1561</v>
      </c>
      <c r="B930" t="s">
        <v>1562</v>
      </c>
      <c r="C930" t="s">
        <v>15</v>
      </c>
      <c r="D930" t="s">
        <v>40</v>
      </c>
      <c r="E930" t="s">
        <v>35</v>
      </c>
      <c r="F930" t="s">
        <v>36</v>
      </c>
      <c r="G930">
        <v>77385</v>
      </c>
      <c r="H930">
        <v>102345</v>
      </c>
      <c r="I930">
        <v>24960</v>
      </c>
      <c r="J930" t="s">
        <v>19</v>
      </c>
      <c r="K930" t="s">
        <v>67</v>
      </c>
      <c r="L930" t="s">
        <v>49</v>
      </c>
      <c r="M930" t="s">
        <v>42</v>
      </c>
    </row>
    <row r="931" spans="1:13">
      <c r="A931" t="s">
        <v>1563</v>
      </c>
      <c r="B931" t="s">
        <v>1564</v>
      </c>
      <c r="C931" t="s">
        <v>25</v>
      </c>
      <c r="D931" t="s">
        <v>61</v>
      </c>
      <c r="E931" t="s">
        <v>85</v>
      </c>
      <c r="F931" t="s">
        <v>86</v>
      </c>
      <c r="G931">
        <v>77893</v>
      </c>
      <c r="H931">
        <v>69847</v>
      </c>
      <c r="I931">
        <v>-8046</v>
      </c>
      <c r="J931" t="s">
        <v>19</v>
      </c>
      <c r="K931" t="s">
        <v>29</v>
      </c>
      <c r="L931" t="s">
        <v>68</v>
      </c>
      <c r="M931" t="s">
        <v>42</v>
      </c>
    </row>
    <row r="932" spans="1:13">
      <c r="A932" t="s">
        <v>1565</v>
      </c>
      <c r="B932" t="s">
        <v>1006</v>
      </c>
      <c r="C932" t="s">
        <v>25</v>
      </c>
      <c r="D932" t="s">
        <v>40</v>
      </c>
      <c r="E932" t="s">
        <v>27</v>
      </c>
      <c r="F932" t="s">
        <v>28</v>
      </c>
      <c r="G932">
        <v>228530</v>
      </c>
      <c r="H932">
        <v>233304</v>
      </c>
      <c r="I932">
        <v>4774</v>
      </c>
      <c r="J932" t="s">
        <v>19</v>
      </c>
      <c r="K932" t="s">
        <v>41</v>
      </c>
      <c r="L932" t="s">
        <v>21</v>
      </c>
      <c r="M932" t="s">
        <v>42</v>
      </c>
    </row>
    <row r="933" spans="1:13">
      <c r="A933" t="s">
        <v>1566</v>
      </c>
      <c r="B933" t="s">
        <v>750</v>
      </c>
      <c r="C933" t="s">
        <v>33</v>
      </c>
      <c r="D933" t="s">
        <v>26</v>
      </c>
      <c r="E933" t="s">
        <v>35</v>
      </c>
      <c r="F933" t="s">
        <v>36</v>
      </c>
      <c r="G933">
        <v>84007</v>
      </c>
      <c r="H933">
        <v>60127</v>
      </c>
      <c r="I933">
        <v>-23880</v>
      </c>
      <c r="J933" t="s">
        <v>19</v>
      </c>
      <c r="K933" t="s">
        <v>48</v>
      </c>
      <c r="L933" t="s">
        <v>30</v>
      </c>
      <c r="M933" t="s">
        <v>22</v>
      </c>
    </row>
    <row r="934" spans="1:13">
      <c r="A934" t="s">
        <v>1567</v>
      </c>
      <c r="B934" t="s">
        <v>703</v>
      </c>
      <c r="C934" t="s">
        <v>15</v>
      </c>
      <c r="D934" t="s">
        <v>16</v>
      </c>
      <c r="E934" t="s">
        <v>17</v>
      </c>
      <c r="F934" t="s">
        <v>18</v>
      </c>
      <c r="G934">
        <v>161802</v>
      </c>
      <c r="H934">
        <v>200900</v>
      </c>
      <c r="I934">
        <v>39098</v>
      </c>
      <c r="J934" t="s">
        <v>54</v>
      </c>
      <c r="K934" t="s">
        <v>41</v>
      </c>
      <c r="L934" t="s">
        <v>68</v>
      </c>
      <c r="M934" t="s">
        <v>42</v>
      </c>
    </row>
    <row r="935" spans="1:13">
      <c r="A935" t="s">
        <v>1568</v>
      </c>
      <c r="B935" t="s">
        <v>469</v>
      </c>
      <c r="C935" t="s">
        <v>25</v>
      </c>
      <c r="D935" t="s">
        <v>40</v>
      </c>
      <c r="E935" t="s">
        <v>27</v>
      </c>
      <c r="F935" t="s">
        <v>28</v>
      </c>
      <c r="G935">
        <v>74363</v>
      </c>
      <c r="H935">
        <v>62646</v>
      </c>
      <c r="I935">
        <v>-11717</v>
      </c>
      <c r="J935" t="s">
        <v>19</v>
      </c>
      <c r="K935" t="s">
        <v>29</v>
      </c>
      <c r="L935" t="s">
        <v>30</v>
      </c>
      <c r="M935" t="s">
        <v>42</v>
      </c>
    </row>
    <row r="936" spans="1:13">
      <c r="A936" t="s">
        <v>1569</v>
      </c>
      <c r="B936" t="s">
        <v>1570</v>
      </c>
      <c r="C936" t="s">
        <v>25</v>
      </c>
      <c r="D936" t="s">
        <v>16</v>
      </c>
      <c r="E936" t="s">
        <v>46</v>
      </c>
      <c r="F936" t="s">
        <v>47</v>
      </c>
      <c r="G936">
        <v>463557</v>
      </c>
      <c r="H936">
        <v>614164</v>
      </c>
      <c r="I936">
        <v>150607</v>
      </c>
      <c r="J936" t="s">
        <v>54</v>
      </c>
      <c r="K936" t="s">
        <v>48</v>
      </c>
      <c r="L936" t="s">
        <v>30</v>
      </c>
      <c r="M936" t="s">
        <v>42</v>
      </c>
    </row>
    <row r="937" spans="1:13">
      <c r="A937" t="s">
        <v>1571</v>
      </c>
      <c r="B937" t="s">
        <v>826</v>
      </c>
      <c r="C937" t="s">
        <v>25</v>
      </c>
      <c r="D937" t="s">
        <v>61</v>
      </c>
      <c r="E937" t="s">
        <v>27</v>
      </c>
      <c r="F937" t="s">
        <v>28</v>
      </c>
      <c r="G937">
        <v>376931</v>
      </c>
      <c r="H937">
        <v>384686</v>
      </c>
      <c r="I937">
        <v>7755</v>
      </c>
      <c r="J937" t="s">
        <v>54</v>
      </c>
      <c r="K937" t="s">
        <v>41</v>
      </c>
      <c r="L937" t="s">
        <v>21</v>
      </c>
      <c r="M937" t="s">
        <v>42</v>
      </c>
    </row>
    <row r="938" spans="1:13">
      <c r="A938" t="s">
        <v>1572</v>
      </c>
      <c r="B938" t="s">
        <v>1573</v>
      </c>
      <c r="C938" t="s">
        <v>15</v>
      </c>
      <c r="D938" t="s">
        <v>34</v>
      </c>
      <c r="E938" t="s">
        <v>27</v>
      </c>
      <c r="F938" t="s">
        <v>28</v>
      </c>
      <c r="G938">
        <v>262345</v>
      </c>
      <c r="H938">
        <v>190689</v>
      </c>
      <c r="I938">
        <v>-71656</v>
      </c>
      <c r="J938" t="s">
        <v>54</v>
      </c>
      <c r="K938" t="s">
        <v>20</v>
      </c>
      <c r="L938" t="s">
        <v>49</v>
      </c>
      <c r="M938" t="s">
        <v>42</v>
      </c>
    </row>
    <row r="939" spans="1:13">
      <c r="A939" t="s">
        <v>1574</v>
      </c>
      <c r="B939" t="s">
        <v>725</v>
      </c>
      <c r="C939" t="s">
        <v>33</v>
      </c>
      <c r="D939" t="s">
        <v>16</v>
      </c>
      <c r="E939" t="s">
        <v>85</v>
      </c>
      <c r="F939" t="s">
        <v>86</v>
      </c>
      <c r="G939">
        <v>346623</v>
      </c>
      <c r="H939">
        <v>364862</v>
      </c>
      <c r="I939">
        <v>18239</v>
      </c>
      <c r="J939" t="s">
        <v>19</v>
      </c>
      <c r="K939" t="s">
        <v>48</v>
      </c>
      <c r="L939" t="s">
        <v>49</v>
      </c>
      <c r="M939" t="s">
        <v>42</v>
      </c>
    </row>
    <row r="940" spans="1:13">
      <c r="A940" t="s">
        <v>1575</v>
      </c>
      <c r="B940" t="s">
        <v>974</v>
      </c>
      <c r="C940" t="s">
        <v>45</v>
      </c>
      <c r="D940" t="s">
        <v>16</v>
      </c>
      <c r="E940" t="s">
        <v>71</v>
      </c>
      <c r="F940" t="s">
        <v>72</v>
      </c>
      <c r="G940">
        <v>175700</v>
      </c>
      <c r="H940">
        <v>242981</v>
      </c>
      <c r="I940">
        <v>67281</v>
      </c>
      <c r="J940" t="s">
        <v>37</v>
      </c>
      <c r="K940" t="s">
        <v>29</v>
      </c>
      <c r="L940" t="s">
        <v>30</v>
      </c>
      <c r="M940" t="s">
        <v>42</v>
      </c>
    </row>
    <row r="941" spans="1:13">
      <c r="A941" t="s">
        <v>1576</v>
      </c>
      <c r="B941" t="s">
        <v>1577</v>
      </c>
      <c r="C941" t="s">
        <v>33</v>
      </c>
      <c r="D941" t="s">
        <v>34</v>
      </c>
      <c r="E941" t="s">
        <v>85</v>
      </c>
      <c r="F941" t="s">
        <v>86</v>
      </c>
      <c r="G941">
        <v>471243</v>
      </c>
      <c r="H941">
        <v>618766</v>
      </c>
      <c r="I941">
        <v>147523</v>
      </c>
      <c r="J941" t="s">
        <v>37</v>
      </c>
      <c r="K941" t="s">
        <v>20</v>
      </c>
      <c r="L941" t="s">
        <v>68</v>
      </c>
      <c r="M941" t="s">
        <v>42</v>
      </c>
    </row>
    <row r="942" spans="1:13">
      <c r="A942" t="s">
        <v>1578</v>
      </c>
      <c r="B942" t="s">
        <v>764</v>
      </c>
      <c r="C942" t="s">
        <v>64</v>
      </c>
      <c r="D942" t="s">
        <v>16</v>
      </c>
      <c r="E942" t="s">
        <v>71</v>
      </c>
      <c r="F942" t="s">
        <v>72</v>
      </c>
      <c r="G942">
        <v>190326</v>
      </c>
      <c r="H942">
        <v>173641</v>
      </c>
      <c r="I942">
        <v>-16685</v>
      </c>
      <c r="J942" t="s">
        <v>54</v>
      </c>
      <c r="K942" t="s">
        <v>67</v>
      </c>
      <c r="L942" t="s">
        <v>30</v>
      </c>
      <c r="M942" t="s">
        <v>22</v>
      </c>
    </row>
    <row r="943" spans="1:13">
      <c r="A943" t="s">
        <v>1579</v>
      </c>
      <c r="B943" t="s">
        <v>1580</v>
      </c>
      <c r="C943" t="s">
        <v>33</v>
      </c>
      <c r="D943" t="s">
        <v>40</v>
      </c>
      <c r="E943" t="s">
        <v>71</v>
      </c>
      <c r="F943" t="s">
        <v>72</v>
      </c>
      <c r="G943">
        <v>274611</v>
      </c>
      <c r="H943">
        <v>366957</v>
      </c>
      <c r="I943">
        <v>92346</v>
      </c>
      <c r="J943" t="s">
        <v>19</v>
      </c>
      <c r="K943" t="s">
        <v>41</v>
      </c>
      <c r="L943" t="s">
        <v>49</v>
      </c>
      <c r="M943" t="s">
        <v>42</v>
      </c>
    </row>
    <row r="944" spans="1:13">
      <c r="A944" t="s">
        <v>1581</v>
      </c>
      <c r="B944" t="s">
        <v>1582</v>
      </c>
      <c r="C944" t="s">
        <v>25</v>
      </c>
      <c r="D944" t="s">
        <v>40</v>
      </c>
      <c r="E944" t="s">
        <v>71</v>
      </c>
      <c r="F944" t="s">
        <v>72</v>
      </c>
      <c r="G944">
        <v>204555</v>
      </c>
      <c r="H944">
        <v>169627</v>
      </c>
      <c r="I944">
        <v>-34928</v>
      </c>
      <c r="J944" t="s">
        <v>19</v>
      </c>
      <c r="K944" t="s">
        <v>41</v>
      </c>
      <c r="L944" t="s">
        <v>68</v>
      </c>
      <c r="M944" t="s">
        <v>22</v>
      </c>
    </row>
    <row r="945" spans="1:13">
      <c r="A945" t="s">
        <v>1583</v>
      </c>
      <c r="B945" t="s">
        <v>1584</v>
      </c>
      <c r="C945" t="s">
        <v>25</v>
      </c>
      <c r="D945" t="s">
        <v>16</v>
      </c>
      <c r="E945" t="s">
        <v>17</v>
      </c>
      <c r="F945" t="s">
        <v>18</v>
      </c>
      <c r="G945">
        <v>350242</v>
      </c>
      <c r="H945">
        <v>399002</v>
      </c>
      <c r="I945">
        <v>48760</v>
      </c>
      <c r="J945" t="s">
        <v>37</v>
      </c>
      <c r="K945" t="s">
        <v>67</v>
      </c>
      <c r="L945" t="s">
        <v>21</v>
      </c>
      <c r="M945" t="s">
        <v>42</v>
      </c>
    </row>
    <row r="946" spans="1:13">
      <c r="A946" t="s">
        <v>1585</v>
      </c>
      <c r="B946" t="s">
        <v>593</v>
      </c>
      <c r="C946" t="s">
        <v>64</v>
      </c>
      <c r="D946" t="s">
        <v>26</v>
      </c>
      <c r="E946" t="s">
        <v>27</v>
      </c>
      <c r="F946" t="s">
        <v>28</v>
      </c>
      <c r="G946">
        <v>329928</v>
      </c>
      <c r="H946">
        <v>372054</v>
      </c>
      <c r="I946">
        <v>42126</v>
      </c>
      <c r="J946" t="s">
        <v>54</v>
      </c>
      <c r="K946" t="s">
        <v>67</v>
      </c>
      <c r="L946" t="s">
        <v>21</v>
      </c>
      <c r="M946" t="s">
        <v>22</v>
      </c>
    </row>
    <row r="947" spans="1:13">
      <c r="A947" t="s">
        <v>1586</v>
      </c>
      <c r="B947" t="s">
        <v>640</v>
      </c>
      <c r="C947" t="s">
        <v>35</v>
      </c>
      <c r="D947" t="s">
        <v>40</v>
      </c>
      <c r="E947" t="s">
        <v>71</v>
      </c>
      <c r="F947" t="s">
        <v>72</v>
      </c>
      <c r="G947">
        <v>497114</v>
      </c>
      <c r="H947">
        <v>374241</v>
      </c>
      <c r="I947">
        <v>-122873</v>
      </c>
      <c r="J947" t="s">
        <v>19</v>
      </c>
      <c r="K947" t="s">
        <v>41</v>
      </c>
      <c r="L947" t="s">
        <v>49</v>
      </c>
      <c r="M947" t="s">
        <v>22</v>
      </c>
    </row>
    <row r="948" spans="1:13">
      <c r="A948" t="s">
        <v>1587</v>
      </c>
      <c r="B948" t="s">
        <v>1588</v>
      </c>
      <c r="C948" t="s">
        <v>45</v>
      </c>
      <c r="D948" t="s">
        <v>16</v>
      </c>
      <c r="E948" t="s">
        <v>35</v>
      </c>
      <c r="F948" t="s">
        <v>36</v>
      </c>
      <c r="G948">
        <v>264122</v>
      </c>
      <c r="H948">
        <v>295903</v>
      </c>
      <c r="I948">
        <v>31781</v>
      </c>
      <c r="J948" t="s">
        <v>54</v>
      </c>
      <c r="K948" t="s">
        <v>29</v>
      </c>
      <c r="L948" t="s">
        <v>49</v>
      </c>
      <c r="M948" t="s">
        <v>22</v>
      </c>
    </row>
    <row r="949" spans="1:13">
      <c r="A949" t="s">
        <v>1589</v>
      </c>
      <c r="B949" t="s">
        <v>1439</v>
      </c>
      <c r="C949" t="s">
        <v>35</v>
      </c>
      <c r="D949" t="s">
        <v>61</v>
      </c>
      <c r="E949" t="s">
        <v>27</v>
      </c>
      <c r="F949" t="s">
        <v>28</v>
      </c>
      <c r="G949">
        <v>431534</v>
      </c>
      <c r="H949">
        <v>367368</v>
      </c>
      <c r="I949">
        <v>-64166</v>
      </c>
      <c r="J949" t="s">
        <v>19</v>
      </c>
      <c r="K949" t="s">
        <v>48</v>
      </c>
      <c r="L949" t="s">
        <v>30</v>
      </c>
      <c r="M949" t="s">
        <v>42</v>
      </c>
    </row>
    <row r="950" spans="1:13">
      <c r="A950" t="s">
        <v>1590</v>
      </c>
      <c r="B950" t="s">
        <v>1591</v>
      </c>
      <c r="C950" t="s">
        <v>45</v>
      </c>
      <c r="D950" t="s">
        <v>34</v>
      </c>
      <c r="E950" t="s">
        <v>27</v>
      </c>
      <c r="F950" t="s">
        <v>28</v>
      </c>
      <c r="G950">
        <v>407493</v>
      </c>
      <c r="H950">
        <v>481080</v>
      </c>
      <c r="I950">
        <v>73587</v>
      </c>
      <c r="J950" t="s">
        <v>54</v>
      </c>
      <c r="K950" t="s">
        <v>48</v>
      </c>
      <c r="L950" t="s">
        <v>49</v>
      </c>
      <c r="M950" t="s">
        <v>22</v>
      </c>
    </row>
    <row r="951" spans="1:13">
      <c r="A951" t="s">
        <v>1592</v>
      </c>
      <c r="B951" t="s">
        <v>528</v>
      </c>
      <c r="C951" t="s">
        <v>33</v>
      </c>
      <c r="D951" t="s">
        <v>61</v>
      </c>
      <c r="E951" t="s">
        <v>17</v>
      </c>
      <c r="F951" t="s">
        <v>18</v>
      </c>
      <c r="G951">
        <v>487815</v>
      </c>
      <c r="H951">
        <v>677220</v>
      </c>
      <c r="I951">
        <v>189405</v>
      </c>
      <c r="J951" t="s">
        <v>37</v>
      </c>
      <c r="K951" t="s">
        <v>20</v>
      </c>
      <c r="L951" t="s">
        <v>21</v>
      </c>
      <c r="M951" t="s">
        <v>22</v>
      </c>
    </row>
    <row r="952" spans="1:13">
      <c r="A952" t="s">
        <v>1593</v>
      </c>
      <c r="B952" t="s">
        <v>646</v>
      </c>
      <c r="C952" t="s">
        <v>25</v>
      </c>
      <c r="D952" t="s">
        <v>61</v>
      </c>
      <c r="E952" t="s">
        <v>71</v>
      </c>
      <c r="F952" t="s">
        <v>72</v>
      </c>
      <c r="G952">
        <v>180338</v>
      </c>
      <c r="H952">
        <v>246905</v>
      </c>
      <c r="I952">
        <v>66567</v>
      </c>
      <c r="J952" t="s">
        <v>54</v>
      </c>
      <c r="K952" t="s">
        <v>41</v>
      </c>
      <c r="L952" t="s">
        <v>21</v>
      </c>
      <c r="M952" t="s">
        <v>42</v>
      </c>
    </row>
    <row r="953" spans="1:13">
      <c r="A953" t="s">
        <v>1594</v>
      </c>
      <c r="B953" t="s">
        <v>859</v>
      </c>
      <c r="C953" t="s">
        <v>45</v>
      </c>
      <c r="D953" t="s">
        <v>34</v>
      </c>
      <c r="E953" t="s">
        <v>46</v>
      </c>
      <c r="F953" t="s">
        <v>47</v>
      </c>
      <c r="G953">
        <v>312047</v>
      </c>
      <c r="H953">
        <v>270844</v>
      </c>
      <c r="I953">
        <v>-41203</v>
      </c>
      <c r="J953" t="s">
        <v>54</v>
      </c>
      <c r="K953" t="s">
        <v>29</v>
      </c>
      <c r="L953" t="s">
        <v>68</v>
      </c>
      <c r="M953" t="s">
        <v>42</v>
      </c>
    </row>
    <row r="954" spans="1:13">
      <c r="A954" t="s">
        <v>1595</v>
      </c>
      <c r="B954" t="s">
        <v>1596</v>
      </c>
      <c r="C954" t="s">
        <v>33</v>
      </c>
      <c r="D954" t="s">
        <v>40</v>
      </c>
      <c r="E954" t="s">
        <v>46</v>
      </c>
      <c r="F954" t="s">
        <v>47</v>
      </c>
      <c r="G954">
        <v>155117</v>
      </c>
      <c r="H954">
        <v>127788</v>
      </c>
      <c r="I954">
        <v>-27329</v>
      </c>
      <c r="J954" t="s">
        <v>19</v>
      </c>
      <c r="K954" t="s">
        <v>67</v>
      </c>
      <c r="L954" t="s">
        <v>68</v>
      </c>
      <c r="M954" t="s">
        <v>42</v>
      </c>
    </row>
    <row r="955" spans="1:13">
      <c r="A955" t="s">
        <v>1597</v>
      </c>
      <c r="B955" t="s">
        <v>1598</v>
      </c>
      <c r="C955" t="s">
        <v>64</v>
      </c>
      <c r="D955" t="s">
        <v>34</v>
      </c>
      <c r="E955" t="s">
        <v>46</v>
      </c>
      <c r="F955" t="s">
        <v>47</v>
      </c>
      <c r="G955">
        <v>480619</v>
      </c>
      <c r="H955">
        <v>369428</v>
      </c>
      <c r="I955">
        <v>-111191</v>
      </c>
      <c r="J955" t="s">
        <v>54</v>
      </c>
      <c r="K955" t="s">
        <v>29</v>
      </c>
      <c r="L955" t="s">
        <v>21</v>
      </c>
      <c r="M955" t="s">
        <v>22</v>
      </c>
    </row>
    <row r="956" spans="1:13">
      <c r="A956" t="s">
        <v>1599</v>
      </c>
      <c r="B956" t="s">
        <v>1600</v>
      </c>
      <c r="C956" t="s">
        <v>33</v>
      </c>
      <c r="D956" t="s">
        <v>61</v>
      </c>
      <c r="E956" t="s">
        <v>27</v>
      </c>
      <c r="F956" t="s">
        <v>28</v>
      </c>
      <c r="G956">
        <v>308045</v>
      </c>
      <c r="H956">
        <v>235839</v>
      </c>
      <c r="I956">
        <v>-72206</v>
      </c>
      <c r="J956" t="s">
        <v>19</v>
      </c>
      <c r="K956" t="s">
        <v>41</v>
      </c>
      <c r="L956" t="s">
        <v>49</v>
      </c>
      <c r="M956" t="s">
        <v>22</v>
      </c>
    </row>
    <row r="957" spans="1:13">
      <c r="A957" t="s">
        <v>1601</v>
      </c>
      <c r="B957" t="s">
        <v>1463</v>
      </c>
      <c r="C957" t="s">
        <v>64</v>
      </c>
      <c r="D957" t="s">
        <v>26</v>
      </c>
      <c r="E957" t="s">
        <v>71</v>
      </c>
      <c r="F957" t="s">
        <v>72</v>
      </c>
      <c r="G957">
        <v>398659</v>
      </c>
      <c r="H957">
        <v>301074</v>
      </c>
      <c r="I957">
        <v>-97585</v>
      </c>
      <c r="J957" t="s">
        <v>54</v>
      </c>
      <c r="K957" t="s">
        <v>67</v>
      </c>
      <c r="L957" t="s">
        <v>49</v>
      </c>
      <c r="M957" t="s">
        <v>42</v>
      </c>
    </row>
    <row r="958" spans="1:13">
      <c r="A958" t="s">
        <v>1602</v>
      </c>
      <c r="B958" t="s">
        <v>1526</v>
      </c>
      <c r="C958" t="s">
        <v>15</v>
      </c>
      <c r="D958" t="s">
        <v>26</v>
      </c>
      <c r="E958" t="s">
        <v>35</v>
      </c>
      <c r="F958" t="s">
        <v>36</v>
      </c>
      <c r="G958">
        <v>104223</v>
      </c>
      <c r="H958">
        <v>122275</v>
      </c>
      <c r="I958">
        <v>18052</v>
      </c>
      <c r="J958" t="s">
        <v>37</v>
      </c>
      <c r="K958" t="s">
        <v>20</v>
      </c>
      <c r="L958" t="s">
        <v>21</v>
      </c>
      <c r="M958" t="s">
        <v>22</v>
      </c>
    </row>
    <row r="959" spans="1:13">
      <c r="A959" t="s">
        <v>1603</v>
      </c>
      <c r="B959" t="s">
        <v>225</v>
      </c>
      <c r="C959" t="s">
        <v>45</v>
      </c>
      <c r="D959" t="s">
        <v>16</v>
      </c>
      <c r="E959" t="s">
        <v>17</v>
      </c>
      <c r="F959" t="s">
        <v>18</v>
      </c>
      <c r="G959">
        <v>470188</v>
      </c>
      <c r="H959">
        <v>384195</v>
      </c>
      <c r="I959">
        <v>-85993</v>
      </c>
      <c r="J959" t="s">
        <v>54</v>
      </c>
      <c r="K959" t="s">
        <v>29</v>
      </c>
      <c r="L959" t="s">
        <v>68</v>
      </c>
      <c r="M959" t="s">
        <v>42</v>
      </c>
    </row>
    <row r="960" spans="1:13">
      <c r="A960" t="s">
        <v>1604</v>
      </c>
      <c r="B960" t="s">
        <v>1368</v>
      </c>
      <c r="C960" t="s">
        <v>25</v>
      </c>
      <c r="D960" t="s">
        <v>34</v>
      </c>
      <c r="E960" t="s">
        <v>35</v>
      </c>
      <c r="F960" t="s">
        <v>36</v>
      </c>
      <c r="G960">
        <v>326593</v>
      </c>
      <c r="H960">
        <v>304694</v>
      </c>
      <c r="I960">
        <v>-21899</v>
      </c>
      <c r="J960" t="s">
        <v>19</v>
      </c>
      <c r="K960" t="s">
        <v>20</v>
      </c>
      <c r="L960" t="s">
        <v>68</v>
      </c>
      <c r="M960" t="s">
        <v>22</v>
      </c>
    </row>
    <row r="961" spans="1:13">
      <c r="A961" t="s">
        <v>1605</v>
      </c>
      <c r="B961" t="s">
        <v>314</v>
      </c>
      <c r="C961" t="s">
        <v>33</v>
      </c>
      <c r="D961" t="s">
        <v>26</v>
      </c>
      <c r="E961" t="s">
        <v>17</v>
      </c>
      <c r="F961" t="s">
        <v>18</v>
      </c>
      <c r="G961">
        <v>365398</v>
      </c>
      <c r="H961">
        <v>408265</v>
      </c>
      <c r="I961">
        <v>42867</v>
      </c>
      <c r="J961" t="s">
        <v>37</v>
      </c>
      <c r="K961" t="s">
        <v>41</v>
      </c>
      <c r="L961" t="s">
        <v>21</v>
      </c>
      <c r="M961" t="s">
        <v>42</v>
      </c>
    </row>
    <row r="962" spans="1:13">
      <c r="A962" t="s">
        <v>1606</v>
      </c>
      <c r="B962" t="s">
        <v>750</v>
      </c>
      <c r="C962" t="s">
        <v>15</v>
      </c>
      <c r="D962" t="s">
        <v>40</v>
      </c>
      <c r="E962" t="s">
        <v>17</v>
      </c>
      <c r="F962" t="s">
        <v>18</v>
      </c>
      <c r="G962">
        <v>195334</v>
      </c>
      <c r="H962">
        <v>165019</v>
      </c>
      <c r="I962">
        <v>-30315</v>
      </c>
      <c r="J962" t="s">
        <v>54</v>
      </c>
      <c r="K962" t="s">
        <v>20</v>
      </c>
      <c r="L962" t="s">
        <v>21</v>
      </c>
      <c r="M962" t="s">
        <v>42</v>
      </c>
    </row>
    <row r="963" spans="1:13">
      <c r="A963" t="s">
        <v>1607</v>
      </c>
      <c r="B963" t="s">
        <v>333</v>
      </c>
      <c r="C963" t="s">
        <v>33</v>
      </c>
      <c r="D963" t="s">
        <v>61</v>
      </c>
      <c r="E963" t="s">
        <v>17</v>
      </c>
      <c r="F963" t="s">
        <v>18</v>
      </c>
      <c r="G963">
        <v>147714</v>
      </c>
      <c r="H963">
        <v>158806</v>
      </c>
      <c r="I963">
        <v>11092</v>
      </c>
      <c r="J963" t="s">
        <v>54</v>
      </c>
      <c r="K963" t="s">
        <v>67</v>
      </c>
      <c r="L963" t="s">
        <v>21</v>
      </c>
      <c r="M963" t="s">
        <v>42</v>
      </c>
    </row>
    <row r="964" spans="1:13">
      <c r="A964" t="s">
        <v>1608</v>
      </c>
      <c r="B964" t="s">
        <v>308</v>
      </c>
      <c r="C964" t="s">
        <v>64</v>
      </c>
      <c r="D964" t="s">
        <v>16</v>
      </c>
      <c r="E964" t="s">
        <v>85</v>
      </c>
      <c r="F964" t="s">
        <v>86</v>
      </c>
      <c r="G964">
        <v>148598</v>
      </c>
      <c r="H964">
        <v>147257</v>
      </c>
      <c r="I964">
        <v>-1341</v>
      </c>
      <c r="J964" t="s">
        <v>54</v>
      </c>
      <c r="K964" t="s">
        <v>67</v>
      </c>
      <c r="L964" t="s">
        <v>68</v>
      </c>
      <c r="M964" t="s">
        <v>42</v>
      </c>
    </row>
    <row r="965" spans="1:13">
      <c r="A965" t="s">
        <v>1609</v>
      </c>
      <c r="B965" t="s">
        <v>1286</v>
      </c>
      <c r="C965" t="s">
        <v>45</v>
      </c>
      <c r="D965" t="s">
        <v>34</v>
      </c>
      <c r="E965" t="s">
        <v>46</v>
      </c>
      <c r="F965" t="s">
        <v>47</v>
      </c>
      <c r="G965">
        <v>480087</v>
      </c>
      <c r="H965">
        <v>557731</v>
      </c>
      <c r="I965">
        <v>77644</v>
      </c>
      <c r="J965" t="s">
        <v>37</v>
      </c>
      <c r="K965" t="s">
        <v>20</v>
      </c>
      <c r="L965" t="s">
        <v>68</v>
      </c>
      <c r="M965" t="s">
        <v>22</v>
      </c>
    </row>
    <row r="966" spans="1:13">
      <c r="A966" t="s">
        <v>1610</v>
      </c>
      <c r="B966" t="s">
        <v>1611</v>
      </c>
      <c r="C966" t="s">
        <v>33</v>
      </c>
      <c r="D966" t="s">
        <v>26</v>
      </c>
      <c r="E966" t="s">
        <v>71</v>
      </c>
      <c r="F966" t="s">
        <v>72</v>
      </c>
      <c r="G966">
        <v>305840</v>
      </c>
      <c r="H966">
        <v>331170</v>
      </c>
      <c r="I966">
        <v>25330</v>
      </c>
      <c r="J966" t="s">
        <v>19</v>
      </c>
      <c r="K966" t="s">
        <v>48</v>
      </c>
      <c r="L966" t="s">
        <v>30</v>
      </c>
      <c r="M966" t="s">
        <v>42</v>
      </c>
    </row>
    <row r="967" spans="1:13">
      <c r="A967" t="s">
        <v>1612</v>
      </c>
      <c r="B967" t="s">
        <v>1305</v>
      </c>
      <c r="C967" t="s">
        <v>25</v>
      </c>
      <c r="D967" t="s">
        <v>40</v>
      </c>
      <c r="E967" t="s">
        <v>27</v>
      </c>
      <c r="F967" t="s">
        <v>28</v>
      </c>
      <c r="G967">
        <v>222393</v>
      </c>
      <c r="H967">
        <v>162999</v>
      </c>
      <c r="I967">
        <v>-59394</v>
      </c>
      <c r="J967" t="s">
        <v>19</v>
      </c>
      <c r="K967" t="s">
        <v>48</v>
      </c>
      <c r="L967" t="s">
        <v>68</v>
      </c>
      <c r="M967" t="s">
        <v>42</v>
      </c>
    </row>
    <row r="968" spans="1:13">
      <c r="A968" t="s">
        <v>1613</v>
      </c>
      <c r="B968" t="s">
        <v>124</v>
      </c>
      <c r="C968" t="s">
        <v>45</v>
      </c>
      <c r="D968" t="s">
        <v>34</v>
      </c>
      <c r="E968" t="s">
        <v>27</v>
      </c>
      <c r="F968" t="s">
        <v>28</v>
      </c>
      <c r="G968">
        <v>109043</v>
      </c>
      <c r="H968">
        <v>79893</v>
      </c>
      <c r="I968">
        <v>-29150</v>
      </c>
      <c r="J968" t="s">
        <v>54</v>
      </c>
      <c r="K968" t="s">
        <v>67</v>
      </c>
      <c r="L968" t="s">
        <v>49</v>
      </c>
      <c r="M968" t="s">
        <v>22</v>
      </c>
    </row>
    <row r="969" spans="1:13">
      <c r="A969" t="s">
        <v>1614</v>
      </c>
      <c r="B969" t="s">
        <v>146</v>
      </c>
      <c r="C969" t="s">
        <v>33</v>
      </c>
      <c r="D969" t="s">
        <v>16</v>
      </c>
      <c r="E969" t="s">
        <v>85</v>
      </c>
      <c r="F969" t="s">
        <v>86</v>
      </c>
      <c r="G969">
        <v>480387</v>
      </c>
      <c r="H969">
        <v>417416</v>
      </c>
      <c r="I969">
        <v>-62971</v>
      </c>
      <c r="J969" t="s">
        <v>37</v>
      </c>
      <c r="K969" t="s">
        <v>41</v>
      </c>
      <c r="L969" t="s">
        <v>21</v>
      </c>
      <c r="M969" t="s">
        <v>42</v>
      </c>
    </row>
    <row r="970" spans="1:13">
      <c r="A970" t="s">
        <v>1615</v>
      </c>
      <c r="B970" t="s">
        <v>1006</v>
      </c>
      <c r="C970" t="s">
        <v>45</v>
      </c>
      <c r="D970" t="s">
        <v>26</v>
      </c>
      <c r="E970" t="s">
        <v>27</v>
      </c>
      <c r="F970" t="s">
        <v>28</v>
      </c>
      <c r="G970">
        <v>273453</v>
      </c>
      <c r="H970">
        <v>224888</v>
      </c>
      <c r="I970">
        <v>-48565</v>
      </c>
      <c r="J970" t="s">
        <v>37</v>
      </c>
      <c r="K970" t="s">
        <v>20</v>
      </c>
      <c r="L970" t="s">
        <v>49</v>
      </c>
      <c r="M970" t="s">
        <v>42</v>
      </c>
    </row>
    <row r="971" spans="1:13">
      <c r="A971" t="s">
        <v>1616</v>
      </c>
      <c r="B971" t="s">
        <v>508</v>
      </c>
      <c r="C971" t="s">
        <v>35</v>
      </c>
      <c r="D971" t="s">
        <v>26</v>
      </c>
      <c r="E971" t="s">
        <v>17</v>
      </c>
      <c r="F971" t="s">
        <v>18</v>
      </c>
      <c r="G971">
        <v>202075</v>
      </c>
      <c r="H971">
        <v>204505</v>
      </c>
      <c r="I971">
        <v>2430</v>
      </c>
      <c r="J971" t="s">
        <v>54</v>
      </c>
      <c r="K971" t="s">
        <v>20</v>
      </c>
      <c r="L971" t="s">
        <v>49</v>
      </c>
      <c r="M971" t="s">
        <v>22</v>
      </c>
    </row>
    <row r="972" spans="1:13">
      <c r="A972" t="s">
        <v>1617</v>
      </c>
      <c r="B972" t="s">
        <v>877</v>
      </c>
      <c r="C972" t="s">
        <v>35</v>
      </c>
      <c r="D972" t="s">
        <v>34</v>
      </c>
      <c r="E972" t="s">
        <v>46</v>
      </c>
      <c r="F972" t="s">
        <v>47</v>
      </c>
      <c r="G972">
        <v>132613</v>
      </c>
      <c r="H972">
        <v>106425</v>
      </c>
      <c r="I972">
        <v>-26188</v>
      </c>
      <c r="J972" t="s">
        <v>37</v>
      </c>
      <c r="K972" t="s">
        <v>20</v>
      </c>
      <c r="L972" t="s">
        <v>49</v>
      </c>
      <c r="M972" t="s">
        <v>42</v>
      </c>
    </row>
    <row r="973" spans="1:13">
      <c r="A973" t="s">
        <v>1618</v>
      </c>
      <c r="B973" t="s">
        <v>439</v>
      </c>
      <c r="C973" t="s">
        <v>15</v>
      </c>
      <c r="D973" t="s">
        <v>40</v>
      </c>
      <c r="E973" t="s">
        <v>17</v>
      </c>
      <c r="F973" t="s">
        <v>18</v>
      </c>
      <c r="G973">
        <v>303458</v>
      </c>
      <c r="H973">
        <v>222813</v>
      </c>
      <c r="I973">
        <v>-80645</v>
      </c>
      <c r="J973" t="s">
        <v>37</v>
      </c>
      <c r="K973" t="s">
        <v>29</v>
      </c>
      <c r="L973" t="s">
        <v>68</v>
      </c>
      <c r="M973" t="s">
        <v>42</v>
      </c>
    </row>
    <row r="974" spans="1:13">
      <c r="A974" t="s">
        <v>1619</v>
      </c>
      <c r="B974" t="s">
        <v>845</v>
      </c>
      <c r="C974" t="s">
        <v>35</v>
      </c>
      <c r="D974" t="s">
        <v>61</v>
      </c>
      <c r="E974" t="s">
        <v>71</v>
      </c>
      <c r="F974" t="s">
        <v>72</v>
      </c>
      <c r="G974">
        <v>123332</v>
      </c>
      <c r="H974">
        <v>141728</v>
      </c>
      <c r="I974">
        <v>18396</v>
      </c>
      <c r="J974" t="s">
        <v>54</v>
      </c>
      <c r="K974" t="s">
        <v>41</v>
      </c>
      <c r="L974" t="s">
        <v>30</v>
      </c>
      <c r="M974" t="s">
        <v>22</v>
      </c>
    </row>
    <row r="975" spans="1:13">
      <c r="A975" t="s">
        <v>1620</v>
      </c>
      <c r="B975" t="s">
        <v>1111</v>
      </c>
      <c r="C975" t="s">
        <v>35</v>
      </c>
      <c r="D975" t="s">
        <v>16</v>
      </c>
      <c r="E975" t="s">
        <v>46</v>
      </c>
      <c r="F975" t="s">
        <v>47</v>
      </c>
      <c r="G975">
        <v>475266</v>
      </c>
      <c r="H975">
        <v>391037</v>
      </c>
      <c r="I975">
        <v>-84229</v>
      </c>
      <c r="J975" t="s">
        <v>19</v>
      </c>
      <c r="K975" t="s">
        <v>67</v>
      </c>
      <c r="L975" t="s">
        <v>49</v>
      </c>
      <c r="M975" t="s">
        <v>42</v>
      </c>
    </row>
    <row r="976" spans="1:13">
      <c r="A976" t="s">
        <v>1621</v>
      </c>
      <c r="B976" t="s">
        <v>1622</v>
      </c>
      <c r="C976" t="s">
        <v>64</v>
      </c>
      <c r="D976" t="s">
        <v>34</v>
      </c>
      <c r="E976" t="s">
        <v>71</v>
      </c>
      <c r="F976" t="s">
        <v>72</v>
      </c>
      <c r="G976">
        <v>219970</v>
      </c>
      <c r="H976">
        <v>196255</v>
      </c>
      <c r="I976">
        <v>-23715</v>
      </c>
      <c r="J976" t="s">
        <v>54</v>
      </c>
      <c r="K976" t="s">
        <v>67</v>
      </c>
      <c r="L976" t="s">
        <v>30</v>
      </c>
      <c r="M976" t="s">
        <v>22</v>
      </c>
    </row>
    <row r="977" spans="1:13">
      <c r="A977" t="s">
        <v>1623</v>
      </c>
      <c r="B977" t="s">
        <v>1380</v>
      </c>
      <c r="C977" t="s">
        <v>25</v>
      </c>
      <c r="D977" t="s">
        <v>16</v>
      </c>
      <c r="E977" t="s">
        <v>71</v>
      </c>
      <c r="F977" t="s">
        <v>72</v>
      </c>
      <c r="G977">
        <v>92857</v>
      </c>
      <c r="H977">
        <v>114384</v>
      </c>
      <c r="I977">
        <v>21527</v>
      </c>
      <c r="J977" t="s">
        <v>37</v>
      </c>
      <c r="K977" t="s">
        <v>20</v>
      </c>
      <c r="L977" t="s">
        <v>21</v>
      </c>
      <c r="M977" t="s">
        <v>22</v>
      </c>
    </row>
    <row r="978" spans="1:13">
      <c r="A978" t="s">
        <v>1624</v>
      </c>
      <c r="B978" t="s">
        <v>1625</v>
      </c>
      <c r="C978" t="s">
        <v>15</v>
      </c>
      <c r="D978" t="s">
        <v>40</v>
      </c>
      <c r="E978" t="s">
        <v>85</v>
      </c>
      <c r="F978" t="s">
        <v>86</v>
      </c>
      <c r="G978">
        <v>119292</v>
      </c>
      <c r="H978">
        <v>83995</v>
      </c>
      <c r="I978">
        <v>-35297</v>
      </c>
      <c r="J978" t="s">
        <v>37</v>
      </c>
      <c r="K978" t="s">
        <v>20</v>
      </c>
      <c r="L978" t="s">
        <v>68</v>
      </c>
      <c r="M978" t="s">
        <v>22</v>
      </c>
    </row>
    <row r="979" spans="1:13">
      <c r="A979" t="s">
        <v>1626</v>
      </c>
      <c r="B979" t="s">
        <v>1546</v>
      </c>
      <c r="C979" t="s">
        <v>33</v>
      </c>
      <c r="D979" t="s">
        <v>16</v>
      </c>
      <c r="E979" t="s">
        <v>46</v>
      </c>
      <c r="F979" t="s">
        <v>47</v>
      </c>
      <c r="G979">
        <v>117751</v>
      </c>
      <c r="H979">
        <v>90281</v>
      </c>
      <c r="I979">
        <v>-27470</v>
      </c>
      <c r="J979" t="s">
        <v>19</v>
      </c>
      <c r="K979" t="s">
        <v>20</v>
      </c>
      <c r="L979" t="s">
        <v>49</v>
      </c>
      <c r="M979" t="s">
        <v>22</v>
      </c>
    </row>
    <row r="980" spans="1:13">
      <c r="A980" t="s">
        <v>1627</v>
      </c>
      <c r="B980" t="s">
        <v>261</v>
      </c>
      <c r="C980" t="s">
        <v>15</v>
      </c>
      <c r="D980" t="s">
        <v>40</v>
      </c>
      <c r="E980" t="s">
        <v>17</v>
      </c>
      <c r="F980" t="s">
        <v>18</v>
      </c>
      <c r="G980">
        <v>317386</v>
      </c>
      <c r="H980">
        <v>272614</v>
      </c>
      <c r="I980">
        <v>-44772</v>
      </c>
      <c r="J980" t="s">
        <v>37</v>
      </c>
      <c r="K980" t="s">
        <v>41</v>
      </c>
      <c r="L980" t="s">
        <v>49</v>
      </c>
      <c r="M980" t="s">
        <v>22</v>
      </c>
    </row>
    <row r="981" spans="1:13">
      <c r="A981" t="s">
        <v>1628</v>
      </c>
      <c r="B981" t="s">
        <v>803</v>
      </c>
      <c r="C981" t="s">
        <v>64</v>
      </c>
      <c r="D981" t="s">
        <v>61</v>
      </c>
      <c r="E981" t="s">
        <v>46</v>
      </c>
      <c r="F981" t="s">
        <v>47</v>
      </c>
      <c r="G981">
        <v>390183</v>
      </c>
      <c r="H981">
        <v>521674</v>
      </c>
      <c r="I981">
        <v>131491</v>
      </c>
      <c r="J981" t="s">
        <v>19</v>
      </c>
      <c r="K981" t="s">
        <v>20</v>
      </c>
      <c r="L981" t="s">
        <v>21</v>
      </c>
      <c r="M981" t="s">
        <v>22</v>
      </c>
    </row>
    <row r="982" spans="1:13">
      <c r="A982" t="s">
        <v>1629</v>
      </c>
      <c r="B982" t="s">
        <v>1148</v>
      </c>
      <c r="C982" t="s">
        <v>45</v>
      </c>
      <c r="D982" t="s">
        <v>40</v>
      </c>
      <c r="E982" t="s">
        <v>27</v>
      </c>
      <c r="F982" t="s">
        <v>28</v>
      </c>
      <c r="G982">
        <v>460916</v>
      </c>
      <c r="H982">
        <v>430623</v>
      </c>
      <c r="I982">
        <v>-30293</v>
      </c>
      <c r="J982" t="s">
        <v>37</v>
      </c>
      <c r="K982" t="s">
        <v>67</v>
      </c>
      <c r="L982" t="s">
        <v>68</v>
      </c>
      <c r="M982" t="s">
        <v>22</v>
      </c>
    </row>
    <row r="983" spans="1:13">
      <c r="A983" t="s">
        <v>1630</v>
      </c>
      <c r="B983" t="s">
        <v>1152</v>
      </c>
      <c r="C983" t="s">
        <v>35</v>
      </c>
      <c r="D983" t="s">
        <v>26</v>
      </c>
      <c r="E983" t="s">
        <v>17</v>
      </c>
      <c r="F983" t="s">
        <v>18</v>
      </c>
      <c r="G983">
        <v>439254</v>
      </c>
      <c r="H983">
        <v>494196</v>
      </c>
      <c r="I983">
        <v>54942</v>
      </c>
      <c r="J983" t="s">
        <v>37</v>
      </c>
      <c r="K983" t="s">
        <v>48</v>
      </c>
      <c r="L983" t="s">
        <v>49</v>
      </c>
      <c r="M983" t="s">
        <v>22</v>
      </c>
    </row>
    <row r="984" spans="1:13">
      <c r="A984" t="s">
        <v>1631</v>
      </c>
      <c r="B984" t="s">
        <v>526</v>
      </c>
      <c r="C984" t="s">
        <v>45</v>
      </c>
      <c r="D984" t="s">
        <v>16</v>
      </c>
      <c r="E984" t="s">
        <v>35</v>
      </c>
      <c r="F984" t="s">
        <v>36</v>
      </c>
      <c r="G984">
        <v>451386</v>
      </c>
      <c r="H984">
        <v>318173</v>
      </c>
      <c r="I984">
        <v>-133213</v>
      </c>
      <c r="J984" t="s">
        <v>54</v>
      </c>
      <c r="K984" t="s">
        <v>41</v>
      </c>
      <c r="L984" t="s">
        <v>49</v>
      </c>
      <c r="M984" t="s">
        <v>22</v>
      </c>
    </row>
    <row r="985" spans="1:13">
      <c r="A985" t="s">
        <v>1632</v>
      </c>
      <c r="B985" t="s">
        <v>1089</v>
      </c>
      <c r="C985" t="s">
        <v>15</v>
      </c>
      <c r="D985" t="s">
        <v>34</v>
      </c>
      <c r="E985" t="s">
        <v>85</v>
      </c>
      <c r="F985" t="s">
        <v>86</v>
      </c>
      <c r="G985">
        <v>219173</v>
      </c>
      <c r="H985">
        <v>293572</v>
      </c>
      <c r="I985">
        <v>74399</v>
      </c>
      <c r="J985" t="s">
        <v>54</v>
      </c>
      <c r="K985" t="s">
        <v>29</v>
      </c>
      <c r="L985" t="s">
        <v>49</v>
      </c>
      <c r="M985" t="s">
        <v>42</v>
      </c>
    </row>
    <row r="986" spans="1:13">
      <c r="A986" t="s">
        <v>1633</v>
      </c>
      <c r="B986" t="s">
        <v>1634</v>
      </c>
      <c r="C986" t="s">
        <v>33</v>
      </c>
      <c r="D986" t="s">
        <v>61</v>
      </c>
      <c r="E986" t="s">
        <v>71</v>
      </c>
      <c r="F986" t="s">
        <v>72</v>
      </c>
      <c r="G986">
        <v>153447</v>
      </c>
      <c r="H986">
        <v>124113</v>
      </c>
      <c r="I986">
        <v>-29334</v>
      </c>
      <c r="J986" t="s">
        <v>37</v>
      </c>
      <c r="K986" t="s">
        <v>41</v>
      </c>
      <c r="L986" t="s">
        <v>49</v>
      </c>
      <c r="M986" t="s">
        <v>42</v>
      </c>
    </row>
    <row r="987" spans="1:13">
      <c r="A987" t="s">
        <v>1635</v>
      </c>
      <c r="B987" t="s">
        <v>1636</v>
      </c>
      <c r="C987" t="s">
        <v>15</v>
      </c>
      <c r="D987" t="s">
        <v>16</v>
      </c>
      <c r="E987" t="s">
        <v>85</v>
      </c>
      <c r="F987" t="s">
        <v>86</v>
      </c>
      <c r="G987">
        <v>468900</v>
      </c>
      <c r="H987">
        <v>638586</v>
      </c>
      <c r="I987">
        <v>169686</v>
      </c>
      <c r="J987" t="s">
        <v>19</v>
      </c>
      <c r="K987" t="s">
        <v>41</v>
      </c>
      <c r="L987" t="s">
        <v>49</v>
      </c>
      <c r="M987" t="s">
        <v>22</v>
      </c>
    </row>
    <row r="988" spans="1:13">
      <c r="A988" t="s">
        <v>1637</v>
      </c>
      <c r="B988" t="s">
        <v>879</v>
      </c>
      <c r="C988" t="s">
        <v>35</v>
      </c>
      <c r="D988" t="s">
        <v>40</v>
      </c>
      <c r="E988" t="s">
        <v>17</v>
      </c>
      <c r="F988" t="s">
        <v>18</v>
      </c>
      <c r="G988">
        <v>455872</v>
      </c>
      <c r="H988">
        <v>635430</v>
      </c>
      <c r="I988">
        <v>179558</v>
      </c>
      <c r="J988" t="s">
        <v>19</v>
      </c>
      <c r="K988" t="s">
        <v>67</v>
      </c>
      <c r="L988" t="s">
        <v>49</v>
      </c>
      <c r="M988" t="s">
        <v>22</v>
      </c>
    </row>
    <row r="989" spans="1:13">
      <c r="A989" t="s">
        <v>1638</v>
      </c>
      <c r="B989" t="s">
        <v>310</v>
      </c>
      <c r="C989" t="s">
        <v>45</v>
      </c>
      <c r="D989" t="s">
        <v>26</v>
      </c>
      <c r="E989" t="s">
        <v>17</v>
      </c>
      <c r="F989" t="s">
        <v>18</v>
      </c>
      <c r="G989">
        <v>488298</v>
      </c>
      <c r="H989">
        <v>643859</v>
      </c>
      <c r="I989">
        <v>155561</v>
      </c>
      <c r="J989" t="s">
        <v>37</v>
      </c>
      <c r="K989" t="s">
        <v>29</v>
      </c>
      <c r="L989" t="s">
        <v>49</v>
      </c>
      <c r="M989" t="s">
        <v>42</v>
      </c>
    </row>
    <row r="990" spans="1:13">
      <c r="A990" t="s">
        <v>1639</v>
      </c>
      <c r="B990" t="s">
        <v>1244</v>
      </c>
      <c r="C990" t="s">
        <v>15</v>
      </c>
      <c r="D990" t="s">
        <v>16</v>
      </c>
      <c r="E990" t="s">
        <v>85</v>
      </c>
      <c r="F990" t="s">
        <v>86</v>
      </c>
      <c r="G990">
        <v>360849</v>
      </c>
      <c r="H990">
        <v>322031</v>
      </c>
      <c r="I990">
        <v>-38818</v>
      </c>
      <c r="J990" t="s">
        <v>19</v>
      </c>
      <c r="K990" t="s">
        <v>41</v>
      </c>
      <c r="L990" t="s">
        <v>30</v>
      </c>
      <c r="M990" t="s">
        <v>22</v>
      </c>
    </row>
    <row r="991" spans="1:13">
      <c r="A991" t="s">
        <v>1640</v>
      </c>
      <c r="B991" t="s">
        <v>906</v>
      </c>
      <c r="C991" t="s">
        <v>64</v>
      </c>
      <c r="D991" t="s">
        <v>61</v>
      </c>
      <c r="E991" t="s">
        <v>85</v>
      </c>
      <c r="F991" t="s">
        <v>86</v>
      </c>
      <c r="G991">
        <v>301535</v>
      </c>
      <c r="H991">
        <v>409038</v>
      </c>
      <c r="I991">
        <v>107503</v>
      </c>
      <c r="J991" t="s">
        <v>19</v>
      </c>
      <c r="K991" t="s">
        <v>67</v>
      </c>
      <c r="L991" t="s">
        <v>30</v>
      </c>
      <c r="M991" t="s">
        <v>42</v>
      </c>
    </row>
    <row r="992" spans="1:13">
      <c r="A992" t="s">
        <v>1641</v>
      </c>
      <c r="B992" t="s">
        <v>1642</v>
      </c>
      <c r="C992" t="s">
        <v>15</v>
      </c>
      <c r="D992" t="s">
        <v>26</v>
      </c>
      <c r="E992" t="s">
        <v>46</v>
      </c>
      <c r="F992" t="s">
        <v>47</v>
      </c>
      <c r="G992">
        <v>194220</v>
      </c>
      <c r="H992">
        <v>245240</v>
      </c>
      <c r="I992">
        <v>51020</v>
      </c>
      <c r="J992" t="s">
        <v>54</v>
      </c>
      <c r="K992" t="s">
        <v>29</v>
      </c>
      <c r="L992" t="s">
        <v>30</v>
      </c>
      <c r="M992" t="s">
        <v>22</v>
      </c>
    </row>
    <row r="993" spans="1:13">
      <c r="A993" t="s">
        <v>1643</v>
      </c>
      <c r="B993" t="s">
        <v>544</v>
      </c>
      <c r="C993" t="s">
        <v>25</v>
      </c>
      <c r="D993" t="s">
        <v>61</v>
      </c>
      <c r="E993" t="s">
        <v>46</v>
      </c>
      <c r="F993" t="s">
        <v>47</v>
      </c>
      <c r="G993">
        <v>399257</v>
      </c>
      <c r="H993">
        <v>544880</v>
      </c>
      <c r="I993">
        <v>145623</v>
      </c>
      <c r="J993" t="s">
        <v>37</v>
      </c>
      <c r="K993" t="s">
        <v>41</v>
      </c>
      <c r="L993" t="s">
        <v>30</v>
      </c>
      <c r="M993" t="s">
        <v>22</v>
      </c>
    </row>
    <row r="994" spans="1:13">
      <c r="A994" t="s">
        <v>1644</v>
      </c>
      <c r="B994" t="s">
        <v>451</v>
      </c>
      <c r="C994" t="s">
        <v>64</v>
      </c>
      <c r="D994" t="s">
        <v>16</v>
      </c>
      <c r="E994" t="s">
        <v>85</v>
      </c>
      <c r="F994" t="s">
        <v>86</v>
      </c>
      <c r="G994">
        <v>121457</v>
      </c>
      <c r="H994">
        <v>163582</v>
      </c>
      <c r="I994">
        <v>42125</v>
      </c>
      <c r="J994" t="s">
        <v>19</v>
      </c>
      <c r="K994" t="s">
        <v>20</v>
      </c>
      <c r="L994" t="s">
        <v>68</v>
      </c>
      <c r="M994" t="s">
        <v>42</v>
      </c>
    </row>
    <row r="995" spans="1:13">
      <c r="A995" t="s">
        <v>1645</v>
      </c>
      <c r="B995" t="s">
        <v>1646</v>
      </c>
      <c r="C995" t="s">
        <v>64</v>
      </c>
      <c r="D995" t="s">
        <v>34</v>
      </c>
      <c r="E995" t="s">
        <v>46</v>
      </c>
      <c r="F995" t="s">
        <v>47</v>
      </c>
      <c r="G995">
        <v>81310</v>
      </c>
      <c r="H995">
        <v>63441</v>
      </c>
      <c r="I995">
        <v>-17869</v>
      </c>
      <c r="J995" t="s">
        <v>54</v>
      </c>
      <c r="K995" t="s">
        <v>67</v>
      </c>
      <c r="L995" t="s">
        <v>49</v>
      </c>
      <c r="M995" t="s">
        <v>22</v>
      </c>
    </row>
    <row r="996" spans="1:13">
      <c r="A996" t="s">
        <v>1647</v>
      </c>
      <c r="B996" t="s">
        <v>373</v>
      </c>
      <c r="C996" t="s">
        <v>45</v>
      </c>
      <c r="D996" t="s">
        <v>40</v>
      </c>
      <c r="E996" t="s">
        <v>46</v>
      </c>
      <c r="F996" t="s">
        <v>47</v>
      </c>
      <c r="G996">
        <v>461923</v>
      </c>
      <c r="H996">
        <v>620763</v>
      </c>
      <c r="I996">
        <v>158840</v>
      </c>
      <c r="J996" t="s">
        <v>19</v>
      </c>
      <c r="K996" t="s">
        <v>29</v>
      </c>
      <c r="L996" t="s">
        <v>30</v>
      </c>
      <c r="M996" t="s">
        <v>22</v>
      </c>
    </row>
    <row r="997" spans="1:13">
      <c r="A997" t="s">
        <v>1648</v>
      </c>
      <c r="B997" t="s">
        <v>1329</v>
      </c>
      <c r="C997" t="s">
        <v>33</v>
      </c>
      <c r="D997" t="s">
        <v>26</v>
      </c>
      <c r="E997" t="s">
        <v>71</v>
      </c>
      <c r="F997" t="s">
        <v>72</v>
      </c>
      <c r="G997">
        <v>57036</v>
      </c>
      <c r="H997">
        <v>52575</v>
      </c>
      <c r="I997">
        <v>-4461</v>
      </c>
      <c r="J997" t="s">
        <v>54</v>
      </c>
      <c r="K997" t="s">
        <v>67</v>
      </c>
      <c r="L997" t="s">
        <v>21</v>
      </c>
      <c r="M997" t="s">
        <v>22</v>
      </c>
    </row>
    <row r="998" spans="1:13">
      <c r="A998" t="s">
        <v>1649</v>
      </c>
      <c r="B998" t="s">
        <v>1227</v>
      </c>
      <c r="C998" t="s">
        <v>45</v>
      </c>
      <c r="D998" t="s">
        <v>40</v>
      </c>
      <c r="E998" t="s">
        <v>71</v>
      </c>
      <c r="F998" t="s">
        <v>72</v>
      </c>
      <c r="G998">
        <v>253727</v>
      </c>
      <c r="H998">
        <v>354629</v>
      </c>
      <c r="I998">
        <v>100902</v>
      </c>
      <c r="J998" t="s">
        <v>37</v>
      </c>
      <c r="K998" t="s">
        <v>67</v>
      </c>
      <c r="L998" t="s">
        <v>68</v>
      </c>
      <c r="M998" t="s">
        <v>42</v>
      </c>
    </row>
    <row r="999" spans="1:13">
      <c r="A999" t="s">
        <v>1650</v>
      </c>
      <c r="B999" t="s">
        <v>1261</v>
      </c>
      <c r="C999" t="s">
        <v>25</v>
      </c>
      <c r="D999" t="s">
        <v>26</v>
      </c>
      <c r="E999" t="s">
        <v>35</v>
      </c>
      <c r="F999" t="s">
        <v>36</v>
      </c>
      <c r="G999">
        <v>376566</v>
      </c>
      <c r="H999">
        <v>274960</v>
      </c>
      <c r="I999">
        <v>-101606</v>
      </c>
      <c r="J999" t="s">
        <v>54</v>
      </c>
      <c r="K999" t="s">
        <v>20</v>
      </c>
      <c r="L999" t="s">
        <v>68</v>
      </c>
      <c r="M999" t="s">
        <v>42</v>
      </c>
    </row>
    <row r="1000" spans="1:13">
      <c r="A1000" t="s">
        <v>1651</v>
      </c>
      <c r="B1000" t="s">
        <v>1211</v>
      </c>
      <c r="C1000" t="s">
        <v>35</v>
      </c>
      <c r="D1000" t="s">
        <v>26</v>
      </c>
      <c r="E1000" t="s">
        <v>17</v>
      </c>
      <c r="F1000" t="s">
        <v>18</v>
      </c>
      <c r="G1000">
        <v>149003</v>
      </c>
      <c r="H1000">
        <v>184501</v>
      </c>
      <c r="I1000">
        <v>35498</v>
      </c>
      <c r="J1000" t="s">
        <v>19</v>
      </c>
      <c r="K1000" t="s">
        <v>20</v>
      </c>
      <c r="L1000" t="s">
        <v>49</v>
      </c>
      <c r="M1000" t="s">
        <v>42</v>
      </c>
    </row>
    <row r="1001" spans="1:13">
      <c r="A1001" t="s">
        <v>1652</v>
      </c>
      <c r="B1001" t="s">
        <v>995</v>
      </c>
      <c r="C1001" t="s">
        <v>45</v>
      </c>
      <c r="D1001" t="s">
        <v>16</v>
      </c>
      <c r="E1001" t="s">
        <v>71</v>
      </c>
      <c r="F1001" t="s">
        <v>72</v>
      </c>
      <c r="G1001">
        <v>318918</v>
      </c>
      <c r="H1001">
        <v>256034</v>
      </c>
      <c r="I1001">
        <v>-62884</v>
      </c>
      <c r="J1001" t="s">
        <v>54</v>
      </c>
      <c r="K1001" t="s">
        <v>67</v>
      </c>
      <c r="L1001" t="s">
        <v>21</v>
      </c>
      <c r="M1001" t="s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E2602-A262-46AD-83A0-AA92E40B55B7}">
  <dimension ref="A3:B9"/>
  <sheetViews>
    <sheetView workbookViewId="0">
      <selection activeCell="D5" sqref="D5"/>
    </sheetView>
  </sheetViews>
  <sheetFormatPr defaultRowHeight="15"/>
  <cols>
    <col min="1" max="1" width="14.85546875" bestFit="1" customWidth="1"/>
    <col min="2" max="2" width="20.5703125" bestFit="1" customWidth="1"/>
  </cols>
  <sheetData>
    <row r="3" spans="1:2">
      <c r="A3" s="7" t="s">
        <v>2</v>
      </c>
      <c r="B3" t="s">
        <v>1653</v>
      </c>
    </row>
    <row r="4" spans="1:2">
      <c r="A4" t="s">
        <v>45</v>
      </c>
      <c r="B4" s="8">
        <v>0.18862817829282205</v>
      </c>
    </row>
    <row r="5" spans="1:2">
      <c r="A5" t="s">
        <v>15</v>
      </c>
      <c r="B5" s="8">
        <v>0.18033172952274992</v>
      </c>
    </row>
    <row r="6" spans="1:2">
      <c r="A6" t="s">
        <v>25</v>
      </c>
      <c r="B6" s="8">
        <v>0.17172192596491262</v>
      </c>
    </row>
    <row r="7" spans="1:2">
      <c r="A7" t="s">
        <v>33</v>
      </c>
      <c r="B7" s="8">
        <v>0.16023911923254569</v>
      </c>
    </row>
    <row r="8" spans="1:2">
      <c r="A8" t="s">
        <v>35</v>
      </c>
      <c r="B8" s="8">
        <v>0.15008925214850696</v>
      </c>
    </row>
    <row r="9" spans="1:2">
      <c r="A9" t="s">
        <v>64</v>
      </c>
      <c r="B9" s="8">
        <v>0.14898979483846275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E113D-F40F-4F28-9F7D-D83DCE3C8215}">
  <dimension ref="A3:B9"/>
  <sheetViews>
    <sheetView workbookViewId="0">
      <selection activeCell="B11" sqref="B11"/>
    </sheetView>
  </sheetViews>
  <sheetFormatPr defaultRowHeight="15"/>
  <cols>
    <col min="1" max="1" width="19.28515625" bestFit="1" customWidth="1"/>
    <col min="2" max="2" width="20.5703125" bestFit="1" customWidth="1"/>
  </cols>
  <sheetData>
    <row r="3" spans="1:2">
      <c r="A3" s="7" t="s">
        <v>4</v>
      </c>
      <c r="B3" t="s">
        <v>1653</v>
      </c>
    </row>
    <row r="4" spans="1:2">
      <c r="A4" t="s">
        <v>17</v>
      </c>
      <c r="B4" s="8">
        <v>0.18089497383288772</v>
      </c>
    </row>
    <row r="5" spans="1:2">
      <c r="A5" t="s">
        <v>85</v>
      </c>
      <c r="B5" s="8">
        <v>0.18045408467475463</v>
      </c>
    </row>
    <row r="6" spans="1:2">
      <c r="A6" t="s">
        <v>46</v>
      </c>
      <c r="B6" s="8">
        <v>0.17639334284319716</v>
      </c>
    </row>
    <row r="7" spans="1:2">
      <c r="A7" t="s">
        <v>27</v>
      </c>
      <c r="B7" s="8">
        <v>0.17397974082314879</v>
      </c>
    </row>
    <row r="8" spans="1:2">
      <c r="A8" t="s">
        <v>71</v>
      </c>
      <c r="B8" s="8">
        <v>0.16050116835885694</v>
      </c>
    </row>
    <row r="9" spans="1:2">
      <c r="A9" t="s">
        <v>35</v>
      </c>
      <c r="B9" s="8">
        <v>0.12777668946715473</v>
      </c>
    </row>
  </sheetData>
  <conditionalFormatting sqref="A3:B9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{3C0EDB36-95C6-4841-8A00-08BBAB2642A5}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0EDB36-95C6-4841-8A00-08BBAB2642A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A3:B9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C3220-6735-4A0B-84B3-E2085E213BC4}">
  <dimension ref="A1:B9"/>
  <sheetViews>
    <sheetView workbookViewId="0">
      <selection activeCell="A11" sqref="A11"/>
    </sheetView>
  </sheetViews>
  <sheetFormatPr defaultRowHeight="15"/>
  <cols>
    <col min="1" max="1" width="16.85546875" bestFit="1" customWidth="1"/>
    <col min="2" max="2" width="20.5703125" bestFit="1" customWidth="1"/>
    <col min="3" max="4" width="13.5703125" bestFit="1" customWidth="1"/>
    <col min="5" max="5" width="14" bestFit="1" customWidth="1"/>
    <col min="6" max="6" width="14.140625" bestFit="1" customWidth="1"/>
    <col min="7" max="7" width="14.7109375" bestFit="1" customWidth="1"/>
  </cols>
  <sheetData>
    <row r="1" spans="1:2">
      <c r="A1" s="7" t="s">
        <v>1654</v>
      </c>
      <c r="B1" t="s">
        <v>1655</v>
      </c>
    </row>
    <row r="3" spans="1:2">
      <c r="A3" s="7" t="s">
        <v>10</v>
      </c>
      <c r="B3" t="s">
        <v>1653</v>
      </c>
    </row>
    <row r="4" spans="1:2">
      <c r="A4" t="s">
        <v>48</v>
      </c>
      <c r="B4" s="1">
        <v>48402480</v>
      </c>
    </row>
    <row r="5" spans="1:2">
      <c r="A5" t="s">
        <v>29</v>
      </c>
      <c r="B5" s="1">
        <v>49919530</v>
      </c>
    </row>
    <row r="6" spans="1:2">
      <c r="A6" t="s">
        <v>41</v>
      </c>
      <c r="B6" s="1">
        <v>45900257</v>
      </c>
    </row>
    <row r="7" spans="1:2">
      <c r="A7" t="s">
        <v>67</v>
      </c>
      <c r="B7" s="1">
        <v>44520268</v>
      </c>
    </row>
    <row r="8" spans="1:2">
      <c r="A8" t="s">
        <v>20</v>
      </c>
      <c r="B8" s="1">
        <v>49653905</v>
      </c>
    </row>
    <row r="9" spans="1:2">
      <c r="A9" t="s">
        <v>1656</v>
      </c>
      <c r="B9" s="1">
        <v>238396440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A24BB-4DD1-4C25-A9CE-C2F6CD672102}">
  <dimension ref="A1:K25"/>
  <sheetViews>
    <sheetView showGridLines="0" tabSelected="1" workbookViewId="0">
      <selection activeCell="H4" sqref="H4"/>
    </sheetView>
  </sheetViews>
  <sheetFormatPr defaultRowHeight="15"/>
  <cols>
    <col min="1" max="1" width="13.28515625" customWidth="1"/>
    <col min="2" max="2" width="17.28515625" customWidth="1"/>
    <col min="3" max="3" width="11.85546875" customWidth="1"/>
    <col min="4" max="4" width="15.5703125" customWidth="1"/>
    <col min="5" max="5" width="12.42578125" customWidth="1"/>
    <col min="6" max="6" width="14.28515625" customWidth="1"/>
    <col min="7" max="7" width="11.7109375" customWidth="1"/>
    <col min="8" max="8" width="17" customWidth="1"/>
    <col min="9" max="9" width="23.28515625" customWidth="1"/>
  </cols>
  <sheetData>
    <row r="1" spans="1:11" ht="31.5" customHeight="1">
      <c r="A1" s="39" t="s">
        <v>1657</v>
      </c>
      <c r="B1" s="40"/>
      <c r="C1" s="40"/>
      <c r="D1" s="40"/>
      <c r="E1" s="40"/>
      <c r="F1" s="40"/>
      <c r="G1" s="40"/>
      <c r="H1" s="40"/>
      <c r="I1" s="41"/>
    </row>
    <row r="2" spans="1:11">
      <c r="A2" s="20"/>
      <c r="B2" s="10"/>
      <c r="C2" s="10"/>
      <c r="D2" s="10"/>
      <c r="E2" s="10"/>
      <c r="F2" s="10"/>
      <c r="G2" s="10"/>
      <c r="H2" s="10"/>
      <c r="I2" s="21"/>
      <c r="K2" s="12"/>
    </row>
    <row r="3" spans="1:11" ht="32.25">
      <c r="A3" s="22"/>
      <c r="B3" s="13" t="s">
        <v>1658</v>
      </c>
      <c r="C3" s="17"/>
      <c r="D3" s="14" t="s">
        <v>1659</v>
      </c>
      <c r="E3" s="17"/>
      <c r="F3" s="13" t="s">
        <v>1660</v>
      </c>
      <c r="G3" s="17"/>
      <c r="H3" s="14" t="s">
        <v>1661</v>
      </c>
      <c r="I3" s="23"/>
      <c r="J3" s="11"/>
      <c r="K3" s="11"/>
    </row>
    <row r="4" spans="1:11" ht="18.75">
      <c r="A4" s="31"/>
      <c r="B4" s="32">
        <f>SUM(Table4[BudgetAmount])</f>
        <v>276168932</v>
      </c>
      <c r="C4" s="33"/>
      <c r="D4" s="34">
        <f>SUM(Table4[ActualExpense])</f>
        <v>289812071</v>
      </c>
      <c r="E4" s="33"/>
      <c r="F4" s="35">
        <v>4.9399999999999999E-2</v>
      </c>
      <c r="G4" s="33"/>
      <c r="H4" s="36">
        <v>-13643139</v>
      </c>
      <c r="I4" s="37"/>
      <c r="J4" s="11"/>
      <c r="K4" s="11"/>
    </row>
    <row r="5" spans="1:11">
      <c r="A5" s="24"/>
      <c r="B5" s="18"/>
      <c r="C5" s="18"/>
      <c r="D5" s="18"/>
      <c r="E5" s="18"/>
      <c r="F5" s="18"/>
      <c r="G5" s="18"/>
      <c r="H5" s="18"/>
      <c r="I5" s="25"/>
      <c r="J5" t="s">
        <v>1662</v>
      </c>
    </row>
    <row r="6" spans="1:11">
      <c r="A6" s="24"/>
      <c r="B6" s="18"/>
      <c r="C6" s="18"/>
      <c r="D6" s="18"/>
      <c r="E6" s="18"/>
      <c r="F6" s="18"/>
      <c r="G6" s="18"/>
      <c r="H6" s="18"/>
      <c r="I6" s="25"/>
    </row>
    <row r="7" spans="1:11">
      <c r="A7" s="24"/>
      <c r="B7" s="18"/>
      <c r="C7" s="18"/>
      <c r="D7" s="18"/>
      <c r="E7" s="18"/>
      <c r="F7" s="18"/>
      <c r="G7" s="18"/>
      <c r="H7" s="18"/>
      <c r="I7" s="25"/>
    </row>
    <row r="8" spans="1:11">
      <c r="A8" s="24"/>
      <c r="B8" s="18"/>
      <c r="C8" s="18"/>
      <c r="D8" s="18"/>
      <c r="E8" s="18"/>
      <c r="F8" s="18"/>
      <c r="G8" s="18"/>
      <c r="H8" s="18"/>
      <c r="I8" s="25"/>
    </row>
    <row r="9" spans="1:11">
      <c r="A9" s="24"/>
      <c r="B9" s="18"/>
      <c r="C9" s="18"/>
      <c r="D9" s="18"/>
      <c r="E9" s="18"/>
      <c r="F9" s="18"/>
      <c r="G9" s="18"/>
      <c r="H9" s="18"/>
      <c r="I9" s="25"/>
    </row>
    <row r="10" spans="1:11">
      <c r="A10" s="24"/>
      <c r="B10" s="18"/>
      <c r="C10" s="18"/>
      <c r="D10" s="18"/>
      <c r="E10" s="18"/>
      <c r="F10" s="18"/>
      <c r="G10" s="18"/>
      <c r="H10" s="18"/>
      <c r="I10" s="25"/>
    </row>
    <row r="11" spans="1:11">
      <c r="A11" s="24"/>
      <c r="B11" s="18"/>
      <c r="C11" s="18"/>
      <c r="D11" s="18"/>
      <c r="E11" s="18"/>
      <c r="F11" s="18"/>
      <c r="G11" s="18"/>
      <c r="H11" s="18"/>
      <c r="I11" s="25"/>
    </row>
    <row r="12" spans="1:11">
      <c r="A12" s="24"/>
      <c r="B12" s="18"/>
      <c r="C12" s="18"/>
      <c r="D12" s="18"/>
      <c r="E12" s="18"/>
      <c r="F12" s="18"/>
      <c r="G12" s="18"/>
      <c r="H12" s="18"/>
      <c r="I12" s="25"/>
    </row>
    <row r="13" spans="1:11">
      <c r="A13" s="24"/>
      <c r="B13" s="18"/>
      <c r="C13" s="18"/>
      <c r="D13" s="18"/>
      <c r="E13" s="18"/>
      <c r="F13" s="18"/>
      <c r="G13" s="18"/>
      <c r="H13" s="18"/>
      <c r="I13" s="25"/>
    </row>
    <row r="14" spans="1:11">
      <c r="A14" s="24"/>
      <c r="B14" s="18"/>
      <c r="C14" s="18"/>
      <c r="D14" s="18"/>
      <c r="E14" s="18"/>
      <c r="F14" s="18"/>
      <c r="G14" s="18"/>
      <c r="H14" s="18"/>
      <c r="I14" s="25"/>
    </row>
    <row r="15" spans="1:11">
      <c r="A15" s="24"/>
      <c r="B15" s="18"/>
      <c r="C15" s="18"/>
      <c r="D15" s="18"/>
      <c r="E15" s="18"/>
      <c r="F15" s="18"/>
      <c r="G15" s="18"/>
      <c r="H15" s="18"/>
      <c r="I15" s="25"/>
    </row>
    <row r="16" spans="1:11">
      <c r="A16" s="24"/>
      <c r="B16" s="18"/>
      <c r="C16" s="18"/>
      <c r="D16" s="18"/>
      <c r="E16" s="18"/>
      <c r="F16" s="18"/>
      <c r="G16" s="18"/>
      <c r="H16" s="18" t="s">
        <v>1662</v>
      </c>
      <c r="I16" s="25"/>
    </row>
    <row r="17" spans="1:9">
      <c r="A17" s="24"/>
      <c r="B17" s="18"/>
      <c r="C17" s="18"/>
      <c r="D17" s="18"/>
      <c r="E17" s="18"/>
      <c r="F17" s="18"/>
      <c r="G17" s="18"/>
      <c r="H17" s="18"/>
      <c r="I17" s="25"/>
    </row>
    <row r="18" spans="1:9">
      <c r="A18" s="24"/>
      <c r="B18" s="18"/>
      <c r="C18" s="18"/>
      <c r="D18" s="18"/>
      <c r="E18" s="18"/>
      <c r="F18" s="18"/>
      <c r="G18" s="18"/>
      <c r="H18" s="18"/>
      <c r="I18" s="25"/>
    </row>
    <row r="19" spans="1:9">
      <c r="A19" s="24"/>
      <c r="B19" s="18"/>
      <c r="C19" s="18"/>
      <c r="D19" s="18"/>
      <c r="E19" s="18"/>
      <c r="F19" s="18"/>
      <c r="G19" s="18"/>
      <c r="H19" s="18"/>
      <c r="I19" s="25"/>
    </row>
    <row r="20" spans="1:9">
      <c r="A20" s="24"/>
      <c r="B20" s="18"/>
      <c r="C20" s="18"/>
      <c r="D20" s="18"/>
      <c r="E20" s="18"/>
      <c r="F20" s="18"/>
      <c r="G20" s="18"/>
      <c r="H20" s="18"/>
      <c r="I20" s="25"/>
    </row>
    <row r="21" spans="1:9">
      <c r="A21" s="24"/>
      <c r="B21" s="18"/>
      <c r="C21" s="18"/>
      <c r="D21" s="18"/>
      <c r="E21" s="18"/>
      <c r="F21" s="18"/>
      <c r="G21" s="18"/>
      <c r="H21" s="18"/>
      <c r="I21" s="25"/>
    </row>
    <row r="22" spans="1:9">
      <c r="A22" s="26"/>
      <c r="B22" s="19"/>
      <c r="C22" s="19"/>
      <c r="D22" s="19"/>
      <c r="E22" s="19"/>
      <c r="F22" s="19"/>
      <c r="G22" s="19"/>
      <c r="H22" s="19"/>
      <c r="I22" s="27"/>
    </row>
    <row r="23" spans="1:9">
      <c r="A23" s="24"/>
      <c r="B23" s="18"/>
      <c r="C23" s="18"/>
      <c r="D23" s="18"/>
      <c r="E23" s="18"/>
      <c r="F23" s="18"/>
      <c r="G23" s="18"/>
      <c r="H23" s="18"/>
      <c r="I23" s="25"/>
    </row>
    <row r="24" spans="1:9">
      <c r="A24" s="28"/>
      <c r="B24" s="29"/>
      <c r="C24" s="29"/>
      <c r="D24" s="29"/>
      <c r="E24" s="29"/>
      <c r="F24" s="29"/>
      <c r="G24" s="29"/>
      <c r="H24" s="29"/>
      <c r="I24" s="30"/>
    </row>
    <row r="25" spans="1:9">
      <c r="A25" s="16"/>
      <c r="B25" s="16"/>
      <c r="C25" s="16"/>
      <c r="D25" s="16"/>
      <c r="E25" s="16"/>
      <c r="F25" s="16"/>
      <c r="G25" s="16"/>
      <c r="H25" s="16"/>
      <c r="I25" s="16"/>
    </row>
  </sheetData>
  <mergeCells count="1">
    <mergeCell ref="A1:I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9E73A-8F41-4945-AB73-7865904E5694}">
  <dimension ref="A3:B7"/>
  <sheetViews>
    <sheetView workbookViewId="0">
      <selection activeCell="J6" sqref="J6"/>
    </sheetView>
  </sheetViews>
  <sheetFormatPr defaultRowHeight="15"/>
  <cols>
    <col min="1" max="1" width="10.140625" bestFit="1" customWidth="1"/>
    <col min="2" max="2" width="20.5703125" bestFit="1" customWidth="1"/>
    <col min="3" max="3" width="21.140625" bestFit="1" customWidth="1"/>
  </cols>
  <sheetData>
    <row r="3" spans="1:2">
      <c r="A3" s="7" t="s">
        <v>11</v>
      </c>
      <c r="B3" t="s">
        <v>1653</v>
      </c>
    </row>
    <row r="4" spans="1:2">
      <c r="A4" t="s">
        <v>49</v>
      </c>
      <c r="B4" s="8">
        <v>0.26670247630920796</v>
      </c>
    </row>
    <row r="5" spans="1:2">
      <c r="A5" t="s">
        <v>68</v>
      </c>
      <c r="B5" s="8">
        <v>0.26414230689514656</v>
      </c>
    </row>
    <row r="6" spans="1:2">
      <c r="A6" t="s">
        <v>21</v>
      </c>
      <c r="B6" s="8">
        <v>0.23517156053862229</v>
      </c>
    </row>
    <row r="7" spans="1:2">
      <c r="A7" t="s">
        <v>30</v>
      </c>
      <c r="B7" s="8">
        <v>0.23398365625702319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22698-31E7-45A0-B789-7B5F258B0397}">
  <dimension ref="A3:B8"/>
  <sheetViews>
    <sheetView workbookViewId="0">
      <selection activeCell="K10" sqref="K10"/>
    </sheetView>
  </sheetViews>
  <sheetFormatPr defaultRowHeight="15"/>
  <cols>
    <col min="1" max="1" width="13.85546875" bestFit="1" customWidth="1"/>
    <col min="2" max="2" width="15.42578125" bestFit="1" customWidth="1"/>
  </cols>
  <sheetData>
    <row r="3" spans="1:2">
      <c r="A3" s="7" t="s">
        <v>10</v>
      </c>
      <c r="B3" t="s">
        <v>1663</v>
      </c>
    </row>
    <row r="4" spans="1:2">
      <c r="A4" t="s">
        <v>48</v>
      </c>
      <c r="B4" s="8">
        <v>0.27545185898934255</v>
      </c>
    </row>
    <row r="5" spans="1:2">
      <c r="A5" t="s">
        <v>67</v>
      </c>
      <c r="B5" s="8">
        <v>0.21526101874356041</v>
      </c>
    </row>
    <row r="6" spans="1:2">
      <c r="A6" t="s">
        <v>41</v>
      </c>
      <c r="B6" s="8">
        <v>0.19718511993464261</v>
      </c>
    </row>
    <row r="7" spans="1:2">
      <c r="A7" t="s">
        <v>29</v>
      </c>
      <c r="B7" s="8">
        <v>0.18303881533421304</v>
      </c>
    </row>
    <row r="8" spans="1:2">
      <c r="A8" t="s">
        <v>20</v>
      </c>
      <c r="B8" s="8">
        <v>0.12906318699824137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45E54-E167-4464-A6B2-BDEC3EAB192D}">
  <dimension ref="A3:B15"/>
  <sheetViews>
    <sheetView workbookViewId="0">
      <selection activeCell="A3" sqref="A3:B15"/>
    </sheetView>
  </sheetViews>
  <sheetFormatPr defaultRowHeight="15"/>
  <cols>
    <col min="1" max="1" width="10" bestFit="1" customWidth="1"/>
    <col min="2" max="2" width="20.5703125" bestFit="1" customWidth="1"/>
  </cols>
  <sheetData>
    <row r="3" spans="1:2">
      <c r="A3" s="7" t="s">
        <v>1664</v>
      </c>
      <c r="B3" t="s">
        <v>1653</v>
      </c>
    </row>
    <row r="4" spans="1:2">
      <c r="A4" t="s">
        <v>1665</v>
      </c>
      <c r="B4" s="8">
        <v>0.10824765473623077</v>
      </c>
    </row>
    <row r="5" spans="1:2">
      <c r="A5" t="s">
        <v>1666</v>
      </c>
      <c r="B5" s="8">
        <v>9.7955153841745954E-2</v>
      </c>
    </row>
    <row r="6" spans="1:2">
      <c r="A6" t="s">
        <v>1667</v>
      </c>
      <c r="B6" s="8">
        <v>0.10063889988902498</v>
      </c>
    </row>
    <row r="7" spans="1:2">
      <c r="A7" t="s">
        <v>1668</v>
      </c>
      <c r="B7" s="8">
        <v>8.1131620635635976E-2</v>
      </c>
    </row>
    <row r="8" spans="1:2">
      <c r="A8" t="s">
        <v>1669</v>
      </c>
      <c r="B8" s="8">
        <v>0.103454979968726</v>
      </c>
    </row>
    <row r="9" spans="1:2">
      <c r="A9" t="s">
        <v>1670</v>
      </c>
      <c r="B9" s="8">
        <v>7.3124376520534926E-2</v>
      </c>
    </row>
    <row r="10" spans="1:2">
      <c r="A10" t="s">
        <v>1671</v>
      </c>
      <c r="B10" s="8">
        <v>7.5959817422511705E-2</v>
      </c>
    </row>
    <row r="11" spans="1:2">
      <c r="A11" t="s">
        <v>1672</v>
      </c>
      <c r="B11" s="8">
        <v>7.7387628895554186E-2</v>
      </c>
    </row>
    <row r="12" spans="1:2">
      <c r="A12" t="s">
        <v>1673</v>
      </c>
      <c r="B12" s="8">
        <v>7.5972608470128211E-2</v>
      </c>
    </row>
    <row r="13" spans="1:2">
      <c r="A13" t="s">
        <v>1674</v>
      </c>
      <c r="B13" s="8">
        <v>6.1532968376600161E-2</v>
      </c>
    </row>
    <row r="14" spans="1:2">
      <c r="A14" t="s">
        <v>1675</v>
      </c>
      <c r="B14" s="8">
        <v>6.8671245926122934E-2</v>
      </c>
    </row>
    <row r="15" spans="1:2">
      <c r="A15" t="s">
        <v>1676</v>
      </c>
      <c r="B15" s="8">
        <v>7.5923045317184176E-2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9CF47-1FA4-4E15-95E6-5E7E170A376B}">
  <dimension ref="A1:U1048576"/>
  <sheetViews>
    <sheetView topLeftCell="L1" workbookViewId="0">
      <selection activeCell="S7" sqref="S7"/>
    </sheetView>
  </sheetViews>
  <sheetFormatPr defaultRowHeight="15"/>
  <cols>
    <col min="1" max="1" width="15.42578125" bestFit="1" customWidth="1"/>
    <col min="2" max="2" width="13.28515625" customWidth="1"/>
    <col min="3" max="3" width="14" bestFit="1" customWidth="1"/>
    <col min="4" max="4" width="13" bestFit="1" customWidth="1"/>
    <col min="5" max="5" width="18.42578125" bestFit="1" customWidth="1"/>
    <col min="6" max="6" width="26.85546875" bestFit="1" customWidth="1"/>
    <col min="7" max="7" width="16.7109375" style="2" bestFit="1" customWidth="1"/>
    <col min="8" max="8" width="17.140625" style="1" bestFit="1" customWidth="1"/>
    <col min="9" max="9" width="13" customWidth="1"/>
    <col min="10" max="10" width="18.28515625" bestFit="1" customWidth="1"/>
    <col min="11" max="11" width="13.85546875" bestFit="1" customWidth="1"/>
    <col min="12" max="12" width="9.28515625" bestFit="1" customWidth="1"/>
    <col min="13" max="13" width="17.28515625" bestFit="1" customWidth="1"/>
    <col min="14" max="17" width="17.28515625" style="3" customWidth="1"/>
    <col min="18" max="18" width="16.28515625" style="3" customWidth="1"/>
    <col min="19" max="19" width="19.140625" customWidth="1"/>
    <col min="20" max="20" width="24" bestFit="1" customWidth="1"/>
    <col min="21" max="21" width="14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3" t="s">
        <v>1677</v>
      </c>
      <c r="O1" s="3" t="s">
        <v>1664</v>
      </c>
      <c r="P1" s="3" t="s">
        <v>1678</v>
      </c>
      <c r="Q1" s="9" t="s">
        <v>1654</v>
      </c>
      <c r="R1" s="9" t="s">
        <v>1679</v>
      </c>
    </row>
    <row r="2" spans="1:21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s="2">
        <v>126731</v>
      </c>
      <c r="H2" s="1">
        <v>109566</v>
      </c>
      <c r="I2">
        <v>-17165</v>
      </c>
      <c r="J2" t="s">
        <v>19</v>
      </c>
      <c r="K2" t="s">
        <v>20</v>
      </c>
      <c r="L2" t="s">
        <v>21</v>
      </c>
      <c r="M2" t="s">
        <v>22</v>
      </c>
      <c r="N2" s="5">
        <f>Table4[[#This Row],[BudgetAmount]]/Table4[[#This Row],[Variance]]</f>
        <v>-7.3831051558403731</v>
      </c>
      <c r="O2" s="5" t="str">
        <f>TEXT(Table4[[#This Row],[Date]],"mmm")</f>
        <v>Nov</v>
      </c>
      <c r="P2" s="5">
        <f>ABS(Table4[[#This Row],[Variance]])</f>
        <v>17165</v>
      </c>
      <c r="Q2" s="6" t="str">
        <f>IF(Table4[[#This Row],[AB Variances ]]&gt;$P$2,"Anomaly","Normal")</f>
        <v>Normal</v>
      </c>
      <c r="R2" s="6">
        <f>SUMIFS(Table4[BudgetAmount],Table4[ActualExpense],"pending")</f>
        <v>0</v>
      </c>
      <c r="S2" t="s">
        <v>1658</v>
      </c>
      <c r="T2" t="s">
        <v>1659</v>
      </c>
      <c r="U2" s="15" t="s">
        <v>1660</v>
      </c>
    </row>
    <row r="3" spans="1:21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s="2">
        <v>206590</v>
      </c>
      <c r="H3" s="1">
        <v>283320</v>
      </c>
      <c r="I3">
        <v>76730</v>
      </c>
      <c r="J3" t="s">
        <v>19</v>
      </c>
      <c r="K3" t="s">
        <v>29</v>
      </c>
      <c r="L3" t="s">
        <v>30</v>
      </c>
      <c r="M3" t="s">
        <v>22</v>
      </c>
      <c r="N3" s="5">
        <f>Table4[[#This Row],[BudgetAmount]]/Table4[[#This Row],[Variance]]</f>
        <v>2.6924279942656066</v>
      </c>
      <c r="O3" s="6" t="str">
        <f>TEXT(Table4[[#This Row],[Date]],"mmm")</f>
        <v>Jun</v>
      </c>
      <c r="P3" s="6">
        <f>ABS(Table4[[#This Row],[Variance]])</f>
        <v>76730</v>
      </c>
      <c r="Q3" s="6" t="str">
        <f>IF(Table4[[#This Row],[AB Variances ]]&gt;$P$2,"Anomaly","Normal")</f>
        <v>Anomaly</v>
      </c>
      <c r="R3" s="6">
        <f>SUMIFS(Table4[BudgetAmount],Table4[ActualExpense],"pending")</f>
        <v>0</v>
      </c>
      <c r="S3" s="2">
        <f>SUM(Table4[BudgetAmount])</f>
        <v>276168932</v>
      </c>
      <c r="T3" s="1" t="s">
        <v>1662</v>
      </c>
      <c r="U3" s="5">
        <f>SUM(Table4[Variance %])</f>
        <v>-2926.9782390307359</v>
      </c>
    </row>
    <row r="4" spans="1:21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s="2">
        <v>325305</v>
      </c>
      <c r="H4" s="1">
        <v>250255</v>
      </c>
      <c r="I4">
        <v>-75050</v>
      </c>
      <c r="J4" t="s">
        <v>37</v>
      </c>
      <c r="K4" t="s">
        <v>29</v>
      </c>
      <c r="L4" t="s">
        <v>30</v>
      </c>
      <c r="M4" t="s">
        <v>22</v>
      </c>
      <c r="N4" s="5">
        <f>Table4[[#This Row],[BudgetAmount]]/Table4[[#This Row],[Variance]]</f>
        <v>-4.3345103264490339</v>
      </c>
      <c r="O4" s="5" t="str">
        <f>TEXT(Table4[[#This Row],[Date]],"mmm")</f>
        <v>Sep</v>
      </c>
      <c r="P4" s="5">
        <f>ABS(Table4[[#This Row],[Variance]])</f>
        <v>75050</v>
      </c>
      <c r="Q4" s="5" t="str">
        <f>IF(Table4[[#This Row],[AB Variances ]]&gt;$P$2,"Anomaly","Normal")</f>
        <v>Anomaly</v>
      </c>
      <c r="R4" s="5">
        <f>SUMIFS(Table4[BudgetAmount],Table4[ActualExpense],"pending")</f>
        <v>0</v>
      </c>
    </row>
    <row r="5" spans="1:21">
      <c r="A5" t="s">
        <v>38</v>
      </c>
      <c r="B5" t="s">
        <v>39</v>
      </c>
      <c r="C5" t="s">
        <v>25</v>
      </c>
      <c r="D5" t="s">
        <v>40</v>
      </c>
      <c r="E5" t="s">
        <v>17</v>
      </c>
      <c r="F5" t="s">
        <v>18</v>
      </c>
      <c r="G5" s="2">
        <v>380071</v>
      </c>
      <c r="H5" s="1">
        <v>448489</v>
      </c>
      <c r="I5">
        <v>68418</v>
      </c>
      <c r="J5" t="s">
        <v>19</v>
      </c>
      <c r="K5" t="s">
        <v>41</v>
      </c>
      <c r="L5" t="s">
        <v>30</v>
      </c>
      <c r="M5" t="s">
        <v>42</v>
      </c>
      <c r="N5" s="5">
        <f>Table4[[#This Row],[BudgetAmount]]/Table4[[#This Row],[Variance]]</f>
        <v>5.5551316904908061</v>
      </c>
      <c r="O5" s="5" t="str">
        <f>TEXT(Table4[[#This Row],[Date]],"mmm")</f>
        <v>Aug</v>
      </c>
      <c r="P5" s="5">
        <f>ABS(Table4[[#This Row],[Variance]])</f>
        <v>68418</v>
      </c>
      <c r="Q5" s="5" t="str">
        <f>IF(Table4[[#This Row],[AB Variances ]]&gt;$P$2,"Anomaly","Normal")</f>
        <v>Anomaly</v>
      </c>
      <c r="R5" s="5">
        <f>SUMIFS(Table4[BudgetAmount],Table4[ActualExpense],"pending")</f>
        <v>0</v>
      </c>
    </row>
    <row r="6" spans="1:21">
      <c r="A6" t="s">
        <v>43</v>
      </c>
      <c r="B6" t="s">
        <v>44</v>
      </c>
      <c r="C6" t="s">
        <v>45</v>
      </c>
      <c r="D6" t="s">
        <v>26</v>
      </c>
      <c r="E6" t="s">
        <v>46</v>
      </c>
      <c r="F6" t="s">
        <v>47</v>
      </c>
      <c r="G6" s="2">
        <v>115281</v>
      </c>
      <c r="H6" s="1">
        <v>135813</v>
      </c>
      <c r="I6">
        <v>20532</v>
      </c>
      <c r="J6" t="s">
        <v>37</v>
      </c>
      <c r="K6" t="s">
        <v>48</v>
      </c>
      <c r="L6" t="s">
        <v>49</v>
      </c>
      <c r="M6" t="s">
        <v>22</v>
      </c>
      <c r="N6" s="5">
        <f>Table4[[#This Row],[BudgetAmount]]/Table4[[#This Row],[Variance]]</f>
        <v>5.6146990064289888</v>
      </c>
      <c r="O6" s="5" t="str">
        <f>TEXT(Table4[[#This Row],[Date]],"mmm")</f>
        <v>Feb</v>
      </c>
      <c r="P6" s="5">
        <f>ABS(Table4[[#This Row],[Variance]])</f>
        <v>20532</v>
      </c>
      <c r="Q6" s="5" t="str">
        <f>IF(Table4[[#This Row],[AB Variances ]]&gt;$P$2,"Anomaly","Normal")</f>
        <v>Anomaly</v>
      </c>
      <c r="R6" s="5">
        <f>SUMIFS(Table4[BudgetAmount],Table4[ActualExpense],"pending")</f>
        <v>0</v>
      </c>
      <c r="S6" s="4" t="s">
        <v>1661</v>
      </c>
      <c r="T6" t="s">
        <v>1680</v>
      </c>
    </row>
    <row r="7" spans="1:21">
      <c r="A7" t="s">
        <v>50</v>
      </c>
      <c r="B7" t="s">
        <v>51</v>
      </c>
      <c r="C7" t="s">
        <v>35</v>
      </c>
      <c r="D7" t="s">
        <v>26</v>
      </c>
      <c r="E7" t="s">
        <v>35</v>
      </c>
      <c r="F7" t="s">
        <v>36</v>
      </c>
      <c r="G7" s="2">
        <v>376321</v>
      </c>
      <c r="H7" s="1">
        <v>428097</v>
      </c>
      <c r="I7">
        <v>51776</v>
      </c>
      <c r="J7" t="s">
        <v>37</v>
      </c>
      <c r="K7" t="s">
        <v>29</v>
      </c>
      <c r="L7" t="s">
        <v>21</v>
      </c>
      <c r="M7" t="s">
        <v>22</v>
      </c>
      <c r="N7" s="5">
        <f>Table4[[#This Row],[BudgetAmount]]/Table4[[#This Row],[Variance]]</f>
        <v>7.2682516996291717</v>
      </c>
      <c r="O7" s="5" t="str">
        <f>TEXT(Table4[[#This Row],[Date]],"mmm")</f>
        <v>Oct</v>
      </c>
      <c r="P7" s="5">
        <f>ABS(Table4[[#This Row],[Variance]])</f>
        <v>51776</v>
      </c>
      <c r="Q7" s="5" t="str">
        <f>IF(Table4[[#This Row],[AB Variances ]]&gt;$P$2,"Anomaly","Normal")</f>
        <v>Anomaly</v>
      </c>
      <c r="R7" s="5">
        <f>SUMIFS(Table4[BudgetAmount],Table4[ActualExpense],"pending")</f>
        <v>0</v>
      </c>
      <c r="S7" s="2" t="e">
        <f>S3-T3</f>
        <v>#VALUE!</v>
      </c>
      <c r="T7" s="38">
        <f>SUM(Table4[Variance %])</f>
        <v>-2926.9782390307359</v>
      </c>
    </row>
    <row r="8" spans="1:21">
      <c r="A8" t="s">
        <v>52</v>
      </c>
      <c r="B8" t="s">
        <v>53</v>
      </c>
      <c r="C8" t="s">
        <v>45</v>
      </c>
      <c r="D8" t="s">
        <v>26</v>
      </c>
      <c r="E8" t="s">
        <v>17</v>
      </c>
      <c r="F8" t="s">
        <v>18</v>
      </c>
      <c r="G8" s="2">
        <v>473965</v>
      </c>
      <c r="H8" s="1">
        <v>613281</v>
      </c>
      <c r="I8">
        <v>139316</v>
      </c>
      <c r="J8" t="s">
        <v>54</v>
      </c>
      <c r="K8" t="s">
        <v>41</v>
      </c>
      <c r="L8" t="s">
        <v>49</v>
      </c>
      <c r="M8" t="s">
        <v>42</v>
      </c>
      <c r="N8" s="5">
        <f>Table4[[#This Row],[BudgetAmount]]/Table4[[#This Row],[Variance]]</f>
        <v>3.4020859054236414</v>
      </c>
      <c r="O8" s="5" t="str">
        <f>TEXT(Table4[[#This Row],[Date]],"mmm")</f>
        <v>Jan</v>
      </c>
      <c r="P8" s="5">
        <f>ABS(Table4[[#This Row],[Variance]])</f>
        <v>139316</v>
      </c>
      <c r="Q8" s="5" t="str">
        <f>IF(Table4[[#This Row],[AB Variances ]]&gt;$P$2,"Anomaly","Normal")</f>
        <v>Anomaly</v>
      </c>
      <c r="R8" s="5">
        <f>SUMIFS(Table4[BudgetAmount],Table4[ActualExpense],"pending")</f>
        <v>0</v>
      </c>
      <c r="S8" s="4" t="s">
        <v>1681</v>
      </c>
    </row>
    <row r="9" spans="1:21">
      <c r="A9" t="s">
        <v>55</v>
      </c>
      <c r="B9" t="s">
        <v>56</v>
      </c>
      <c r="C9" t="s">
        <v>35</v>
      </c>
      <c r="D9" t="s">
        <v>26</v>
      </c>
      <c r="E9" t="s">
        <v>35</v>
      </c>
      <c r="F9" t="s">
        <v>36</v>
      </c>
      <c r="G9" s="2">
        <v>240245</v>
      </c>
      <c r="H9" s="1">
        <v>228424</v>
      </c>
      <c r="I9">
        <v>-11821</v>
      </c>
      <c r="J9" t="s">
        <v>54</v>
      </c>
      <c r="K9" t="s">
        <v>29</v>
      </c>
      <c r="L9" t="s">
        <v>21</v>
      </c>
      <c r="M9" t="s">
        <v>42</v>
      </c>
      <c r="N9" s="5">
        <f>Table4[[#This Row],[BudgetAmount]]/Table4[[#This Row],[Variance]]</f>
        <v>-20.323576685559598</v>
      </c>
      <c r="O9" s="5" t="str">
        <f>TEXT(Table4[[#This Row],[Date]],"mmm")</f>
        <v>Nov</v>
      </c>
      <c r="P9" s="5">
        <f>ABS(Table4[[#This Row],[Variance]])</f>
        <v>11821</v>
      </c>
      <c r="Q9" s="5" t="str">
        <f>IF(Table4[[#This Row],[AB Variances ]]&gt;$P$2,"Anomaly","Normal")</f>
        <v>Normal</v>
      </c>
      <c r="R9" s="5">
        <f>SUMIFS(Table4[BudgetAmount],Table4[ActualExpense],"pending")</f>
        <v>0</v>
      </c>
      <c r="S9" cm="1">
        <f t="array" ref="S9">AVERAGE(Table4[[AB Variances ]]*2)</f>
        <v>100385.166</v>
      </c>
    </row>
    <row r="10" spans="1:21">
      <c r="A10" t="s">
        <v>57</v>
      </c>
      <c r="B10" t="s">
        <v>58</v>
      </c>
      <c r="C10" t="s">
        <v>25</v>
      </c>
      <c r="D10" t="s">
        <v>26</v>
      </c>
      <c r="E10" t="s">
        <v>27</v>
      </c>
      <c r="F10" t="s">
        <v>28</v>
      </c>
      <c r="G10" s="2">
        <v>475470</v>
      </c>
      <c r="H10" s="1">
        <v>579486</v>
      </c>
      <c r="I10">
        <v>104016</v>
      </c>
      <c r="J10" t="s">
        <v>37</v>
      </c>
      <c r="K10" t="s">
        <v>41</v>
      </c>
      <c r="L10" t="s">
        <v>21</v>
      </c>
      <c r="M10" t="s">
        <v>22</v>
      </c>
      <c r="N10" s="5">
        <f>Table4[[#This Row],[BudgetAmount]]/Table4[[#This Row],[Variance]]</f>
        <v>4.5711236732810336</v>
      </c>
      <c r="O10" s="5" t="str">
        <f>TEXT(Table4[[#This Row],[Date]],"mmm")</f>
        <v>Mar</v>
      </c>
      <c r="P10" s="5">
        <f>ABS(Table4[[#This Row],[Variance]])</f>
        <v>104016</v>
      </c>
      <c r="Q10" s="5" t="str">
        <f>IF(Table4[[#This Row],[AB Variances ]]&gt;$P$2,"Anomaly","Normal")</f>
        <v>Anomaly</v>
      </c>
      <c r="R10" s="5">
        <f>SUMIFS(Table4[BudgetAmount],Table4[ActualExpense],"pending")</f>
        <v>0</v>
      </c>
    </row>
    <row r="11" spans="1:21">
      <c r="A11" t="s">
        <v>59</v>
      </c>
      <c r="B11" t="s">
        <v>60</v>
      </c>
      <c r="C11" t="s">
        <v>33</v>
      </c>
      <c r="D11" t="s">
        <v>61</v>
      </c>
      <c r="E11" t="s">
        <v>27</v>
      </c>
      <c r="F11" t="s">
        <v>28</v>
      </c>
      <c r="G11" s="2">
        <v>276688</v>
      </c>
      <c r="H11" s="1">
        <v>292383</v>
      </c>
      <c r="I11">
        <v>15695</v>
      </c>
      <c r="J11" t="s">
        <v>19</v>
      </c>
      <c r="K11" t="s">
        <v>20</v>
      </c>
      <c r="L11" t="s">
        <v>21</v>
      </c>
      <c r="M11" t="s">
        <v>22</v>
      </c>
      <c r="N11" s="5">
        <f>Table4[[#This Row],[BudgetAmount]]/Table4[[#This Row],[Variance]]</f>
        <v>17.629053838802168</v>
      </c>
      <c r="O11" s="5" t="str">
        <f>TEXT(Table4[[#This Row],[Date]],"mmm")</f>
        <v>Aug</v>
      </c>
      <c r="P11" s="5">
        <f>ABS(Table4[[#This Row],[Variance]])</f>
        <v>15695</v>
      </c>
      <c r="Q11" s="5" t="str">
        <f>IF(Table4[[#This Row],[AB Variances ]]&gt;$P$2,"Anomaly","Normal")</f>
        <v>Normal</v>
      </c>
      <c r="R11" s="5">
        <f>SUMIFS(Table4[BudgetAmount],Table4[ActualExpense],"pending")</f>
        <v>0</v>
      </c>
      <c r="T11">
        <f>SUMIFS(H2,G2,"pending")</f>
        <v>0</v>
      </c>
    </row>
    <row r="12" spans="1:21">
      <c r="A12" t="s">
        <v>62</v>
      </c>
      <c r="B12" t="s">
        <v>63</v>
      </c>
      <c r="C12" t="s">
        <v>64</v>
      </c>
      <c r="D12" t="s">
        <v>34</v>
      </c>
      <c r="E12" t="s">
        <v>46</v>
      </c>
      <c r="F12" t="s">
        <v>47</v>
      </c>
      <c r="G12" s="2">
        <v>280920</v>
      </c>
      <c r="H12" s="1">
        <v>256002</v>
      </c>
      <c r="I12">
        <v>-24918</v>
      </c>
      <c r="J12" t="s">
        <v>19</v>
      </c>
      <c r="K12" t="s">
        <v>29</v>
      </c>
      <c r="L12" t="s">
        <v>49</v>
      </c>
      <c r="M12" t="s">
        <v>42</v>
      </c>
      <c r="N12" s="5">
        <f>Table4[[#This Row],[BudgetAmount]]/Table4[[#This Row],[Variance]]</f>
        <v>-11.273777991813148</v>
      </c>
      <c r="O12" s="5" t="str">
        <f>TEXT(Table4[[#This Row],[Date]],"mmm")</f>
        <v>Jul</v>
      </c>
      <c r="P12" s="5">
        <f>ABS(Table4[[#This Row],[Variance]])</f>
        <v>24918</v>
      </c>
      <c r="Q12" s="5" t="str">
        <f>IF(Table4[[#This Row],[AB Variances ]]&gt;$P$2,"Anomaly","Normal")</f>
        <v>Anomaly</v>
      </c>
      <c r="R12" s="5">
        <f>SUMIFS(Table4[BudgetAmount],Table4[ActualExpense],"pending")</f>
        <v>0</v>
      </c>
      <c r="T12">
        <f t="shared" ref="T12:T13" si="0">SUMIFS(H3,G3,"pending")</f>
        <v>0</v>
      </c>
    </row>
    <row r="13" spans="1:21">
      <c r="A13" t="s">
        <v>65</v>
      </c>
      <c r="B13" t="s">
        <v>66</v>
      </c>
      <c r="C13" t="s">
        <v>33</v>
      </c>
      <c r="D13" t="s">
        <v>16</v>
      </c>
      <c r="E13" t="s">
        <v>27</v>
      </c>
      <c r="F13" t="s">
        <v>28</v>
      </c>
      <c r="G13" s="2">
        <v>497550</v>
      </c>
      <c r="H13" s="1">
        <v>650434</v>
      </c>
      <c r="I13">
        <v>152884</v>
      </c>
      <c r="J13" t="s">
        <v>54</v>
      </c>
      <c r="K13" t="s">
        <v>67</v>
      </c>
      <c r="L13" t="s">
        <v>68</v>
      </c>
      <c r="M13" t="s">
        <v>22</v>
      </c>
      <c r="N13" s="5">
        <f>Table4[[#This Row],[BudgetAmount]]/Table4[[#This Row],[Variance]]</f>
        <v>3.2544281939248059</v>
      </c>
      <c r="O13" s="5" t="str">
        <f>TEXT(Table4[[#This Row],[Date]],"mmm")</f>
        <v>Jul</v>
      </c>
      <c r="P13" s="5">
        <f>ABS(Table4[[#This Row],[Variance]])</f>
        <v>152884</v>
      </c>
      <c r="Q13" s="5" t="str">
        <f>IF(Table4[[#This Row],[AB Variances ]]&gt;$P$2,"Anomaly","Normal")</f>
        <v>Anomaly</v>
      </c>
      <c r="R13" s="5">
        <f>SUMIFS(Table4[BudgetAmount],Table4[ActualExpense],"pending")</f>
        <v>0</v>
      </c>
      <c r="T13">
        <f t="shared" si="0"/>
        <v>0</v>
      </c>
    </row>
    <row r="14" spans="1:21">
      <c r="A14" t="s">
        <v>69</v>
      </c>
      <c r="B14" t="s">
        <v>70</v>
      </c>
      <c r="C14" t="s">
        <v>45</v>
      </c>
      <c r="D14" t="s">
        <v>61</v>
      </c>
      <c r="E14" t="s">
        <v>71</v>
      </c>
      <c r="F14" t="s">
        <v>72</v>
      </c>
      <c r="G14" s="2">
        <v>255672</v>
      </c>
      <c r="H14" s="1">
        <v>348686</v>
      </c>
      <c r="I14">
        <v>93014</v>
      </c>
      <c r="J14" t="s">
        <v>54</v>
      </c>
      <c r="K14" t="s">
        <v>29</v>
      </c>
      <c r="L14" t="s">
        <v>68</v>
      </c>
      <c r="M14" t="s">
        <v>42</v>
      </c>
      <c r="N14" s="5">
        <f>Table4[[#This Row],[BudgetAmount]]/Table4[[#This Row],[Variance]]</f>
        <v>2.7487475003762873</v>
      </c>
      <c r="O14" s="5" t="str">
        <f>TEXT(Table4[[#This Row],[Date]],"mmm")</f>
        <v>Jan</v>
      </c>
      <c r="P14" s="5">
        <f>ABS(Table4[[#This Row],[Variance]])</f>
        <v>93014</v>
      </c>
      <c r="Q14" s="5" t="str">
        <f>IF(Table4[[#This Row],[AB Variances ]]&gt;$P$2,"Anomaly","Normal")</f>
        <v>Anomaly</v>
      </c>
      <c r="R14" s="5">
        <f>SUMIFS(Table4[BudgetAmount],Table4[ActualExpense],"pending")</f>
        <v>0</v>
      </c>
    </row>
    <row r="15" spans="1:21">
      <c r="A15" t="s">
        <v>73</v>
      </c>
      <c r="B15" t="s">
        <v>74</v>
      </c>
      <c r="C15" t="s">
        <v>45</v>
      </c>
      <c r="D15" t="s">
        <v>26</v>
      </c>
      <c r="E15" t="s">
        <v>27</v>
      </c>
      <c r="F15" t="s">
        <v>28</v>
      </c>
      <c r="G15" s="2">
        <v>388871</v>
      </c>
      <c r="H15" s="1">
        <v>533554</v>
      </c>
      <c r="I15">
        <v>144683</v>
      </c>
      <c r="J15" t="s">
        <v>54</v>
      </c>
      <c r="K15" t="s">
        <v>20</v>
      </c>
      <c r="L15" t="s">
        <v>21</v>
      </c>
      <c r="M15" t="s">
        <v>42</v>
      </c>
      <c r="N15" s="5">
        <f>Table4[[#This Row],[BudgetAmount]]/Table4[[#This Row],[Variance]]</f>
        <v>2.6877449320238038</v>
      </c>
      <c r="O15" s="5" t="str">
        <f>TEXT(Table4[[#This Row],[Date]],"mmm")</f>
        <v>Apr</v>
      </c>
      <c r="P15" s="5">
        <f>ABS(Table4[[#This Row],[Variance]])</f>
        <v>144683</v>
      </c>
      <c r="Q15" s="5" t="str">
        <f>IF(Table4[[#This Row],[AB Variances ]]&gt;$P$2,"Anomaly","Normal")</f>
        <v>Anomaly</v>
      </c>
      <c r="R15" s="5">
        <f>SUMIFS(Table4[BudgetAmount],Table4[ActualExpense],"pending")</f>
        <v>0</v>
      </c>
    </row>
    <row r="16" spans="1:21">
      <c r="A16" t="s">
        <v>75</v>
      </c>
      <c r="B16" t="s">
        <v>76</v>
      </c>
      <c r="C16" t="s">
        <v>15</v>
      </c>
      <c r="D16" t="s">
        <v>26</v>
      </c>
      <c r="E16" t="s">
        <v>17</v>
      </c>
      <c r="F16" t="s">
        <v>18</v>
      </c>
      <c r="G16" s="2">
        <v>411459</v>
      </c>
      <c r="H16" s="1">
        <v>515202</v>
      </c>
      <c r="I16">
        <v>103743</v>
      </c>
      <c r="J16" t="s">
        <v>37</v>
      </c>
      <c r="K16" t="s">
        <v>67</v>
      </c>
      <c r="L16" t="s">
        <v>68</v>
      </c>
      <c r="M16" t="s">
        <v>22</v>
      </c>
      <c r="N16" s="5">
        <f>Table4[[#This Row],[BudgetAmount]]/Table4[[#This Row],[Variance]]</f>
        <v>3.9661374743356177</v>
      </c>
      <c r="O16" s="5" t="str">
        <f>TEXT(Table4[[#This Row],[Date]],"mmm")</f>
        <v>Feb</v>
      </c>
      <c r="P16" s="5">
        <f>ABS(Table4[[#This Row],[Variance]])</f>
        <v>103743</v>
      </c>
      <c r="Q16" s="5" t="str">
        <f>IF(Table4[[#This Row],[AB Variances ]]&gt;$P$2,"Anomaly","Normal")</f>
        <v>Anomaly</v>
      </c>
      <c r="R16" s="5">
        <f>SUMIFS(Table4[BudgetAmount],Table4[ActualExpense],"pending")</f>
        <v>0</v>
      </c>
    </row>
    <row r="17" spans="1:18">
      <c r="A17" t="s">
        <v>77</v>
      </c>
      <c r="B17" t="s">
        <v>78</v>
      </c>
      <c r="C17" t="s">
        <v>45</v>
      </c>
      <c r="D17" t="s">
        <v>61</v>
      </c>
      <c r="E17" t="s">
        <v>27</v>
      </c>
      <c r="F17" t="s">
        <v>28</v>
      </c>
      <c r="G17" s="2">
        <v>57569</v>
      </c>
      <c r="H17" s="1">
        <v>70119</v>
      </c>
      <c r="I17">
        <v>12550</v>
      </c>
      <c r="J17" t="s">
        <v>54</v>
      </c>
      <c r="K17" t="s">
        <v>41</v>
      </c>
      <c r="L17" t="s">
        <v>49</v>
      </c>
      <c r="M17" t="s">
        <v>22</v>
      </c>
      <c r="N17" s="5">
        <f>Table4[[#This Row],[BudgetAmount]]/Table4[[#This Row],[Variance]]</f>
        <v>4.5871713147410356</v>
      </c>
      <c r="O17" s="5" t="str">
        <f>TEXT(Table4[[#This Row],[Date]],"mmm")</f>
        <v>Jul</v>
      </c>
      <c r="P17" s="5">
        <f>ABS(Table4[[#This Row],[Variance]])</f>
        <v>12550</v>
      </c>
      <c r="Q17" s="5" t="str">
        <f>IF(Table4[[#This Row],[AB Variances ]]&gt;$P$2,"Anomaly","Normal")</f>
        <v>Normal</v>
      </c>
      <c r="R17" s="5">
        <f>SUMIFS(Table4[BudgetAmount],Table4[ActualExpense],"pending")</f>
        <v>0</v>
      </c>
    </row>
    <row r="18" spans="1:18">
      <c r="A18" t="s">
        <v>79</v>
      </c>
      <c r="B18" t="s">
        <v>80</v>
      </c>
      <c r="C18" t="s">
        <v>15</v>
      </c>
      <c r="D18" t="s">
        <v>61</v>
      </c>
      <c r="E18" t="s">
        <v>17</v>
      </c>
      <c r="F18" t="s">
        <v>18</v>
      </c>
      <c r="G18" s="2">
        <v>305062</v>
      </c>
      <c r="H18" s="1">
        <v>373202</v>
      </c>
      <c r="I18">
        <v>68140</v>
      </c>
      <c r="J18" t="s">
        <v>37</v>
      </c>
      <c r="K18" t="s">
        <v>48</v>
      </c>
      <c r="L18" t="s">
        <v>30</v>
      </c>
      <c r="M18" t="s">
        <v>22</v>
      </c>
      <c r="N18" s="5">
        <f>Table4[[#This Row],[BudgetAmount]]/Table4[[#This Row],[Variance]]</f>
        <v>4.4769885529791607</v>
      </c>
      <c r="O18" s="5" t="str">
        <f>TEXT(Table4[[#This Row],[Date]],"mmm")</f>
        <v>Mar</v>
      </c>
      <c r="P18" s="5">
        <f>ABS(Table4[[#This Row],[Variance]])</f>
        <v>68140</v>
      </c>
      <c r="Q18" s="5" t="str">
        <f>IF(Table4[[#This Row],[AB Variances ]]&gt;$P$2,"Anomaly","Normal")</f>
        <v>Anomaly</v>
      </c>
      <c r="R18" s="5">
        <f>SUMIFS(Table4[BudgetAmount],Table4[ActualExpense],"pending")</f>
        <v>0</v>
      </c>
    </row>
    <row r="19" spans="1:18">
      <c r="A19" t="s">
        <v>81</v>
      </c>
      <c r="B19" t="s">
        <v>82</v>
      </c>
      <c r="C19" t="s">
        <v>15</v>
      </c>
      <c r="D19" t="s">
        <v>26</v>
      </c>
      <c r="E19" t="s">
        <v>46</v>
      </c>
      <c r="F19" t="s">
        <v>47</v>
      </c>
      <c r="G19" s="2">
        <v>419149</v>
      </c>
      <c r="H19" s="1">
        <v>428882</v>
      </c>
      <c r="I19">
        <v>9733</v>
      </c>
      <c r="J19" t="s">
        <v>37</v>
      </c>
      <c r="K19" t="s">
        <v>48</v>
      </c>
      <c r="L19" t="s">
        <v>49</v>
      </c>
      <c r="M19" t="s">
        <v>42</v>
      </c>
      <c r="N19" s="5">
        <f>Table4[[#This Row],[BudgetAmount]]/Table4[[#This Row],[Variance]]</f>
        <v>43.064728244117951</v>
      </c>
      <c r="O19" s="5" t="str">
        <f>TEXT(Table4[[#This Row],[Date]],"mmm")</f>
        <v>Dec</v>
      </c>
      <c r="P19" s="5">
        <f>ABS(Table4[[#This Row],[Variance]])</f>
        <v>9733</v>
      </c>
      <c r="Q19" s="5" t="str">
        <f>IF(Table4[[#This Row],[AB Variances ]]&gt;$P$2,"Anomaly","Normal")</f>
        <v>Normal</v>
      </c>
      <c r="R19" s="5">
        <f>SUMIFS(Table4[BudgetAmount],Table4[ActualExpense],"pending")</f>
        <v>0</v>
      </c>
    </row>
    <row r="20" spans="1:18">
      <c r="A20" t="s">
        <v>83</v>
      </c>
      <c r="B20" t="s">
        <v>84</v>
      </c>
      <c r="C20" t="s">
        <v>25</v>
      </c>
      <c r="D20" t="s">
        <v>26</v>
      </c>
      <c r="E20" t="s">
        <v>85</v>
      </c>
      <c r="F20" t="s">
        <v>86</v>
      </c>
      <c r="G20" s="2">
        <v>429978</v>
      </c>
      <c r="H20" s="1">
        <v>436843</v>
      </c>
      <c r="I20">
        <v>6865</v>
      </c>
      <c r="J20" t="s">
        <v>54</v>
      </c>
      <c r="K20" t="s">
        <v>41</v>
      </c>
      <c r="L20" t="s">
        <v>49</v>
      </c>
      <c r="M20" t="s">
        <v>42</v>
      </c>
      <c r="N20" s="5">
        <f>Table4[[#This Row],[BudgetAmount]]/Table4[[#This Row],[Variance]]</f>
        <v>62.63335761107065</v>
      </c>
      <c r="O20" s="5" t="str">
        <f>TEXT(Table4[[#This Row],[Date]],"mmm")</f>
        <v>Sep</v>
      </c>
      <c r="P20" s="5">
        <f>ABS(Table4[[#This Row],[Variance]])</f>
        <v>6865</v>
      </c>
      <c r="Q20" s="5" t="str">
        <f>IF(Table4[[#This Row],[AB Variances ]]&gt;$P$2,"Anomaly","Normal")</f>
        <v>Normal</v>
      </c>
      <c r="R20" s="5">
        <f>SUMIFS(Table4[BudgetAmount],Table4[ActualExpense],"pending")</f>
        <v>0</v>
      </c>
    </row>
    <row r="21" spans="1:18">
      <c r="A21" t="s">
        <v>87</v>
      </c>
      <c r="B21" t="s">
        <v>88</v>
      </c>
      <c r="C21" t="s">
        <v>35</v>
      </c>
      <c r="D21" t="s">
        <v>40</v>
      </c>
      <c r="E21" t="s">
        <v>71</v>
      </c>
      <c r="F21" t="s">
        <v>72</v>
      </c>
      <c r="G21" s="2">
        <v>414568</v>
      </c>
      <c r="H21" s="1">
        <v>430721</v>
      </c>
      <c r="I21">
        <v>16153</v>
      </c>
      <c r="J21" t="s">
        <v>19</v>
      </c>
      <c r="K21" t="s">
        <v>29</v>
      </c>
      <c r="L21" t="s">
        <v>49</v>
      </c>
      <c r="M21" t="s">
        <v>22</v>
      </c>
      <c r="N21" s="5">
        <f>Table4[[#This Row],[BudgetAmount]]/Table4[[#This Row],[Variance]]</f>
        <v>25.665077694545904</v>
      </c>
      <c r="O21" s="5" t="str">
        <f>TEXT(Table4[[#This Row],[Date]],"mmm")</f>
        <v>Sep</v>
      </c>
      <c r="P21" s="5">
        <f>ABS(Table4[[#This Row],[Variance]])</f>
        <v>16153</v>
      </c>
      <c r="Q21" s="5" t="str">
        <f>IF(Table4[[#This Row],[AB Variances ]]&gt;$P$2,"Anomaly","Normal")</f>
        <v>Normal</v>
      </c>
      <c r="R21" s="5">
        <f>SUMIFS(Table4[BudgetAmount],Table4[ActualExpense],"pending")</f>
        <v>0</v>
      </c>
    </row>
    <row r="22" spans="1:18">
      <c r="A22" t="s">
        <v>89</v>
      </c>
      <c r="B22" t="s">
        <v>90</v>
      </c>
      <c r="C22" t="s">
        <v>15</v>
      </c>
      <c r="D22" t="s">
        <v>34</v>
      </c>
      <c r="E22" t="s">
        <v>27</v>
      </c>
      <c r="F22" t="s">
        <v>28</v>
      </c>
      <c r="G22" s="2">
        <v>312794</v>
      </c>
      <c r="H22" s="1">
        <v>232908</v>
      </c>
      <c r="I22">
        <v>-79886</v>
      </c>
      <c r="J22" t="s">
        <v>37</v>
      </c>
      <c r="K22" t="s">
        <v>67</v>
      </c>
      <c r="L22" t="s">
        <v>49</v>
      </c>
      <c r="M22" t="s">
        <v>22</v>
      </c>
      <c r="N22" s="5">
        <f>Table4[[#This Row],[BudgetAmount]]/Table4[[#This Row],[Variance]]</f>
        <v>-3.9155045940465163</v>
      </c>
      <c r="O22" s="5" t="str">
        <f>TEXT(Table4[[#This Row],[Date]],"mmm")</f>
        <v>Dec</v>
      </c>
      <c r="P22" s="5">
        <f>ABS(Table4[[#This Row],[Variance]])</f>
        <v>79886</v>
      </c>
      <c r="Q22" s="5" t="str">
        <f>IF(Table4[[#This Row],[AB Variances ]]&gt;$P$2,"Anomaly","Normal")</f>
        <v>Anomaly</v>
      </c>
      <c r="R22" s="5">
        <f>SUMIFS(Table4[BudgetAmount],Table4[ActualExpense],"pending")</f>
        <v>0</v>
      </c>
    </row>
    <row r="23" spans="1:18">
      <c r="A23" t="s">
        <v>91</v>
      </c>
      <c r="B23" t="s">
        <v>92</v>
      </c>
      <c r="C23" t="s">
        <v>15</v>
      </c>
      <c r="D23" t="s">
        <v>61</v>
      </c>
      <c r="E23" t="s">
        <v>85</v>
      </c>
      <c r="F23" t="s">
        <v>86</v>
      </c>
      <c r="G23" s="2">
        <v>479744</v>
      </c>
      <c r="H23" s="1">
        <v>643000</v>
      </c>
      <c r="I23">
        <v>163256</v>
      </c>
      <c r="J23" t="s">
        <v>19</v>
      </c>
      <c r="K23" t="s">
        <v>20</v>
      </c>
      <c r="L23" t="s">
        <v>49</v>
      </c>
      <c r="M23" t="s">
        <v>22</v>
      </c>
      <c r="N23" s="5">
        <f>Table4[[#This Row],[BudgetAmount]]/Table4[[#This Row],[Variance]]</f>
        <v>2.9385995001715099</v>
      </c>
      <c r="O23" s="5" t="str">
        <f>TEXT(Table4[[#This Row],[Date]],"mmm")</f>
        <v>Apr</v>
      </c>
      <c r="P23" s="5">
        <f>ABS(Table4[[#This Row],[Variance]])</f>
        <v>163256</v>
      </c>
      <c r="Q23" s="5" t="str">
        <f>IF(Table4[[#This Row],[AB Variances ]]&gt;$P$2,"Anomaly","Normal")</f>
        <v>Anomaly</v>
      </c>
      <c r="R23" s="5">
        <f>SUMIFS(Table4[BudgetAmount],Table4[ActualExpense],"pending")</f>
        <v>0</v>
      </c>
    </row>
    <row r="24" spans="1:18">
      <c r="A24" t="s">
        <v>93</v>
      </c>
      <c r="B24" t="s">
        <v>94</v>
      </c>
      <c r="C24" t="s">
        <v>64</v>
      </c>
      <c r="D24" t="s">
        <v>26</v>
      </c>
      <c r="E24" t="s">
        <v>46</v>
      </c>
      <c r="F24" t="s">
        <v>47</v>
      </c>
      <c r="G24" s="2">
        <v>314882</v>
      </c>
      <c r="H24" s="1">
        <v>416714</v>
      </c>
      <c r="I24">
        <v>101832</v>
      </c>
      <c r="J24" t="s">
        <v>54</v>
      </c>
      <c r="K24" t="s">
        <v>48</v>
      </c>
      <c r="L24" t="s">
        <v>30</v>
      </c>
      <c r="M24" t="s">
        <v>42</v>
      </c>
      <c r="N24" s="5">
        <f>Table4[[#This Row],[BudgetAmount]]/Table4[[#This Row],[Variance]]</f>
        <v>3.0921714195930554</v>
      </c>
      <c r="O24" s="5" t="str">
        <f>TEXT(Table4[[#This Row],[Date]],"mmm")</f>
        <v>Jun</v>
      </c>
      <c r="P24" s="5">
        <f>ABS(Table4[[#This Row],[Variance]])</f>
        <v>101832</v>
      </c>
      <c r="Q24" s="5" t="str">
        <f>IF(Table4[[#This Row],[AB Variances ]]&gt;$P$2,"Anomaly","Normal")</f>
        <v>Anomaly</v>
      </c>
      <c r="R24" s="5">
        <f>SUMIFS(Table4[BudgetAmount],Table4[ActualExpense],"pending")</f>
        <v>0</v>
      </c>
    </row>
    <row r="25" spans="1:18">
      <c r="A25" t="s">
        <v>95</v>
      </c>
      <c r="B25" t="s">
        <v>96</v>
      </c>
      <c r="C25" t="s">
        <v>25</v>
      </c>
      <c r="D25" t="s">
        <v>34</v>
      </c>
      <c r="E25" t="s">
        <v>17</v>
      </c>
      <c r="F25" t="s">
        <v>18</v>
      </c>
      <c r="G25" s="2">
        <v>57397</v>
      </c>
      <c r="H25" s="1">
        <v>41986</v>
      </c>
      <c r="I25">
        <v>-15411</v>
      </c>
      <c r="J25" t="s">
        <v>54</v>
      </c>
      <c r="K25" t="s">
        <v>20</v>
      </c>
      <c r="L25" t="s">
        <v>30</v>
      </c>
      <c r="M25" t="s">
        <v>22</v>
      </c>
      <c r="N25" s="5">
        <f>Table4[[#This Row],[BudgetAmount]]/Table4[[#This Row],[Variance]]</f>
        <v>-3.7244176237752256</v>
      </c>
      <c r="O25" s="5" t="str">
        <f>TEXT(Table4[[#This Row],[Date]],"mmm")</f>
        <v>Jul</v>
      </c>
      <c r="P25" s="5">
        <f>ABS(Table4[[#This Row],[Variance]])</f>
        <v>15411</v>
      </c>
      <c r="Q25" s="5" t="str">
        <f>IF(Table4[[#This Row],[AB Variances ]]&gt;$P$2,"Anomaly","Normal")</f>
        <v>Normal</v>
      </c>
      <c r="R25" s="5">
        <f>SUMIFS(Table4[BudgetAmount],Table4[ActualExpense],"pending")</f>
        <v>0</v>
      </c>
    </row>
    <row r="26" spans="1:18">
      <c r="A26" t="s">
        <v>97</v>
      </c>
      <c r="B26" t="s">
        <v>98</v>
      </c>
      <c r="C26" t="s">
        <v>64</v>
      </c>
      <c r="D26" t="s">
        <v>34</v>
      </c>
      <c r="E26" t="s">
        <v>85</v>
      </c>
      <c r="F26" t="s">
        <v>86</v>
      </c>
      <c r="G26" s="2">
        <v>164797</v>
      </c>
      <c r="H26" s="1">
        <v>209561</v>
      </c>
      <c r="I26">
        <v>44764</v>
      </c>
      <c r="J26" t="s">
        <v>37</v>
      </c>
      <c r="K26" t="s">
        <v>29</v>
      </c>
      <c r="L26" t="s">
        <v>21</v>
      </c>
      <c r="M26" t="s">
        <v>42</v>
      </c>
      <c r="N26" s="5">
        <f>Table4[[#This Row],[BudgetAmount]]/Table4[[#This Row],[Variance]]</f>
        <v>3.6814627825931554</v>
      </c>
      <c r="O26" s="5" t="str">
        <f>TEXT(Table4[[#This Row],[Date]],"mmm")</f>
        <v>May</v>
      </c>
      <c r="P26" s="5">
        <f>ABS(Table4[[#This Row],[Variance]])</f>
        <v>44764</v>
      </c>
      <c r="Q26" s="5" t="str">
        <f>IF(Table4[[#This Row],[AB Variances ]]&gt;$P$2,"Anomaly","Normal")</f>
        <v>Anomaly</v>
      </c>
      <c r="R26" s="5">
        <f>SUMIFS(Table4[BudgetAmount],Table4[ActualExpense],"pending")</f>
        <v>0</v>
      </c>
    </row>
    <row r="27" spans="1:18">
      <c r="A27" t="s">
        <v>99</v>
      </c>
      <c r="B27" t="s">
        <v>100</v>
      </c>
      <c r="C27" t="s">
        <v>35</v>
      </c>
      <c r="D27" t="s">
        <v>61</v>
      </c>
      <c r="E27" t="s">
        <v>85</v>
      </c>
      <c r="F27" t="s">
        <v>86</v>
      </c>
      <c r="G27" s="2">
        <v>288727</v>
      </c>
      <c r="H27" s="1">
        <v>269826</v>
      </c>
      <c r="I27">
        <v>-18901</v>
      </c>
      <c r="J27" t="s">
        <v>37</v>
      </c>
      <c r="K27" t="s">
        <v>41</v>
      </c>
      <c r="L27" t="s">
        <v>30</v>
      </c>
      <c r="M27" t="s">
        <v>22</v>
      </c>
      <c r="N27" s="5">
        <f>Table4[[#This Row],[BudgetAmount]]/Table4[[#This Row],[Variance]]</f>
        <v>-15.275752605682239</v>
      </c>
      <c r="O27" s="5" t="str">
        <f>TEXT(Table4[[#This Row],[Date]],"mmm")</f>
        <v>Nov</v>
      </c>
      <c r="P27" s="5">
        <f>ABS(Table4[[#This Row],[Variance]])</f>
        <v>18901</v>
      </c>
      <c r="Q27" s="5" t="str">
        <f>IF(Table4[[#This Row],[AB Variances ]]&gt;$P$2,"Anomaly","Normal")</f>
        <v>Anomaly</v>
      </c>
      <c r="R27" s="5">
        <f>SUMIFS(Table4[BudgetAmount],Table4[ActualExpense],"pending")</f>
        <v>0</v>
      </c>
    </row>
    <row r="28" spans="1:18">
      <c r="A28" t="s">
        <v>101</v>
      </c>
      <c r="B28" t="s">
        <v>102</v>
      </c>
      <c r="C28" t="s">
        <v>33</v>
      </c>
      <c r="D28" t="s">
        <v>26</v>
      </c>
      <c r="E28" t="s">
        <v>35</v>
      </c>
      <c r="F28" t="s">
        <v>36</v>
      </c>
      <c r="G28" s="2">
        <v>346029</v>
      </c>
      <c r="H28" s="1">
        <v>433856</v>
      </c>
      <c r="I28">
        <v>87827</v>
      </c>
      <c r="J28" t="s">
        <v>54</v>
      </c>
      <c r="K28" t="s">
        <v>41</v>
      </c>
      <c r="L28" t="s">
        <v>21</v>
      </c>
      <c r="M28" t="s">
        <v>22</v>
      </c>
      <c r="N28" s="5">
        <f>Table4[[#This Row],[BudgetAmount]]/Table4[[#This Row],[Variance]]</f>
        <v>3.939893199130108</v>
      </c>
      <c r="O28" s="5" t="str">
        <f>TEXT(Table4[[#This Row],[Date]],"mmm")</f>
        <v>May</v>
      </c>
      <c r="P28" s="5">
        <f>ABS(Table4[[#This Row],[Variance]])</f>
        <v>87827</v>
      </c>
      <c r="Q28" s="5" t="str">
        <f>IF(Table4[[#This Row],[AB Variances ]]&gt;$P$2,"Anomaly","Normal")</f>
        <v>Anomaly</v>
      </c>
      <c r="R28" s="5">
        <f>SUMIFS(Table4[BudgetAmount],Table4[ActualExpense],"pending")</f>
        <v>0</v>
      </c>
    </row>
    <row r="29" spans="1:18">
      <c r="A29" t="s">
        <v>103</v>
      </c>
      <c r="B29" t="s">
        <v>104</v>
      </c>
      <c r="C29" t="s">
        <v>64</v>
      </c>
      <c r="D29" t="s">
        <v>61</v>
      </c>
      <c r="E29" t="s">
        <v>71</v>
      </c>
      <c r="F29" t="s">
        <v>72</v>
      </c>
      <c r="G29" s="2">
        <v>178133</v>
      </c>
      <c r="H29" s="1">
        <v>176779</v>
      </c>
      <c r="I29">
        <v>-1354</v>
      </c>
      <c r="J29" t="s">
        <v>19</v>
      </c>
      <c r="K29" t="s">
        <v>67</v>
      </c>
      <c r="L29" t="s">
        <v>30</v>
      </c>
      <c r="M29" t="s">
        <v>22</v>
      </c>
      <c r="N29" s="5">
        <f>Table4[[#This Row],[BudgetAmount]]/Table4[[#This Row],[Variance]]</f>
        <v>-131.56056129985228</v>
      </c>
      <c r="O29" s="5" t="str">
        <f>TEXT(Table4[[#This Row],[Date]],"mmm")</f>
        <v>Mar</v>
      </c>
      <c r="P29" s="5">
        <f>ABS(Table4[[#This Row],[Variance]])</f>
        <v>1354</v>
      </c>
      <c r="Q29" s="5" t="str">
        <f>IF(Table4[[#This Row],[AB Variances ]]&gt;$P$2,"Anomaly","Normal")</f>
        <v>Normal</v>
      </c>
      <c r="R29" s="5">
        <f>SUMIFS(Table4[BudgetAmount],Table4[ActualExpense],"pending")</f>
        <v>0</v>
      </c>
    </row>
    <row r="30" spans="1:18">
      <c r="A30" t="s">
        <v>105</v>
      </c>
      <c r="B30" t="s">
        <v>106</v>
      </c>
      <c r="C30" t="s">
        <v>25</v>
      </c>
      <c r="D30" t="s">
        <v>26</v>
      </c>
      <c r="E30" t="s">
        <v>46</v>
      </c>
      <c r="F30" t="s">
        <v>47</v>
      </c>
      <c r="G30" s="2">
        <v>248978</v>
      </c>
      <c r="H30" s="1">
        <v>222411</v>
      </c>
      <c r="I30">
        <v>-26567</v>
      </c>
      <c r="J30" t="s">
        <v>54</v>
      </c>
      <c r="K30" t="s">
        <v>41</v>
      </c>
      <c r="L30" t="s">
        <v>49</v>
      </c>
      <c r="M30" t="s">
        <v>42</v>
      </c>
      <c r="N30" s="5">
        <f>Table4[[#This Row],[BudgetAmount]]/Table4[[#This Row],[Variance]]</f>
        <v>-9.3717017352354421</v>
      </c>
      <c r="O30" s="5" t="str">
        <f>TEXT(Table4[[#This Row],[Date]],"mmm")</f>
        <v>Jan</v>
      </c>
      <c r="P30" s="5">
        <f>ABS(Table4[[#This Row],[Variance]])</f>
        <v>26567</v>
      </c>
      <c r="Q30" s="5" t="str">
        <f>IF(Table4[[#This Row],[AB Variances ]]&gt;$P$2,"Anomaly","Normal")</f>
        <v>Anomaly</v>
      </c>
      <c r="R30" s="5">
        <f>SUMIFS(Table4[BudgetAmount],Table4[ActualExpense],"pending")</f>
        <v>0</v>
      </c>
    </row>
    <row r="31" spans="1:18">
      <c r="A31" t="s">
        <v>107</v>
      </c>
      <c r="B31" t="s">
        <v>108</v>
      </c>
      <c r="C31" t="s">
        <v>15</v>
      </c>
      <c r="D31" t="s">
        <v>16</v>
      </c>
      <c r="E31" t="s">
        <v>27</v>
      </c>
      <c r="F31" t="s">
        <v>28</v>
      </c>
      <c r="G31" s="2">
        <v>469478</v>
      </c>
      <c r="H31" s="1">
        <v>376333</v>
      </c>
      <c r="I31">
        <v>-93145</v>
      </c>
      <c r="J31" t="s">
        <v>37</v>
      </c>
      <c r="K31" t="s">
        <v>41</v>
      </c>
      <c r="L31" t="s">
        <v>68</v>
      </c>
      <c r="M31" t="s">
        <v>42</v>
      </c>
      <c r="N31" s="5">
        <f>Table4[[#This Row],[BudgetAmount]]/Table4[[#This Row],[Variance]]</f>
        <v>-5.0402920178216757</v>
      </c>
      <c r="O31" s="5" t="str">
        <f>TEXT(Table4[[#This Row],[Date]],"mmm")</f>
        <v>Jun</v>
      </c>
      <c r="P31" s="5">
        <f>ABS(Table4[[#This Row],[Variance]])</f>
        <v>93145</v>
      </c>
      <c r="Q31" s="5" t="str">
        <f>IF(Table4[[#This Row],[AB Variances ]]&gt;$P$2,"Anomaly","Normal")</f>
        <v>Anomaly</v>
      </c>
      <c r="R31" s="5">
        <f>SUMIFS(Table4[BudgetAmount],Table4[ActualExpense],"pending")</f>
        <v>0</v>
      </c>
    </row>
    <row r="32" spans="1:18">
      <c r="A32" t="s">
        <v>109</v>
      </c>
      <c r="B32" t="s">
        <v>110</v>
      </c>
      <c r="C32" t="s">
        <v>33</v>
      </c>
      <c r="D32" t="s">
        <v>16</v>
      </c>
      <c r="E32" t="s">
        <v>85</v>
      </c>
      <c r="F32" t="s">
        <v>86</v>
      </c>
      <c r="G32" s="2">
        <v>252767</v>
      </c>
      <c r="H32" s="1">
        <v>235650</v>
      </c>
      <c r="I32">
        <v>-17117</v>
      </c>
      <c r="J32" t="s">
        <v>54</v>
      </c>
      <c r="K32" t="s">
        <v>29</v>
      </c>
      <c r="L32" t="s">
        <v>68</v>
      </c>
      <c r="M32" t="s">
        <v>42</v>
      </c>
      <c r="N32" s="5">
        <f>Table4[[#This Row],[BudgetAmount]]/Table4[[#This Row],[Variance]]</f>
        <v>-14.767015247999066</v>
      </c>
      <c r="O32" s="5" t="str">
        <f>TEXT(Table4[[#This Row],[Date]],"mmm")</f>
        <v>Jan</v>
      </c>
      <c r="P32" s="5">
        <f>ABS(Table4[[#This Row],[Variance]])</f>
        <v>17117</v>
      </c>
      <c r="Q32" s="5" t="str">
        <f>IF(Table4[[#This Row],[AB Variances ]]&gt;$P$2,"Anomaly","Normal")</f>
        <v>Normal</v>
      </c>
      <c r="R32" s="5">
        <f>SUMIFS(Table4[BudgetAmount],Table4[ActualExpense],"pending")</f>
        <v>0</v>
      </c>
    </row>
    <row r="33" spans="1:18">
      <c r="A33" t="s">
        <v>111</v>
      </c>
      <c r="B33" t="s">
        <v>112</v>
      </c>
      <c r="C33" t="s">
        <v>33</v>
      </c>
      <c r="D33" t="s">
        <v>16</v>
      </c>
      <c r="E33" t="s">
        <v>35</v>
      </c>
      <c r="F33" t="s">
        <v>36</v>
      </c>
      <c r="G33" s="2">
        <v>465075</v>
      </c>
      <c r="H33" s="1">
        <v>407244</v>
      </c>
      <c r="I33">
        <v>-57831</v>
      </c>
      <c r="J33" t="s">
        <v>54</v>
      </c>
      <c r="K33" t="s">
        <v>67</v>
      </c>
      <c r="L33" t="s">
        <v>68</v>
      </c>
      <c r="M33" t="s">
        <v>42</v>
      </c>
      <c r="N33" s="5">
        <f>Table4[[#This Row],[BudgetAmount]]/Table4[[#This Row],[Variance]]</f>
        <v>-8.0419671110650004</v>
      </c>
      <c r="O33" s="5" t="str">
        <f>TEXT(Table4[[#This Row],[Date]],"mmm")</f>
        <v>Mar</v>
      </c>
      <c r="P33" s="5">
        <f>ABS(Table4[[#This Row],[Variance]])</f>
        <v>57831</v>
      </c>
      <c r="Q33" s="5" t="str">
        <f>IF(Table4[[#This Row],[AB Variances ]]&gt;$P$2,"Anomaly","Normal")</f>
        <v>Anomaly</v>
      </c>
      <c r="R33" s="5">
        <f>SUMIFS(Table4[BudgetAmount],Table4[ActualExpense],"pending")</f>
        <v>0</v>
      </c>
    </row>
    <row r="34" spans="1:18">
      <c r="A34" t="s">
        <v>113</v>
      </c>
      <c r="B34" t="s">
        <v>114</v>
      </c>
      <c r="C34" t="s">
        <v>35</v>
      </c>
      <c r="D34" t="s">
        <v>40</v>
      </c>
      <c r="E34" t="s">
        <v>71</v>
      </c>
      <c r="F34" t="s">
        <v>72</v>
      </c>
      <c r="G34" s="2">
        <v>389251</v>
      </c>
      <c r="H34" s="1">
        <v>411785</v>
      </c>
      <c r="I34">
        <v>22534</v>
      </c>
      <c r="J34" t="s">
        <v>19</v>
      </c>
      <c r="K34" t="s">
        <v>67</v>
      </c>
      <c r="L34" t="s">
        <v>21</v>
      </c>
      <c r="M34" t="s">
        <v>22</v>
      </c>
      <c r="N34" s="5">
        <f>Table4[[#This Row],[BudgetAmount]]/Table4[[#This Row],[Variance]]</f>
        <v>17.273941599360967</v>
      </c>
      <c r="O34" s="5" t="str">
        <f>TEXT(Table4[[#This Row],[Date]],"mmm")</f>
        <v>Mar</v>
      </c>
      <c r="P34" s="5">
        <f>ABS(Table4[[#This Row],[Variance]])</f>
        <v>22534</v>
      </c>
      <c r="Q34" s="5" t="str">
        <f>IF(Table4[[#This Row],[AB Variances ]]&gt;$P$2,"Anomaly","Normal")</f>
        <v>Anomaly</v>
      </c>
      <c r="R34" s="5">
        <f>SUMIFS(Table4[BudgetAmount],Table4[ActualExpense],"pending")</f>
        <v>0</v>
      </c>
    </row>
    <row r="35" spans="1:18">
      <c r="A35" t="s">
        <v>115</v>
      </c>
      <c r="B35" t="s">
        <v>116</v>
      </c>
      <c r="C35" t="s">
        <v>45</v>
      </c>
      <c r="D35" t="s">
        <v>34</v>
      </c>
      <c r="E35" t="s">
        <v>35</v>
      </c>
      <c r="F35" t="s">
        <v>36</v>
      </c>
      <c r="G35" s="2">
        <v>287652</v>
      </c>
      <c r="H35" s="1">
        <v>366656</v>
      </c>
      <c r="I35">
        <v>79004</v>
      </c>
      <c r="J35" t="s">
        <v>54</v>
      </c>
      <c r="K35" t="s">
        <v>67</v>
      </c>
      <c r="L35" t="s">
        <v>49</v>
      </c>
      <c r="M35" t="s">
        <v>22</v>
      </c>
      <c r="N35" s="5">
        <f>Table4[[#This Row],[BudgetAmount]]/Table4[[#This Row],[Variance]]</f>
        <v>3.6409802035339984</v>
      </c>
      <c r="O35" s="5" t="str">
        <f>TEXT(Table4[[#This Row],[Date]],"mmm")</f>
        <v>Feb</v>
      </c>
      <c r="P35" s="5">
        <f>ABS(Table4[[#This Row],[Variance]])</f>
        <v>79004</v>
      </c>
      <c r="Q35" s="5" t="str">
        <f>IF(Table4[[#This Row],[AB Variances ]]&gt;$P$2,"Anomaly","Normal")</f>
        <v>Anomaly</v>
      </c>
      <c r="R35" s="5">
        <f>SUMIFS(Table4[BudgetAmount],Table4[ActualExpense],"pending")</f>
        <v>0</v>
      </c>
    </row>
    <row r="36" spans="1:18">
      <c r="A36" t="s">
        <v>117</v>
      </c>
      <c r="B36" t="s">
        <v>118</v>
      </c>
      <c r="C36" t="s">
        <v>15</v>
      </c>
      <c r="D36" t="s">
        <v>16</v>
      </c>
      <c r="E36" t="s">
        <v>85</v>
      </c>
      <c r="F36" t="s">
        <v>86</v>
      </c>
      <c r="G36" s="2">
        <v>142455</v>
      </c>
      <c r="H36" s="1">
        <v>168897</v>
      </c>
      <c r="I36">
        <v>26442</v>
      </c>
      <c r="J36" t="s">
        <v>19</v>
      </c>
      <c r="K36" t="s">
        <v>41</v>
      </c>
      <c r="L36" t="s">
        <v>21</v>
      </c>
      <c r="M36" t="s">
        <v>42</v>
      </c>
      <c r="N36" s="5">
        <f>Table4[[#This Row],[BudgetAmount]]/Table4[[#This Row],[Variance]]</f>
        <v>5.3874517812570906</v>
      </c>
      <c r="O36" s="5" t="str">
        <f>TEXT(Table4[[#This Row],[Date]],"mmm")</f>
        <v>Feb</v>
      </c>
      <c r="P36" s="5">
        <f>ABS(Table4[[#This Row],[Variance]])</f>
        <v>26442</v>
      </c>
      <c r="Q36" s="5" t="str">
        <f>IF(Table4[[#This Row],[AB Variances ]]&gt;$P$2,"Anomaly","Normal")</f>
        <v>Anomaly</v>
      </c>
      <c r="R36" s="5">
        <f>SUMIFS(Table4[BudgetAmount],Table4[ActualExpense],"pending")</f>
        <v>0</v>
      </c>
    </row>
    <row r="37" spans="1:18">
      <c r="A37" t="s">
        <v>119</v>
      </c>
      <c r="B37" t="s">
        <v>120</v>
      </c>
      <c r="C37" t="s">
        <v>25</v>
      </c>
      <c r="D37" t="s">
        <v>16</v>
      </c>
      <c r="E37" t="s">
        <v>85</v>
      </c>
      <c r="F37" t="s">
        <v>86</v>
      </c>
      <c r="G37" s="2">
        <v>294173</v>
      </c>
      <c r="H37" s="1">
        <v>351730</v>
      </c>
      <c r="I37">
        <v>57557</v>
      </c>
      <c r="J37" t="s">
        <v>19</v>
      </c>
      <c r="K37" t="s">
        <v>41</v>
      </c>
      <c r="L37" t="s">
        <v>30</v>
      </c>
      <c r="M37" t="s">
        <v>22</v>
      </c>
      <c r="N37" s="5">
        <f>Table4[[#This Row],[BudgetAmount]]/Table4[[#This Row],[Variance]]</f>
        <v>5.1109856316347271</v>
      </c>
      <c r="O37" s="5" t="str">
        <f>TEXT(Table4[[#This Row],[Date]],"mmm")</f>
        <v>Jun</v>
      </c>
      <c r="P37" s="5">
        <f>ABS(Table4[[#This Row],[Variance]])</f>
        <v>57557</v>
      </c>
      <c r="Q37" s="5" t="str">
        <f>IF(Table4[[#This Row],[AB Variances ]]&gt;$P$2,"Anomaly","Normal")</f>
        <v>Anomaly</v>
      </c>
      <c r="R37" s="5">
        <f>SUMIFS(Table4[BudgetAmount],Table4[ActualExpense],"pending")</f>
        <v>0</v>
      </c>
    </row>
    <row r="38" spans="1:18">
      <c r="A38" t="s">
        <v>121</v>
      </c>
      <c r="B38" t="s">
        <v>122</v>
      </c>
      <c r="C38" t="s">
        <v>64</v>
      </c>
      <c r="D38" t="s">
        <v>26</v>
      </c>
      <c r="E38" t="s">
        <v>85</v>
      </c>
      <c r="F38" t="s">
        <v>86</v>
      </c>
      <c r="G38" s="2">
        <v>324101</v>
      </c>
      <c r="H38" s="1">
        <v>378020</v>
      </c>
      <c r="I38">
        <v>53919</v>
      </c>
      <c r="J38" t="s">
        <v>19</v>
      </c>
      <c r="K38" t="s">
        <v>48</v>
      </c>
      <c r="L38" t="s">
        <v>21</v>
      </c>
      <c r="M38" t="s">
        <v>22</v>
      </c>
      <c r="N38" s="5">
        <f>Table4[[#This Row],[BudgetAmount]]/Table4[[#This Row],[Variance]]</f>
        <v>6.0108867004210023</v>
      </c>
      <c r="O38" s="5" t="str">
        <f>TEXT(Table4[[#This Row],[Date]],"mmm")</f>
        <v>Aug</v>
      </c>
      <c r="P38" s="5">
        <f>ABS(Table4[[#This Row],[Variance]])</f>
        <v>53919</v>
      </c>
      <c r="Q38" s="5" t="str">
        <f>IF(Table4[[#This Row],[AB Variances ]]&gt;$P$2,"Anomaly","Normal")</f>
        <v>Anomaly</v>
      </c>
      <c r="R38" s="5">
        <f>SUMIFS(Table4[BudgetAmount],Table4[ActualExpense],"pending")</f>
        <v>0</v>
      </c>
    </row>
    <row r="39" spans="1:18">
      <c r="A39" t="s">
        <v>123</v>
      </c>
      <c r="B39" t="s">
        <v>124</v>
      </c>
      <c r="C39" t="s">
        <v>45</v>
      </c>
      <c r="D39" t="s">
        <v>16</v>
      </c>
      <c r="E39" t="s">
        <v>85</v>
      </c>
      <c r="F39" t="s">
        <v>86</v>
      </c>
      <c r="G39" s="2">
        <v>261167</v>
      </c>
      <c r="H39" s="1">
        <v>283565</v>
      </c>
      <c r="I39">
        <v>22398</v>
      </c>
      <c r="J39" t="s">
        <v>37</v>
      </c>
      <c r="K39" t="s">
        <v>41</v>
      </c>
      <c r="L39" t="s">
        <v>30</v>
      </c>
      <c r="M39" t="s">
        <v>22</v>
      </c>
      <c r="N39" s="5">
        <f>Table4[[#This Row],[BudgetAmount]]/Table4[[#This Row],[Variance]]</f>
        <v>11.660282168050719</v>
      </c>
      <c r="O39" s="5" t="str">
        <f>TEXT(Table4[[#This Row],[Date]],"mmm")</f>
        <v>Sep</v>
      </c>
      <c r="P39" s="5">
        <f>ABS(Table4[[#This Row],[Variance]])</f>
        <v>22398</v>
      </c>
      <c r="Q39" s="5" t="str">
        <f>IF(Table4[[#This Row],[AB Variances ]]&gt;$P$2,"Anomaly","Normal")</f>
        <v>Anomaly</v>
      </c>
      <c r="R39" s="5">
        <f>SUMIFS(Table4[BudgetAmount],Table4[ActualExpense],"pending")</f>
        <v>0</v>
      </c>
    </row>
    <row r="40" spans="1:18">
      <c r="A40" t="s">
        <v>125</v>
      </c>
      <c r="B40" t="s">
        <v>126</v>
      </c>
      <c r="C40" t="s">
        <v>35</v>
      </c>
      <c r="D40" t="s">
        <v>34</v>
      </c>
      <c r="E40" t="s">
        <v>17</v>
      </c>
      <c r="F40" t="s">
        <v>18</v>
      </c>
      <c r="G40" s="2">
        <v>219027</v>
      </c>
      <c r="H40" s="1">
        <v>297016</v>
      </c>
      <c r="I40">
        <v>77989</v>
      </c>
      <c r="J40" t="s">
        <v>37</v>
      </c>
      <c r="K40" t="s">
        <v>67</v>
      </c>
      <c r="L40" t="s">
        <v>68</v>
      </c>
      <c r="M40" t="s">
        <v>22</v>
      </c>
      <c r="N40" s="5">
        <f>Table4[[#This Row],[BudgetAmount]]/Table4[[#This Row],[Variance]]</f>
        <v>2.8084345228173202</v>
      </c>
      <c r="O40" s="5" t="str">
        <f>TEXT(Table4[[#This Row],[Date]],"mmm")</f>
        <v>Nov</v>
      </c>
      <c r="P40" s="5">
        <f>ABS(Table4[[#This Row],[Variance]])</f>
        <v>77989</v>
      </c>
      <c r="Q40" s="5" t="str">
        <f>IF(Table4[[#This Row],[AB Variances ]]&gt;$P$2,"Anomaly","Normal")</f>
        <v>Anomaly</v>
      </c>
      <c r="R40" s="5">
        <f>SUMIFS(Table4[BudgetAmount],Table4[ActualExpense],"pending")</f>
        <v>0</v>
      </c>
    </row>
    <row r="41" spans="1:18">
      <c r="A41" t="s">
        <v>127</v>
      </c>
      <c r="B41" t="s">
        <v>128</v>
      </c>
      <c r="C41" t="s">
        <v>25</v>
      </c>
      <c r="D41" t="s">
        <v>34</v>
      </c>
      <c r="E41" t="s">
        <v>71</v>
      </c>
      <c r="F41" t="s">
        <v>72</v>
      </c>
      <c r="G41" s="2">
        <v>188396</v>
      </c>
      <c r="H41" s="1">
        <v>201574</v>
      </c>
      <c r="I41">
        <v>13178</v>
      </c>
      <c r="J41" t="s">
        <v>37</v>
      </c>
      <c r="K41" t="s">
        <v>29</v>
      </c>
      <c r="L41" t="s">
        <v>30</v>
      </c>
      <c r="M41" t="s">
        <v>22</v>
      </c>
      <c r="N41" s="5">
        <f>Table4[[#This Row],[BudgetAmount]]/Table4[[#This Row],[Variance]]</f>
        <v>14.296251327970861</v>
      </c>
      <c r="O41" s="5" t="str">
        <f>TEXT(Table4[[#This Row],[Date]],"mmm")</f>
        <v>Apr</v>
      </c>
      <c r="P41" s="5">
        <f>ABS(Table4[[#This Row],[Variance]])</f>
        <v>13178</v>
      </c>
      <c r="Q41" s="5" t="str">
        <f>IF(Table4[[#This Row],[AB Variances ]]&gt;$P$2,"Anomaly","Normal")</f>
        <v>Normal</v>
      </c>
      <c r="R41" s="5">
        <f>SUMIFS(Table4[BudgetAmount],Table4[ActualExpense],"pending")</f>
        <v>0</v>
      </c>
    </row>
    <row r="42" spans="1:18">
      <c r="A42" t="s">
        <v>129</v>
      </c>
      <c r="B42" t="s">
        <v>130</v>
      </c>
      <c r="C42" t="s">
        <v>64</v>
      </c>
      <c r="D42" t="s">
        <v>61</v>
      </c>
      <c r="E42" t="s">
        <v>17</v>
      </c>
      <c r="F42" t="s">
        <v>18</v>
      </c>
      <c r="G42" s="2">
        <v>329087</v>
      </c>
      <c r="H42" s="1">
        <v>436751</v>
      </c>
      <c r="I42">
        <v>107664</v>
      </c>
      <c r="J42" t="s">
        <v>54</v>
      </c>
      <c r="K42" t="s">
        <v>41</v>
      </c>
      <c r="L42" t="s">
        <v>21</v>
      </c>
      <c r="M42" t="s">
        <v>42</v>
      </c>
      <c r="N42" s="5">
        <f>Table4[[#This Row],[BudgetAmount]]/Table4[[#This Row],[Variance]]</f>
        <v>3.0566113092584337</v>
      </c>
      <c r="O42" s="5" t="str">
        <f>TEXT(Table4[[#This Row],[Date]],"mmm")</f>
        <v>Feb</v>
      </c>
      <c r="P42" s="5">
        <f>ABS(Table4[[#This Row],[Variance]])</f>
        <v>107664</v>
      </c>
      <c r="Q42" s="5" t="str">
        <f>IF(Table4[[#This Row],[AB Variances ]]&gt;$P$2,"Anomaly","Normal")</f>
        <v>Anomaly</v>
      </c>
      <c r="R42" s="5">
        <f>SUMIFS(Table4[BudgetAmount],Table4[ActualExpense],"pending")</f>
        <v>0</v>
      </c>
    </row>
    <row r="43" spans="1:18">
      <c r="A43" t="s">
        <v>131</v>
      </c>
      <c r="B43" t="s">
        <v>132</v>
      </c>
      <c r="C43" t="s">
        <v>64</v>
      </c>
      <c r="D43" t="s">
        <v>26</v>
      </c>
      <c r="E43" t="s">
        <v>27</v>
      </c>
      <c r="F43" t="s">
        <v>28</v>
      </c>
      <c r="G43" s="2">
        <v>276122</v>
      </c>
      <c r="H43" s="1">
        <v>235480</v>
      </c>
      <c r="I43">
        <v>-40642</v>
      </c>
      <c r="J43" t="s">
        <v>54</v>
      </c>
      <c r="K43" t="s">
        <v>67</v>
      </c>
      <c r="L43" t="s">
        <v>68</v>
      </c>
      <c r="M43" t="s">
        <v>22</v>
      </c>
      <c r="N43" s="5">
        <f>Table4[[#This Row],[BudgetAmount]]/Table4[[#This Row],[Variance]]</f>
        <v>-6.7940062004822597</v>
      </c>
      <c r="O43" s="5" t="str">
        <f>TEXT(Table4[[#This Row],[Date]],"mmm")</f>
        <v>Mar</v>
      </c>
      <c r="P43" s="5">
        <f>ABS(Table4[[#This Row],[Variance]])</f>
        <v>40642</v>
      </c>
      <c r="Q43" s="5" t="str">
        <f>IF(Table4[[#This Row],[AB Variances ]]&gt;$P$2,"Anomaly","Normal")</f>
        <v>Anomaly</v>
      </c>
      <c r="R43" s="5">
        <f>SUMIFS(Table4[BudgetAmount],Table4[ActualExpense],"pending")</f>
        <v>0</v>
      </c>
    </row>
    <row r="44" spans="1:18">
      <c r="A44" t="s">
        <v>133</v>
      </c>
      <c r="B44" t="s">
        <v>134</v>
      </c>
      <c r="C44" t="s">
        <v>35</v>
      </c>
      <c r="D44" t="s">
        <v>61</v>
      </c>
      <c r="E44" t="s">
        <v>85</v>
      </c>
      <c r="F44" t="s">
        <v>86</v>
      </c>
      <c r="G44" s="2">
        <v>209503</v>
      </c>
      <c r="H44" s="1">
        <v>264294</v>
      </c>
      <c r="I44">
        <v>54791</v>
      </c>
      <c r="J44" t="s">
        <v>54</v>
      </c>
      <c r="K44" t="s">
        <v>29</v>
      </c>
      <c r="L44" t="s">
        <v>21</v>
      </c>
      <c r="M44" t="s">
        <v>22</v>
      </c>
      <c r="N44" s="5">
        <f>Table4[[#This Row],[BudgetAmount]]/Table4[[#This Row],[Variance]]</f>
        <v>3.8236754211458086</v>
      </c>
      <c r="O44" s="5" t="str">
        <f>TEXT(Table4[[#This Row],[Date]],"mmm")</f>
        <v>Jan</v>
      </c>
      <c r="P44" s="5">
        <f>ABS(Table4[[#This Row],[Variance]])</f>
        <v>54791</v>
      </c>
      <c r="Q44" s="5" t="str">
        <f>IF(Table4[[#This Row],[AB Variances ]]&gt;$P$2,"Anomaly","Normal")</f>
        <v>Anomaly</v>
      </c>
      <c r="R44" s="5">
        <f>SUMIFS(Table4[BudgetAmount],Table4[ActualExpense],"pending")</f>
        <v>0</v>
      </c>
    </row>
    <row r="45" spans="1:18">
      <c r="A45" t="s">
        <v>135</v>
      </c>
      <c r="B45" t="s">
        <v>136</v>
      </c>
      <c r="C45" t="s">
        <v>64</v>
      </c>
      <c r="D45" t="s">
        <v>34</v>
      </c>
      <c r="E45" t="s">
        <v>85</v>
      </c>
      <c r="F45" t="s">
        <v>86</v>
      </c>
      <c r="G45" s="2">
        <v>300196</v>
      </c>
      <c r="H45" s="1">
        <v>342233</v>
      </c>
      <c r="I45">
        <v>42037</v>
      </c>
      <c r="J45" t="s">
        <v>54</v>
      </c>
      <c r="K45" t="s">
        <v>48</v>
      </c>
      <c r="L45" t="s">
        <v>68</v>
      </c>
      <c r="M45" t="s">
        <v>42</v>
      </c>
      <c r="N45" s="5">
        <f>Table4[[#This Row],[BudgetAmount]]/Table4[[#This Row],[Variance]]</f>
        <v>7.1412327235530606</v>
      </c>
      <c r="O45" s="5" t="str">
        <f>TEXT(Table4[[#This Row],[Date]],"mmm")</f>
        <v>Jul</v>
      </c>
      <c r="P45" s="5">
        <f>ABS(Table4[[#This Row],[Variance]])</f>
        <v>42037</v>
      </c>
      <c r="Q45" s="5" t="str">
        <f>IF(Table4[[#This Row],[AB Variances ]]&gt;$P$2,"Anomaly","Normal")</f>
        <v>Anomaly</v>
      </c>
      <c r="R45" s="5">
        <f>SUMIFS(Table4[BudgetAmount],Table4[ActualExpense],"pending")</f>
        <v>0</v>
      </c>
    </row>
    <row r="46" spans="1:18">
      <c r="A46" t="s">
        <v>137</v>
      </c>
      <c r="B46" t="s">
        <v>138</v>
      </c>
      <c r="C46" t="s">
        <v>15</v>
      </c>
      <c r="D46" t="s">
        <v>16</v>
      </c>
      <c r="E46" t="s">
        <v>17</v>
      </c>
      <c r="F46" t="s">
        <v>18</v>
      </c>
      <c r="G46" s="2">
        <v>465382</v>
      </c>
      <c r="H46" s="1">
        <v>607591</v>
      </c>
      <c r="I46">
        <v>142209</v>
      </c>
      <c r="J46" t="s">
        <v>37</v>
      </c>
      <c r="K46" t="s">
        <v>67</v>
      </c>
      <c r="L46" t="s">
        <v>21</v>
      </c>
      <c r="M46" t="s">
        <v>22</v>
      </c>
      <c r="N46" s="5">
        <f>Table4[[#This Row],[BudgetAmount]]/Table4[[#This Row],[Variance]]</f>
        <v>3.27252142972667</v>
      </c>
      <c r="O46" s="5" t="str">
        <f>TEXT(Table4[[#This Row],[Date]],"mmm")</f>
        <v>Dec</v>
      </c>
      <c r="P46" s="5">
        <f>ABS(Table4[[#This Row],[Variance]])</f>
        <v>142209</v>
      </c>
      <c r="Q46" s="5" t="str">
        <f>IF(Table4[[#This Row],[AB Variances ]]&gt;$P$2,"Anomaly","Normal")</f>
        <v>Anomaly</v>
      </c>
      <c r="R46" s="5">
        <f>SUMIFS(Table4[BudgetAmount],Table4[ActualExpense],"pending")</f>
        <v>0</v>
      </c>
    </row>
    <row r="47" spans="1:18">
      <c r="A47" t="s">
        <v>139</v>
      </c>
      <c r="B47" t="s">
        <v>140</v>
      </c>
      <c r="C47" t="s">
        <v>33</v>
      </c>
      <c r="D47" t="s">
        <v>61</v>
      </c>
      <c r="E47" t="s">
        <v>27</v>
      </c>
      <c r="F47" t="s">
        <v>28</v>
      </c>
      <c r="G47" s="2">
        <v>331877</v>
      </c>
      <c r="H47" s="1">
        <v>320916</v>
      </c>
      <c r="I47">
        <v>-10961</v>
      </c>
      <c r="J47" t="s">
        <v>54</v>
      </c>
      <c r="K47" t="s">
        <v>20</v>
      </c>
      <c r="L47" t="s">
        <v>30</v>
      </c>
      <c r="M47" t="s">
        <v>42</v>
      </c>
      <c r="N47" s="5">
        <f>Table4[[#This Row],[BudgetAmount]]/Table4[[#This Row],[Variance]]</f>
        <v>-30.277985585256818</v>
      </c>
      <c r="O47" s="5" t="str">
        <f>TEXT(Table4[[#This Row],[Date]],"mmm")</f>
        <v>May</v>
      </c>
      <c r="P47" s="5">
        <f>ABS(Table4[[#This Row],[Variance]])</f>
        <v>10961</v>
      </c>
      <c r="Q47" s="5" t="str">
        <f>IF(Table4[[#This Row],[AB Variances ]]&gt;$P$2,"Anomaly","Normal")</f>
        <v>Normal</v>
      </c>
      <c r="R47" s="5">
        <f>SUMIFS(Table4[BudgetAmount],Table4[ActualExpense],"pending")</f>
        <v>0</v>
      </c>
    </row>
    <row r="48" spans="1:18">
      <c r="A48" t="s">
        <v>141</v>
      </c>
      <c r="B48" t="s">
        <v>142</v>
      </c>
      <c r="C48" t="s">
        <v>33</v>
      </c>
      <c r="D48" t="s">
        <v>34</v>
      </c>
      <c r="E48" t="s">
        <v>71</v>
      </c>
      <c r="F48" t="s">
        <v>72</v>
      </c>
      <c r="G48" s="2">
        <v>446536</v>
      </c>
      <c r="H48" s="1">
        <v>375249</v>
      </c>
      <c r="I48">
        <v>-71287</v>
      </c>
      <c r="J48" t="s">
        <v>37</v>
      </c>
      <c r="K48" t="s">
        <v>41</v>
      </c>
      <c r="L48" t="s">
        <v>68</v>
      </c>
      <c r="M48" t="s">
        <v>22</v>
      </c>
      <c r="N48" s="5">
        <f>Table4[[#This Row],[BudgetAmount]]/Table4[[#This Row],[Variance]]</f>
        <v>-6.2639190876316864</v>
      </c>
      <c r="O48" s="5" t="str">
        <f>TEXT(Table4[[#This Row],[Date]],"mmm")</f>
        <v>Jul</v>
      </c>
      <c r="P48" s="5">
        <f>ABS(Table4[[#This Row],[Variance]])</f>
        <v>71287</v>
      </c>
      <c r="Q48" s="5" t="str">
        <f>IF(Table4[[#This Row],[AB Variances ]]&gt;$P$2,"Anomaly","Normal")</f>
        <v>Anomaly</v>
      </c>
      <c r="R48" s="5">
        <f>SUMIFS(Table4[BudgetAmount],Table4[ActualExpense],"pending")</f>
        <v>0</v>
      </c>
    </row>
    <row r="49" spans="1:18">
      <c r="A49" t="s">
        <v>143</v>
      </c>
      <c r="B49" t="s">
        <v>144</v>
      </c>
      <c r="C49" t="s">
        <v>15</v>
      </c>
      <c r="D49" t="s">
        <v>16</v>
      </c>
      <c r="E49" t="s">
        <v>85</v>
      </c>
      <c r="F49" t="s">
        <v>86</v>
      </c>
      <c r="G49" s="2">
        <v>394609</v>
      </c>
      <c r="H49" s="1">
        <v>377928</v>
      </c>
      <c r="I49">
        <v>-16681</v>
      </c>
      <c r="J49" t="s">
        <v>19</v>
      </c>
      <c r="K49" t="s">
        <v>67</v>
      </c>
      <c r="L49" t="s">
        <v>68</v>
      </c>
      <c r="M49" t="s">
        <v>22</v>
      </c>
      <c r="N49" s="5">
        <f>Table4[[#This Row],[BudgetAmount]]/Table4[[#This Row],[Variance]]</f>
        <v>-23.656195671722319</v>
      </c>
      <c r="O49" s="5" t="str">
        <f>TEXT(Table4[[#This Row],[Date]],"mmm")</f>
        <v>Apr</v>
      </c>
      <c r="P49" s="5">
        <f>ABS(Table4[[#This Row],[Variance]])</f>
        <v>16681</v>
      </c>
      <c r="Q49" s="5" t="str">
        <f>IF(Table4[[#This Row],[AB Variances ]]&gt;$P$2,"Anomaly","Normal")</f>
        <v>Normal</v>
      </c>
      <c r="R49" s="5">
        <f>SUMIFS(Table4[BudgetAmount],Table4[ActualExpense],"pending")</f>
        <v>0</v>
      </c>
    </row>
    <row r="50" spans="1:18">
      <c r="A50" t="s">
        <v>145</v>
      </c>
      <c r="B50" t="s">
        <v>146</v>
      </c>
      <c r="C50" t="s">
        <v>64</v>
      </c>
      <c r="D50" t="s">
        <v>61</v>
      </c>
      <c r="E50" t="s">
        <v>17</v>
      </c>
      <c r="F50" t="s">
        <v>18</v>
      </c>
      <c r="G50" s="2">
        <v>204123</v>
      </c>
      <c r="H50" s="1">
        <v>197966</v>
      </c>
      <c r="I50">
        <v>-6157</v>
      </c>
      <c r="J50" t="s">
        <v>37</v>
      </c>
      <c r="K50" t="s">
        <v>41</v>
      </c>
      <c r="L50" t="s">
        <v>68</v>
      </c>
      <c r="M50" t="s">
        <v>42</v>
      </c>
      <c r="N50" s="5">
        <f>Table4[[#This Row],[BudgetAmount]]/Table4[[#This Row],[Variance]]</f>
        <v>-33.152996589248012</v>
      </c>
      <c r="O50" s="5" t="str">
        <f>TEXT(Table4[[#This Row],[Date]],"mmm")</f>
        <v>Nov</v>
      </c>
      <c r="P50" s="5">
        <f>ABS(Table4[[#This Row],[Variance]])</f>
        <v>6157</v>
      </c>
      <c r="Q50" s="5" t="str">
        <f>IF(Table4[[#This Row],[AB Variances ]]&gt;$P$2,"Anomaly","Normal")</f>
        <v>Normal</v>
      </c>
      <c r="R50" s="5">
        <f>SUMIFS(Table4[BudgetAmount],Table4[ActualExpense],"pending")</f>
        <v>0</v>
      </c>
    </row>
    <row r="51" spans="1:18">
      <c r="A51" t="s">
        <v>147</v>
      </c>
      <c r="B51" t="s">
        <v>148</v>
      </c>
      <c r="C51" t="s">
        <v>25</v>
      </c>
      <c r="D51" t="s">
        <v>40</v>
      </c>
      <c r="E51" t="s">
        <v>17</v>
      </c>
      <c r="F51" t="s">
        <v>18</v>
      </c>
      <c r="G51" s="2">
        <v>178911</v>
      </c>
      <c r="H51" s="1">
        <v>147607</v>
      </c>
      <c r="I51">
        <v>-31304</v>
      </c>
      <c r="J51" t="s">
        <v>19</v>
      </c>
      <c r="K51" t="s">
        <v>48</v>
      </c>
      <c r="L51" t="s">
        <v>21</v>
      </c>
      <c r="M51" t="s">
        <v>22</v>
      </c>
      <c r="N51" s="5">
        <f>Table4[[#This Row],[BudgetAmount]]/Table4[[#This Row],[Variance]]</f>
        <v>-5.7152760030667009</v>
      </c>
      <c r="O51" s="5" t="str">
        <f>TEXT(Table4[[#This Row],[Date]],"mmm")</f>
        <v>Oct</v>
      </c>
      <c r="P51" s="5">
        <f>ABS(Table4[[#This Row],[Variance]])</f>
        <v>31304</v>
      </c>
      <c r="Q51" s="5" t="str">
        <f>IF(Table4[[#This Row],[AB Variances ]]&gt;$P$2,"Anomaly","Normal")</f>
        <v>Anomaly</v>
      </c>
      <c r="R51" s="5">
        <f>SUMIFS(Table4[BudgetAmount],Table4[ActualExpense],"pending")</f>
        <v>0</v>
      </c>
    </row>
    <row r="52" spans="1:18">
      <c r="A52" t="s">
        <v>149</v>
      </c>
      <c r="B52" t="s">
        <v>150</v>
      </c>
      <c r="C52" t="s">
        <v>15</v>
      </c>
      <c r="D52" t="s">
        <v>26</v>
      </c>
      <c r="E52" t="s">
        <v>71</v>
      </c>
      <c r="F52" t="s">
        <v>72</v>
      </c>
      <c r="G52" s="2">
        <v>482161</v>
      </c>
      <c r="H52" s="1">
        <v>644311</v>
      </c>
      <c r="I52">
        <v>162150</v>
      </c>
      <c r="J52" t="s">
        <v>54</v>
      </c>
      <c r="K52" t="s">
        <v>48</v>
      </c>
      <c r="L52" t="s">
        <v>68</v>
      </c>
      <c r="M52" t="s">
        <v>42</v>
      </c>
      <c r="N52" s="5">
        <f>Table4[[#This Row],[BudgetAmount]]/Table4[[#This Row],[Variance]]</f>
        <v>2.9735491828553808</v>
      </c>
      <c r="O52" s="5" t="str">
        <f>TEXT(Table4[[#This Row],[Date]],"mmm")</f>
        <v>May</v>
      </c>
      <c r="P52" s="5">
        <f>ABS(Table4[[#This Row],[Variance]])</f>
        <v>162150</v>
      </c>
      <c r="Q52" s="5" t="str">
        <f>IF(Table4[[#This Row],[AB Variances ]]&gt;$P$2,"Anomaly","Normal")</f>
        <v>Anomaly</v>
      </c>
      <c r="R52" s="5">
        <f>SUMIFS(Table4[BudgetAmount],Table4[ActualExpense],"pending")</f>
        <v>0</v>
      </c>
    </row>
    <row r="53" spans="1:18">
      <c r="A53" t="s">
        <v>151</v>
      </c>
      <c r="B53" t="s">
        <v>152</v>
      </c>
      <c r="C53" t="s">
        <v>64</v>
      </c>
      <c r="D53" t="s">
        <v>34</v>
      </c>
      <c r="E53" t="s">
        <v>71</v>
      </c>
      <c r="F53" t="s">
        <v>72</v>
      </c>
      <c r="G53" s="2">
        <v>108826</v>
      </c>
      <c r="H53" s="1">
        <v>105940</v>
      </c>
      <c r="I53">
        <v>-2886</v>
      </c>
      <c r="J53" t="s">
        <v>37</v>
      </c>
      <c r="K53" t="s">
        <v>67</v>
      </c>
      <c r="L53" t="s">
        <v>30</v>
      </c>
      <c r="M53" t="s">
        <v>22</v>
      </c>
      <c r="N53" s="5">
        <f>Table4[[#This Row],[BudgetAmount]]/Table4[[#This Row],[Variance]]</f>
        <v>-37.708246708246705</v>
      </c>
      <c r="O53" s="5" t="str">
        <f>TEXT(Table4[[#This Row],[Date]],"mmm")</f>
        <v>Sep</v>
      </c>
      <c r="P53" s="5">
        <f>ABS(Table4[[#This Row],[Variance]])</f>
        <v>2886</v>
      </c>
      <c r="Q53" s="5" t="str">
        <f>IF(Table4[[#This Row],[AB Variances ]]&gt;$P$2,"Anomaly","Normal")</f>
        <v>Normal</v>
      </c>
      <c r="R53" s="5">
        <f>SUMIFS(Table4[BudgetAmount],Table4[ActualExpense],"pending")</f>
        <v>0</v>
      </c>
    </row>
    <row r="54" spans="1:18">
      <c r="A54" t="s">
        <v>153</v>
      </c>
      <c r="B54" t="s">
        <v>154</v>
      </c>
      <c r="C54" t="s">
        <v>15</v>
      </c>
      <c r="D54" t="s">
        <v>34</v>
      </c>
      <c r="E54" t="s">
        <v>27</v>
      </c>
      <c r="F54" t="s">
        <v>28</v>
      </c>
      <c r="G54" s="2">
        <v>493612</v>
      </c>
      <c r="H54" s="1">
        <v>666368</v>
      </c>
      <c r="I54">
        <v>172756</v>
      </c>
      <c r="J54" t="s">
        <v>54</v>
      </c>
      <c r="K54" t="s">
        <v>48</v>
      </c>
      <c r="L54" t="s">
        <v>21</v>
      </c>
      <c r="M54" t="s">
        <v>42</v>
      </c>
      <c r="N54" s="5">
        <f>Table4[[#This Row],[BudgetAmount]]/Table4[[#This Row],[Variance]]</f>
        <v>2.8572784736854291</v>
      </c>
      <c r="O54" s="5" t="str">
        <f>TEXT(Table4[[#This Row],[Date]],"mmm")</f>
        <v>Feb</v>
      </c>
      <c r="P54" s="5">
        <f>ABS(Table4[[#This Row],[Variance]])</f>
        <v>172756</v>
      </c>
      <c r="Q54" s="5" t="str">
        <f>IF(Table4[[#This Row],[AB Variances ]]&gt;$P$2,"Anomaly","Normal")</f>
        <v>Anomaly</v>
      </c>
      <c r="R54" s="5">
        <f>SUMIFS(Table4[BudgetAmount],Table4[ActualExpense],"pending")</f>
        <v>0</v>
      </c>
    </row>
    <row r="55" spans="1:18">
      <c r="A55" t="s">
        <v>155</v>
      </c>
      <c r="B55" t="s">
        <v>156</v>
      </c>
      <c r="C55" t="s">
        <v>45</v>
      </c>
      <c r="D55" t="s">
        <v>34</v>
      </c>
      <c r="E55" t="s">
        <v>85</v>
      </c>
      <c r="F55" t="s">
        <v>86</v>
      </c>
      <c r="G55" s="2">
        <v>388037</v>
      </c>
      <c r="H55" s="1">
        <v>451681</v>
      </c>
      <c r="I55">
        <v>63644</v>
      </c>
      <c r="J55" t="s">
        <v>37</v>
      </c>
      <c r="K55" t="s">
        <v>48</v>
      </c>
      <c r="L55" t="s">
        <v>68</v>
      </c>
      <c r="M55" t="s">
        <v>22</v>
      </c>
      <c r="N55" s="5">
        <f>Table4[[#This Row],[BudgetAmount]]/Table4[[#This Row],[Variance]]</f>
        <v>6.0969926465966937</v>
      </c>
      <c r="O55" s="5" t="str">
        <f>TEXT(Table4[[#This Row],[Date]],"mmm")</f>
        <v>May</v>
      </c>
      <c r="P55" s="5">
        <f>ABS(Table4[[#This Row],[Variance]])</f>
        <v>63644</v>
      </c>
      <c r="Q55" s="5" t="str">
        <f>IF(Table4[[#This Row],[AB Variances ]]&gt;$P$2,"Anomaly","Normal")</f>
        <v>Anomaly</v>
      </c>
      <c r="R55" s="5">
        <f>SUMIFS(Table4[BudgetAmount],Table4[ActualExpense],"pending")</f>
        <v>0</v>
      </c>
    </row>
    <row r="56" spans="1:18">
      <c r="A56" t="s">
        <v>157</v>
      </c>
      <c r="B56" t="s">
        <v>158</v>
      </c>
      <c r="C56" t="s">
        <v>15</v>
      </c>
      <c r="D56" t="s">
        <v>40</v>
      </c>
      <c r="E56" t="s">
        <v>27</v>
      </c>
      <c r="F56" t="s">
        <v>28</v>
      </c>
      <c r="G56" s="2">
        <v>64332</v>
      </c>
      <c r="H56" s="1">
        <v>80324</v>
      </c>
      <c r="I56">
        <v>15992</v>
      </c>
      <c r="J56" t="s">
        <v>19</v>
      </c>
      <c r="K56" t="s">
        <v>48</v>
      </c>
      <c r="L56" t="s">
        <v>30</v>
      </c>
      <c r="M56" t="s">
        <v>42</v>
      </c>
      <c r="N56" s="5">
        <f>Table4[[#This Row],[BudgetAmount]]/Table4[[#This Row],[Variance]]</f>
        <v>4.0227613806903451</v>
      </c>
      <c r="O56" s="5" t="str">
        <f>TEXT(Table4[[#This Row],[Date]],"mmm")</f>
        <v>Mar</v>
      </c>
      <c r="P56" s="5">
        <f>ABS(Table4[[#This Row],[Variance]])</f>
        <v>15992</v>
      </c>
      <c r="Q56" s="5" t="str">
        <f>IF(Table4[[#This Row],[AB Variances ]]&gt;$P$2,"Anomaly","Normal")</f>
        <v>Normal</v>
      </c>
      <c r="R56" s="5">
        <f>SUMIFS(Table4[BudgetAmount],Table4[ActualExpense],"pending")</f>
        <v>0</v>
      </c>
    </row>
    <row r="57" spans="1:18">
      <c r="A57" t="s">
        <v>159</v>
      </c>
      <c r="B57" t="s">
        <v>160</v>
      </c>
      <c r="C57" t="s">
        <v>33</v>
      </c>
      <c r="D57" t="s">
        <v>61</v>
      </c>
      <c r="E57" t="s">
        <v>46</v>
      </c>
      <c r="F57" t="s">
        <v>47</v>
      </c>
      <c r="G57" s="2">
        <v>74606</v>
      </c>
      <c r="H57" s="1">
        <v>59304</v>
      </c>
      <c r="I57">
        <v>-15302</v>
      </c>
      <c r="J57" t="s">
        <v>19</v>
      </c>
      <c r="K57" t="s">
        <v>29</v>
      </c>
      <c r="L57" t="s">
        <v>68</v>
      </c>
      <c r="M57" t="s">
        <v>22</v>
      </c>
      <c r="N57" s="5">
        <f>Table4[[#This Row],[BudgetAmount]]/Table4[[#This Row],[Variance]]</f>
        <v>-4.8755718206770355</v>
      </c>
      <c r="O57" s="5" t="str">
        <f>TEXT(Table4[[#This Row],[Date]],"mmm")</f>
        <v>Aug</v>
      </c>
      <c r="P57" s="5">
        <f>ABS(Table4[[#This Row],[Variance]])</f>
        <v>15302</v>
      </c>
      <c r="Q57" s="5" t="str">
        <f>IF(Table4[[#This Row],[AB Variances ]]&gt;$P$2,"Anomaly","Normal")</f>
        <v>Normal</v>
      </c>
      <c r="R57" s="5">
        <f>SUMIFS(Table4[BudgetAmount],Table4[ActualExpense],"pending")</f>
        <v>0</v>
      </c>
    </row>
    <row r="58" spans="1:18">
      <c r="A58" t="s">
        <v>161</v>
      </c>
      <c r="B58" t="s">
        <v>162</v>
      </c>
      <c r="C58" t="s">
        <v>25</v>
      </c>
      <c r="D58" t="s">
        <v>34</v>
      </c>
      <c r="E58" t="s">
        <v>71</v>
      </c>
      <c r="F58" t="s">
        <v>72</v>
      </c>
      <c r="G58" s="2">
        <v>216724</v>
      </c>
      <c r="H58" s="1">
        <v>220524</v>
      </c>
      <c r="I58">
        <v>3800</v>
      </c>
      <c r="J58" t="s">
        <v>19</v>
      </c>
      <c r="K58" t="s">
        <v>29</v>
      </c>
      <c r="L58" t="s">
        <v>21</v>
      </c>
      <c r="M58" t="s">
        <v>42</v>
      </c>
      <c r="N58" s="5">
        <f>Table4[[#This Row],[BudgetAmount]]/Table4[[#This Row],[Variance]]</f>
        <v>57.032631578947367</v>
      </c>
      <c r="O58" s="5" t="str">
        <f>TEXT(Table4[[#This Row],[Date]],"mmm")</f>
        <v>Jun</v>
      </c>
      <c r="P58" s="5">
        <f>ABS(Table4[[#This Row],[Variance]])</f>
        <v>3800</v>
      </c>
      <c r="Q58" s="5" t="str">
        <f>IF(Table4[[#This Row],[AB Variances ]]&gt;$P$2,"Anomaly","Normal")</f>
        <v>Normal</v>
      </c>
      <c r="R58" s="5">
        <f>SUMIFS(Table4[BudgetAmount],Table4[ActualExpense],"pending")</f>
        <v>0</v>
      </c>
    </row>
    <row r="59" spans="1:18">
      <c r="A59" t="s">
        <v>163</v>
      </c>
      <c r="B59" t="s">
        <v>164</v>
      </c>
      <c r="C59" t="s">
        <v>33</v>
      </c>
      <c r="D59" t="s">
        <v>16</v>
      </c>
      <c r="E59" t="s">
        <v>17</v>
      </c>
      <c r="F59" t="s">
        <v>18</v>
      </c>
      <c r="G59" s="2">
        <v>482261</v>
      </c>
      <c r="H59" s="1">
        <v>373116</v>
      </c>
      <c r="I59">
        <v>-109145</v>
      </c>
      <c r="J59" t="s">
        <v>54</v>
      </c>
      <c r="K59" t="s">
        <v>20</v>
      </c>
      <c r="L59" t="s">
        <v>49</v>
      </c>
      <c r="M59" t="s">
        <v>42</v>
      </c>
      <c r="N59" s="5">
        <f>Table4[[#This Row],[BudgetAmount]]/Table4[[#This Row],[Variance]]</f>
        <v>-4.418534976407531</v>
      </c>
      <c r="O59" s="5" t="str">
        <f>TEXT(Table4[[#This Row],[Date]],"mmm")</f>
        <v>May</v>
      </c>
      <c r="P59" s="5">
        <f>ABS(Table4[[#This Row],[Variance]])</f>
        <v>109145</v>
      </c>
      <c r="Q59" s="5" t="str">
        <f>IF(Table4[[#This Row],[AB Variances ]]&gt;$P$2,"Anomaly","Normal")</f>
        <v>Anomaly</v>
      </c>
      <c r="R59" s="5">
        <f>SUMIFS(Table4[BudgetAmount],Table4[ActualExpense],"pending")</f>
        <v>0</v>
      </c>
    </row>
    <row r="60" spans="1:18">
      <c r="A60" t="s">
        <v>165</v>
      </c>
      <c r="B60" t="s">
        <v>166</v>
      </c>
      <c r="C60" t="s">
        <v>35</v>
      </c>
      <c r="D60" t="s">
        <v>26</v>
      </c>
      <c r="E60" t="s">
        <v>17</v>
      </c>
      <c r="F60" t="s">
        <v>18</v>
      </c>
      <c r="G60" s="2">
        <v>497732</v>
      </c>
      <c r="H60" s="1">
        <v>349050</v>
      </c>
      <c r="I60">
        <v>-148682</v>
      </c>
      <c r="J60" t="s">
        <v>37</v>
      </c>
      <c r="K60" t="s">
        <v>20</v>
      </c>
      <c r="L60" t="s">
        <v>68</v>
      </c>
      <c r="M60" t="s">
        <v>42</v>
      </c>
      <c r="N60" s="5">
        <f>Table4[[#This Row],[BudgetAmount]]/Table4[[#This Row],[Variance]]</f>
        <v>-3.3476278231393173</v>
      </c>
      <c r="O60" s="5" t="str">
        <f>TEXT(Table4[[#This Row],[Date]],"mmm")</f>
        <v>May</v>
      </c>
      <c r="P60" s="5">
        <f>ABS(Table4[[#This Row],[Variance]])</f>
        <v>148682</v>
      </c>
      <c r="Q60" s="5" t="str">
        <f>IF(Table4[[#This Row],[AB Variances ]]&gt;$P$2,"Anomaly","Normal")</f>
        <v>Anomaly</v>
      </c>
      <c r="R60" s="5">
        <f>SUMIFS(Table4[BudgetAmount],Table4[ActualExpense],"pending")</f>
        <v>0</v>
      </c>
    </row>
    <row r="61" spans="1:18">
      <c r="A61" t="s">
        <v>167</v>
      </c>
      <c r="B61" t="s">
        <v>168</v>
      </c>
      <c r="C61" t="s">
        <v>45</v>
      </c>
      <c r="D61" t="s">
        <v>26</v>
      </c>
      <c r="E61" t="s">
        <v>85</v>
      </c>
      <c r="F61" t="s">
        <v>86</v>
      </c>
      <c r="G61" s="2">
        <v>237897</v>
      </c>
      <c r="H61" s="1">
        <v>218818</v>
      </c>
      <c r="I61">
        <v>-19079</v>
      </c>
      <c r="J61" t="s">
        <v>54</v>
      </c>
      <c r="K61" t="s">
        <v>48</v>
      </c>
      <c r="L61" t="s">
        <v>21</v>
      </c>
      <c r="M61" t="s">
        <v>42</v>
      </c>
      <c r="N61" s="5">
        <f>Table4[[#This Row],[BudgetAmount]]/Table4[[#This Row],[Variance]]</f>
        <v>-12.469049740552439</v>
      </c>
      <c r="O61" s="5" t="str">
        <f>TEXT(Table4[[#This Row],[Date]],"mmm")</f>
        <v>Oct</v>
      </c>
      <c r="P61" s="5">
        <f>ABS(Table4[[#This Row],[Variance]])</f>
        <v>19079</v>
      </c>
      <c r="Q61" s="5" t="str">
        <f>IF(Table4[[#This Row],[AB Variances ]]&gt;$P$2,"Anomaly","Normal")</f>
        <v>Anomaly</v>
      </c>
      <c r="R61" s="5">
        <f>SUMIFS(Table4[BudgetAmount],Table4[ActualExpense],"pending")</f>
        <v>0</v>
      </c>
    </row>
    <row r="62" spans="1:18">
      <c r="A62" t="s">
        <v>169</v>
      </c>
      <c r="B62" t="s">
        <v>170</v>
      </c>
      <c r="C62" t="s">
        <v>45</v>
      </c>
      <c r="D62" t="s">
        <v>26</v>
      </c>
      <c r="E62" t="s">
        <v>27</v>
      </c>
      <c r="F62" t="s">
        <v>28</v>
      </c>
      <c r="G62" s="2">
        <v>402605</v>
      </c>
      <c r="H62" s="1">
        <v>405427</v>
      </c>
      <c r="I62">
        <v>2822</v>
      </c>
      <c r="J62" t="s">
        <v>19</v>
      </c>
      <c r="K62" t="s">
        <v>48</v>
      </c>
      <c r="L62" t="s">
        <v>21</v>
      </c>
      <c r="M62" t="s">
        <v>22</v>
      </c>
      <c r="N62" s="5">
        <f>Table4[[#This Row],[BudgetAmount]]/Table4[[#This Row],[Variance]]</f>
        <v>142.66654854712971</v>
      </c>
      <c r="O62" s="5" t="str">
        <f>TEXT(Table4[[#This Row],[Date]],"mmm")</f>
        <v>Jan</v>
      </c>
      <c r="P62" s="5">
        <f>ABS(Table4[[#This Row],[Variance]])</f>
        <v>2822</v>
      </c>
      <c r="Q62" s="5" t="str">
        <f>IF(Table4[[#This Row],[AB Variances ]]&gt;$P$2,"Anomaly","Normal")</f>
        <v>Normal</v>
      </c>
      <c r="R62" s="5">
        <f>SUMIFS(Table4[BudgetAmount],Table4[ActualExpense],"pending")</f>
        <v>0</v>
      </c>
    </row>
    <row r="63" spans="1:18">
      <c r="A63" t="s">
        <v>171</v>
      </c>
      <c r="B63" t="s">
        <v>172</v>
      </c>
      <c r="C63" t="s">
        <v>45</v>
      </c>
      <c r="D63" t="s">
        <v>40</v>
      </c>
      <c r="E63" t="s">
        <v>85</v>
      </c>
      <c r="F63" t="s">
        <v>86</v>
      </c>
      <c r="G63" s="2">
        <v>133707</v>
      </c>
      <c r="H63" s="1">
        <v>154006</v>
      </c>
      <c r="I63">
        <v>20299</v>
      </c>
      <c r="J63" t="s">
        <v>54</v>
      </c>
      <c r="K63" t="s">
        <v>29</v>
      </c>
      <c r="L63" t="s">
        <v>30</v>
      </c>
      <c r="M63" t="s">
        <v>42</v>
      </c>
      <c r="N63" s="5">
        <f>Table4[[#This Row],[BudgetAmount]]/Table4[[#This Row],[Variance]]</f>
        <v>6.586876200798069</v>
      </c>
      <c r="O63" s="5" t="str">
        <f>TEXT(Table4[[#This Row],[Date]],"mmm")</f>
        <v>Oct</v>
      </c>
      <c r="P63" s="5">
        <f>ABS(Table4[[#This Row],[Variance]])</f>
        <v>20299</v>
      </c>
      <c r="Q63" s="5" t="str">
        <f>IF(Table4[[#This Row],[AB Variances ]]&gt;$P$2,"Anomaly","Normal")</f>
        <v>Anomaly</v>
      </c>
      <c r="R63" s="5">
        <f>SUMIFS(Table4[BudgetAmount],Table4[ActualExpense],"pending")</f>
        <v>0</v>
      </c>
    </row>
    <row r="64" spans="1:18">
      <c r="A64" t="s">
        <v>173</v>
      </c>
      <c r="B64" t="s">
        <v>174</v>
      </c>
      <c r="C64" t="s">
        <v>15</v>
      </c>
      <c r="D64" t="s">
        <v>34</v>
      </c>
      <c r="E64" t="s">
        <v>71</v>
      </c>
      <c r="F64" t="s">
        <v>72</v>
      </c>
      <c r="G64" s="2">
        <v>82292</v>
      </c>
      <c r="H64" s="1">
        <v>79722</v>
      </c>
      <c r="I64">
        <v>-2570</v>
      </c>
      <c r="J64" t="s">
        <v>19</v>
      </c>
      <c r="K64" t="s">
        <v>67</v>
      </c>
      <c r="L64" t="s">
        <v>21</v>
      </c>
      <c r="M64" t="s">
        <v>22</v>
      </c>
      <c r="N64" s="5">
        <f>Table4[[#This Row],[BudgetAmount]]/Table4[[#This Row],[Variance]]</f>
        <v>-32.020233463035019</v>
      </c>
      <c r="O64" s="5" t="str">
        <f>TEXT(Table4[[#This Row],[Date]],"mmm")</f>
        <v>Jul</v>
      </c>
      <c r="P64" s="5">
        <f>ABS(Table4[[#This Row],[Variance]])</f>
        <v>2570</v>
      </c>
      <c r="Q64" s="5" t="str">
        <f>IF(Table4[[#This Row],[AB Variances ]]&gt;$P$2,"Anomaly","Normal")</f>
        <v>Normal</v>
      </c>
      <c r="R64" s="5">
        <f>SUMIFS(Table4[BudgetAmount],Table4[ActualExpense],"pending")</f>
        <v>0</v>
      </c>
    </row>
    <row r="65" spans="1:18">
      <c r="A65" t="s">
        <v>175</v>
      </c>
      <c r="B65" t="s">
        <v>176</v>
      </c>
      <c r="C65" t="s">
        <v>64</v>
      </c>
      <c r="D65" t="s">
        <v>26</v>
      </c>
      <c r="E65" t="s">
        <v>35</v>
      </c>
      <c r="F65" t="s">
        <v>36</v>
      </c>
      <c r="G65" s="2">
        <v>126209</v>
      </c>
      <c r="H65" s="1">
        <v>132897</v>
      </c>
      <c r="I65">
        <v>6688</v>
      </c>
      <c r="J65" t="s">
        <v>19</v>
      </c>
      <c r="K65" t="s">
        <v>48</v>
      </c>
      <c r="L65" t="s">
        <v>21</v>
      </c>
      <c r="M65" t="s">
        <v>22</v>
      </c>
      <c r="N65" s="5">
        <f>Table4[[#This Row],[BudgetAmount]]/Table4[[#This Row],[Variance]]</f>
        <v>18.870962918660286</v>
      </c>
      <c r="O65" s="5" t="str">
        <f>TEXT(Table4[[#This Row],[Date]],"mmm")</f>
        <v>Dec</v>
      </c>
      <c r="P65" s="5">
        <f>ABS(Table4[[#This Row],[Variance]])</f>
        <v>6688</v>
      </c>
      <c r="Q65" s="5" t="str">
        <f>IF(Table4[[#This Row],[AB Variances ]]&gt;$P$2,"Anomaly","Normal")</f>
        <v>Normal</v>
      </c>
      <c r="R65" s="5">
        <f>SUMIFS(Table4[BudgetAmount],Table4[ActualExpense],"pending")</f>
        <v>0</v>
      </c>
    </row>
    <row r="66" spans="1:18">
      <c r="A66" t="s">
        <v>177</v>
      </c>
      <c r="B66" t="s">
        <v>178</v>
      </c>
      <c r="C66" t="s">
        <v>25</v>
      </c>
      <c r="D66" t="s">
        <v>26</v>
      </c>
      <c r="E66" t="s">
        <v>46</v>
      </c>
      <c r="F66" t="s">
        <v>47</v>
      </c>
      <c r="G66" s="2">
        <v>491788</v>
      </c>
      <c r="H66" s="1">
        <v>466660</v>
      </c>
      <c r="I66">
        <v>-25128</v>
      </c>
      <c r="J66" t="s">
        <v>37</v>
      </c>
      <c r="K66" t="s">
        <v>20</v>
      </c>
      <c r="L66" t="s">
        <v>30</v>
      </c>
      <c r="M66" t="s">
        <v>22</v>
      </c>
      <c r="N66" s="5">
        <f>Table4[[#This Row],[BudgetAmount]]/Table4[[#This Row],[Variance]]</f>
        <v>-19.571314867876474</v>
      </c>
      <c r="O66" s="5" t="str">
        <f>TEXT(Table4[[#This Row],[Date]],"mmm")</f>
        <v>Jul</v>
      </c>
      <c r="P66" s="5">
        <f>ABS(Table4[[#This Row],[Variance]])</f>
        <v>25128</v>
      </c>
      <c r="Q66" s="5" t="str">
        <f>IF(Table4[[#This Row],[AB Variances ]]&gt;$P$2,"Anomaly","Normal")</f>
        <v>Anomaly</v>
      </c>
      <c r="R66" s="5">
        <f>SUMIFS(Table4[BudgetAmount],Table4[ActualExpense],"pending")</f>
        <v>0</v>
      </c>
    </row>
    <row r="67" spans="1:18">
      <c r="A67" t="s">
        <v>179</v>
      </c>
      <c r="B67" t="s">
        <v>180</v>
      </c>
      <c r="C67" t="s">
        <v>15</v>
      </c>
      <c r="D67" t="s">
        <v>34</v>
      </c>
      <c r="E67" t="s">
        <v>46</v>
      </c>
      <c r="F67" t="s">
        <v>47</v>
      </c>
      <c r="G67" s="2">
        <v>398433</v>
      </c>
      <c r="H67" s="1">
        <v>288903</v>
      </c>
      <c r="I67">
        <v>-109530</v>
      </c>
      <c r="J67" t="s">
        <v>54</v>
      </c>
      <c r="K67" t="s">
        <v>48</v>
      </c>
      <c r="L67" t="s">
        <v>68</v>
      </c>
      <c r="M67" t="s">
        <v>22</v>
      </c>
      <c r="N67" s="5">
        <f>Table4[[#This Row],[BudgetAmount]]/Table4[[#This Row],[Variance]]</f>
        <v>-3.6376609148178582</v>
      </c>
      <c r="O67" s="5" t="str">
        <f>TEXT(Table4[[#This Row],[Date]],"mmm")</f>
        <v>Sep</v>
      </c>
      <c r="P67" s="5">
        <f>ABS(Table4[[#This Row],[Variance]])</f>
        <v>109530</v>
      </c>
      <c r="Q67" s="5" t="str">
        <f>IF(Table4[[#This Row],[AB Variances ]]&gt;$P$2,"Anomaly","Normal")</f>
        <v>Anomaly</v>
      </c>
      <c r="R67" s="5">
        <f>SUMIFS(Table4[BudgetAmount],Table4[ActualExpense],"pending")</f>
        <v>0</v>
      </c>
    </row>
    <row r="68" spans="1:18">
      <c r="A68" t="s">
        <v>181</v>
      </c>
      <c r="B68" t="s">
        <v>182</v>
      </c>
      <c r="C68" t="s">
        <v>64</v>
      </c>
      <c r="D68" t="s">
        <v>40</v>
      </c>
      <c r="E68" t="s">
        <v>35</v>
      </c>
      <c r="F68" t="s">
        <v>36</v>
      </c>
      <c r="G68" s="2">
        <v>221646</v>
      </c>
      <c r="H68" s="1">
        <v>240659</v>
      </c>
      <c r="I68">
        <v>19013</v>
      </c>
      <c r="J68" t="s">
        <v>37</v>
      </c>
      <c r="K68" t="s">
        <v>20</v>
      </c>
      <c r="L68" t="s">
        <v>68</v>
      </c>
      <c r="M68" t="s">
        <v>42</v>
      </c>
      <c r="N68" s="5">
        <f>Table4[[#This Row],[BudgetAmount]]/Table4[[#This Row],[Variance]]</f>
        <v>11.657602692894335</v>
      </c>
      <c r="O68" s="5" t="str">
        <f>TEXT(Table4[[#This Row],[Date]],"mmm")</f>
        <v>Apr</v>
      </c>
      <c r="P68" s="5">
        <f>ABS(Table4[[#This Row],[Variance]])</f>
        <v>19013</v>
      </c>
      <c r="Q68" s="5" t="str">
        <f>IF(Table4[[#This Row],[AB Variances ]]&gt;$P$2,"Anomaly","Normal")</f>
        <v>Anomaly</v>
      </c>
      <c r="R68" s="5">
        <f>SUMIFS(Table4[BudgetAmount],Table4[ActualExpense],"pending")</f>
        <v>0</v>
      </c>
    </row>
    <row r="69" spans="1:18">
      <c r="A69" t="s">
        <v>183</v>
      </c>
      <c r="B69" t="s">
        <v>184</v>
      </c>
      <c r="C69" t="s">
        <v>25</v>
      </c>
      <c r="D69" t="s">
        <v>61</v>
      </c>
      <c r="E69" t="s">
        <v>17</v>
      </c>
      <c r="F69" t="s">
        <v>18</v>
      </c>
      <c r="G69" s="2">
        <v>332901</v>
      </c>
      <c r="H69" s="1">
        <v>314891</v>
      </c>
      <c r="I69">
        <v>-18010</v>
      </c>
      <c r="J69" t="s">
        <v>37</v>
      </c>
      <c r="K69" t="s">
        <v>41</v>
      </c>
      <c r="L69" t="s">
        <v>30</v>
      </c>
      <c r="M69" t="s">
        <v>42</v>
      </c>
      <c r="N69" s="5">
        <f>Table4[[#This Row],[BudgetAmount]]/Table4[[#This Row],[Variance]]</f>
        <v>-18.484230982787341</v>
      </c>
      <c r="O69" s="5" t="str">
        <f>TEXT(Table4[[#This Row],[Date]],"mmm")</f>
        <v>Mar</v>
      </c>
      <c r="P69" s="5">
        <f>ABS(Table4[[#This Row],[Variance]])</f>
        <v>18010</v>
      </c>
      <c r="Q69" s="5" t="str">
        <f>IF(Table4[[#This Row],[AB Variances ]]&gt;$P$2,"Anomaly","Normal")</f>
        <v>Anomaly</v>
      </c>
      <c r="R69" s="5">
        <f>SUMIFS(Table4[BudgetAmount],Table4[ActualExpense],"pending")</f>
        <v>0</v>
      </c>
    </row>
    <row r="70" spans="1:18">
      <c r="A70" t="s">
        <v>185</v>
      </c>
      <c r="B70" t="s">
        <v>186</v>
      </c>
      <c r="C70" t="s">
        <v>15</v>
      </c>
      <c r="D70" t="s">
        <v>26</v>
      </c>
      <c r="E70" t="s">
        <v>85</v>
      </c>
      <c r="F70" t="s">
        <v>86</v>
      </c>
      <c r="G70" s="2">
        <v>428736</v>
      </c>
      <c r="H70" s="1">
        <v>310274</v>
      </c>
      <c r="I70">
        <v>-118462</v>
      </c>
      <c r="J70" t="s">
        <v>19</v>
      </c>
      <c r="K70" t="s">
        <v>29</v>
      </c>
      <c r="L70" t="s">
        <v>30</v>
      </c>
      <c r="M70" t="s">
        <v>42</v>
      </c>
      <c r="N70" s="5">
        <f>Table4[[#This Row],[BudgetAmount]]/Table4[[#This Row],[Variance]]</f>
        <v>-3.6191858992757173</v>
      </c>
      <c r="O70" s="5" t="str">
        <f>TEXT(Table4[[#This Row],[Date]],"mmm")</f>
        <v>Sep</v>
      </c>
      <c r="P70" s="5">
        <f>ABS(Table4[[#This Row],[Variance]])</f>
        <v>118462</v>
      </c>
      <c r="Q70" s="5" t="str">
        <f>IF(Table4[[#This Row],[AB Variances ]]&gt;$P$2,"Anomaly","Normal")</f>
        <v>Anomaly</v>
      </c>
      <c r="R70" s="5">
        <f>SUMIFS(Table4[BudgetAmount],Table4[ActualExpense],"pending")</f>
        <v>0</v>
      </c>
    </row>
    <row r="71" spans="1:18">
      <c r="A71" t="s">
        <v>187</v>
      </c>
      <c r="B71" t="s">
        <v>188</v>
      </c>
      <c r="C71" t="s">
        <v>35</v>
      </c>
      <c r="D71" t="s">
        <v>26</v>
      </c>
      <c r="E71" t="s">
        <v>71</v>
      </c>
      <c r="F71" t="s">
        <v>72</v>
      </c>
      <c r="G71" s="2">
        <v>104298</v>
      </c>
      <c r="H71" s="1">
        <v>144419</v>
      </c>
      <c r="I71">
        <v>40121</v>
      </c>
      <c r="J71" t="s">
        <v>37</v>
      </c>
      <c r="K71" t="s">
        <v>41</v>
      </c>
      <c r="L71" t="s">
        <v>30</v>
      </c>
      <c r="M71" t="s">
        <v>22</v>
      </c>
      <c r="N71" s="5">
        <f>Table4[[#This Row],[BudgetAmount]]/Table4[[#This Row],[Variance]]</f>
        <v>2.5995862515889434</v>
      </c>
      <c r="O71" s="5" t="str">
        <f>TEXT(Table4[[#This Row],[Date]],"mmm")</f>
        <v>Aug</v>
      </c>
      <c r="P71" s="5">
        <f>ABS(Table4[[#This Row],[Variance]])</f>
        <v>40121</v>
      </c>
      <c r="Q71" s="5" t="str">
        <f>IF(Table4[[#This Row],[AB Variances ]]&gt;$P$2,"Anomaly","Normal")</f>
        <v>Anomaly</v>
      </c>
      <c r="R71" s="5">
        <f>SUMIFS(Table4[BudgetAmount],Table4[ActualExpense],"pending")</f>
        <v>0</v>
      </c>
    </row>
    <row r="72" spans="1:18">
      <c r="A72" t="s">
        <v>189</v>
      </c>
      <c r="B72" t="s">
        <v>190</v>
      </c>
      <c r="C72" t="s">
        <v>25</v>
      </c>
      <c r="D72" t="s">
        <v>26</v>
      </c>
      <c r="E72" t="s">
        <v>46</v>
      </c>
      <c r="F72" t="s">
        <v>47</v>
      </c>
      <c r="G72" s="2">
        <v>249729</v>
      </c>
      <c r="H72" s="1">
        <v>177761</v>
      </c>
      <c r="I72">
        <v>-71968</v>
      </c>
      <c r="J72" t="s">
        <v>19</v>
      </c>
      <c r="K72" t="s">
        <v>41</v>
      </c>
      <c r="L72" t="s">
        <v>49</v>
      </c>
      <c r="M72" t="s">
        <v>22</v>
      </c>
      <c r="N72" s="5">
        <f>Table4[[#This Row],[BudgetAmount]]/Table4[[#This Row],[Variance]]</f>
        <v>-3.4700005558025788</v>
      </c>
      <c r="O72" s="5" t="str">
        <f>TEXT(Table4[[#This Row],[Date]],"mmm")</f>
        <v>Jan</v>
      </c>
      <c r="P72" s="5">
        <f>ABS(Table4[[#This Row],[Variance]])</f>
        <v>71968</v>
      </c>
      <c r="Q72" s="5" t="str">
        <f>IF(Table4[[#This Row],[AB Variances ]]&gt;$P$2,"Anomaly","Normal")</f>
        <v>Anomaly</v>
      </c>
      <c r="R72" s="5">
        <f>SUMIFS(Table4[BudgetAmount],Table4[ActualExpense],"pending")</f>
        <v>0</v>
      </c>
    </row>
    <row r="73" spans="1:18">
      <c r="A73" t="s">
        <v>191</v>
      </c>
      <c r="B73" t="s">
        <v>192</v>
      </c>
      <c r="C73" t="s">
        <v>64</v>
      </c>
      <c r="D73" t="s">
        <v>40</v>
      </c>
      <c r="E73" t="s">
        <v>71</v>
      </c>
      <c r="F73" t="s">
        <v>72</v>
      </c>
      <c r="G73" s="2">
        <v>472511</v>
      </c>
      <c r="H73" s="1">
        <v>337273</v>
      </c>
      <c r="I73">
        <v>-135238</v>
      </c>
      <c r="J73" t="s">
        <v>54</v>
      </c>
      <c r="K73" t="s">
        <v>67</v>
      </c>
      <c r="L73" t="s">
        <v>30</v>
      </c>
      <c r="M73" t="s">
        <v>42</v>
      </c>
      <c r="N73" s="5">
        <f>Table4[[#This Row],[BudgetAmount]]/Table4[[#This Row],[Variance]]</f>
        <v>-3.4939218267055119</v>
      </c>
      <c r="O73" s="5" t="str">
        <f>TEXT(Table4[[#This Row],[Date]],"mmm")</f>
        <v>Sep</v>
      </c>
      <c r="P73" s="5">
        <f>ABS(Table4[[#This Row],[Variance]])</f>
        <v>135238</v>
      </c>
      <c r="Q73" s="5" t="str">
        <f>IF(Table4[[#This Row],[AB Variances ]]&gt;$P$2,"Anomaly","Normal")</f>
        <v>Anomaly</v>
      </c>
      <c r="R73" s="5">
        <f>SUMIFS(Table4[BudgetAmount],Table4[ActualExpense],"pending")</f>
        <v>0</v>
      </c>
    </row>
    <row r="74" spans="1:18">
      <c r="A74" t="s">
        <v>193</v>
      </c>
      <c r="B74" t="s">
        <v>194</v>
      </c>
      <c r="C74" t="s">
        <v>45</v>
      </c>
      <c r="D74" t="s">
        <v>61</v>
      </c>
      <c r="E74" t="s">
        <v>85</v>
      </c>
      <c r="F74" t="s">
        <v>86</v>
      </c>
      <c r="G74" s="2">
        <v>418795</v>
      </c>
      <c r="H74" s="1">
        <v>422636</v>
      </c>
      <c r="I74">
        <v>3841</v>
      </c>
      <c r="J74" t="s">
        <v>37</v>
      </c>
      <c r="K74" t="s">
        <v>41</v>
      </c>
      <c r="L74" t="s">
        <v>68</v>
      </c>
      <c r="M74" t="s">
        <v>22</v>
      </c>
      <c r="N74" s="5">
        <f>Table4[[#This Row],[BudgetAmount]]/Table4[[#This Row],[Variance]]</f>
        <v>109.03280395730279</v>
      </c>
      <c r="O74" s="5" t="str">
        <f>TEXT(Table4[[#This Row],[Date]],"mmm")</f>
        <v>Feb</v>
      </c>
      <c r="P74" s="5">
        <f>ABS(Table4[[#This Row],[Variance]])</f>
        <v>3841</v>
      </c>
      <c r="Q74" s="5" t="str">
        <f>IF(Table4[[#This Row],[AB Variances ]]&gt;$P$2,"Anomaly","Normal")</f>
        <v>Normal</v>
      </c>
      <c r="R74" s="5">
        <f>SUMIFS(Table4[BudgetAmount],Table4[ActualExpense],"pending")</f>
        <v>0</v>
      </c>
    </row>
    <row r="75" spans="1:18">
      <c r="A75" t="s">
        <v>195</v>
      </c>
      <c r="B75" t="s">
        <v>196</v>
      </c>
      <c r="C75" t="s">
        <v>64</v>
      </c>
      <c r="D75" t="s">
        <v>16</v>
      </c>
      <c r="E75" t="s">
        <v>35</v>
      </c>
      <c r="F75" t="s">
        <v>36</v>
      </c>
      <c r="G75" s="2">
        <v>334464</v>
      </c>
      <c r="H75" s="1">
        <v>431071</v>
      </c>
      <c r="I75">
        <v>96607</v>
      </c>
      <c r="J75" t="s">
        <v>37</v>
      </c>
      <c r="K75" t="s">
        <v>41</v>
      </c>
      <c r="L75" t="s">
        <v>68</v>
      </c>
      <c r="M75" t="s">
        <v>22</v>
      </c>
      <c r="N75" s="5">
        <f>Table4[[#This Row],[BudgetAmount]]/Table4[[#This Row],[Variance]]</f>
        <v>3.462109370956556</v>
      </c>
      <c r="O75" s="5" t="str">
        <f>TEXT(Table4[[#This Row],[Date]],"mmm")</f>
        <v>Sep</v>
      </c>
      <c r="P75" s="5">
        <f>ABS(Table4[[#This Row],[Variance]])</f>
        <v>96607</v>
      </c>
      <c r="Q75" s="5" t="str">
        <f>IF(Table4[[#This Row],[AB Variances ]]&gt;$P$2,"Anomaly","Normal")</f>
        <v>Anomaly</v>
      </c>
      <c r="R75" s="5">
        <f>SUMIFS(Table4[BudgetAmount],Table4[ActualExpense],"pending")</f>
        <v>0</v>
      </c>
    </row>
    <row r="76" spans="1:18">
      <c r="A76" t="s">
        <v>197</v>
      </c>
      <c r="B76" t="s">
        <v>198</v>
      </c>
      <c r="C76" t="s">
        <v>15</v>
      </c>
      <c r="D76" t="s">
        <v>26</v>
      </c>
      <c r="E76" t="s">
        <v>35</v>
      </c>
      <c r="F76" t="s">
        <v>36</v>
      </c>
      <c r="G76" s="2">
        <v>379067</v>
      </c>
      <c r="H76" s="1">
        <v>314171</v>
      </c>
      <c r="I76">
        <v>-64896</v>
      </c>
      <c r="J76" t="s">
        <v>37</v>
      </c>
      <c r="K76" t="s">
        <v>29</v>
      </c>
      <c r="L76" t="s">
        <v>49</v>
      </c>
      <c r="M76" t="s">
        <v>42</v>
      </c>
      <c r="N76" s="5">
        <f>Table4[[#This Row],[BudgetAmount]]/Table4[[#This Row],[Variance]]</f>
        <v>-5.841145833333333</v>
      </c>
      <c r="O76" s="5" t="str">
        <f>TEXT(Table4[[#This Row],[Date]],"mmm")</f>
        <v>Jan</v>
      </c>
      <c r="P76" s="5">
        <f>ABS(Table4[[#This Row],[Variance]])</f>
        <v>64896</v>
      </c>
      <c r="Q76" s="5" t="str">
        <f>IF(Table4[[#This Row],[AB Variances ]]&gt;$P$2,"Anomaly","Normal")</f>
        <v>Anomaly</v>
      </c>
      <c r="R76" s="5">
        <f>SUMIFS(Table4[BudgetAmount],Table4[ActualExpense],"pending")</f>
        <v>0</v>
      </c>
    </row>
    <row r="77" spans="1:18">
      <c r="A77" t="s">
        <v>199</v>
      </c>
      <c r="B77" t="s">
        <v>200</v>
      </c>
      <c r="C77" t="s">
        <v>33</v>
      </c>
      <c r="D77" t="s">
        <v>61</v>
      </c>
      <c r="E77" t="s">
        <v>71</v>
      </c>
      <c r="F77" t="s">
        <v>72</v>
      </c>
      <c r="G77" s="2">
        <v>425617</v>
      </c>
      <c r="H77" s="1">
        <v>315457</v>
      </c>
      <c r="I77">
        <v>-110160</v>
      </c>
      <c r="J77" t="s">
        <v>37</v>
      </c>
      <c r="K77" t="s">
        <v>20</v>
      </c>
      <c r="L77" t="s">
        <v>21</v>
      </c>
      <c r="M77" t="s">
        <v>42</v>
      </c>
      <c r="N77" s="5">
        <f>Table4[[#This Row],[BudgetAmount]]/Table4[[#This Row],[Variance]]</f>
        <v>-3.863625635439361</v>
      </c>
      <c r="O77" s="5" t="str">
        <f>TEXT(Table4[[#This Row],[Date]],"mmm")</f>
        <v>Feb</v>
      </c>
      <c r="P77" s="5">
        <f>ABS(Table4[[#This Row],[Variance]])</f>
        <v>110160</v>
      </c>
      <c r="Q77" s="5" t="str">
        <f>IF(Table4[[#This Row],[AB Variances ]]&gt;$P$2,"Anomaly","Normal")</f>
        <v>Anomaly</v>
      </c>
      <c r="R77" s="5">
        <f>SUMIFS(Table4[BudgetAmount],Table4[ActualExpense],"pending")</f>
        <v>0</v>
      </c>
    </row>
    <row r="78" spans="1:18">
      <c r="A78" t="s">
        <v>201</v>
      </c>
      <c r="B78" t="s">
        <v>202</v>
      </c>
      <c r="C78" t="s">
        <v>25</v>
      </c>
      <c r="D78" t="s">
        <v>34</v>
      </c>
      <c r="E78" t="s">
        <v>46</v>
      </c>
      <c r="F78" t="s">
        <v>47</v>
      </c>
      <c r="G78" s="2">
        <v>80010</v>
      </c>
      <c r="H78" s="1">
        <v>104938</v>
      </c>
      <c r="I78">
        <v>24928</v>
      </c>
      <c r="J78" t="s">
        <v>37</v>
      </c>
      <c r="K78" t="s">
        <v>41</v>
      </c>
      <c r="L78" t="s">
        <v>49</v>
      </c>
      <c r="M78" t="s">
        <v>22</v>
      </c>
      <c r="N78" s="5">
        <f>Table4[[#This Row],[BudgetAmount]]/Table4[[#This Row],[Variance]]</f>
        <v>3.2096437740693196</v>
      </c>
      <c r="O78" s="5" t="str">
        <f>TEXT(Table4[[#This Row],[Date]],"mmm")</f>
        <v>Sep</v>
      </c>
      <c r="P78" s="5">
        <f>ABS(Table4[[#This Row],[Variance]])</f>
        <v>24928</v>
      </c>
      <c r="Q78" s="5" t="str">
        <f>IF(Table4[[#This Row],[AB Variances ]]&gt;$P$2,"Anomaly","Normal")</f>
        <v>Anomaly</v>
      </c>
      <c r="R78" s="5">
        <f>SUMIFS(Table4[BudgetAmount],Table4[ActualExpense],"pending")</f>
        <v>0</v>
      </c>
    </row>
    <row r="79" spans="1:18">
      <c r="A79" t="s">
        <v>203</v>
      </c>
      <c r="B79" t="s">
        <v>53</v>
      </c>
      <c r="C79" t="s">
        <v>35</v>
      </c>
      <c r="D79" t="s">
        <v>16</v>
      </c>
      <c r="E79" t="s">
        <v>46</v>
      </c>
      <c r="F79" t="s">
        <v>47</v>
      </c>
      <c r="G79" s="2">
        <v>113011</v>
      </c>
      <c r="H79" s="1">
        <v>132789</v>
      </c>
      <c r="I79">
        <v>19778</v>
      </c>
      <c r="J79" t="s">
        <v>54</v>
      </c>
      <c r="K79" t="s">
        <v>20</v>
      </c>
      <c r="L79" t="s">
        <v>68</v>
      </c>
      <c r="M79" t="s">
        <v>42</v>
      </c>
      <c r="N79" s="5">
        <f>Table4[[#This Row],[BudgetAmount]]/Table4[[#This Row],[Variance]]</f>
        <v>5.7139751238750129</v>
      </c>
      <c r="O79" s="5" t="str">
        <f>TEXT(Table4[[#This Row],[Date]],"mmm")</f>
        <v>Jan</v>
      </c>
      <c r="P79" s="5">
        <f>ABS(Table4[[#This Row],[Variance]])</f>
        <v>19778</v>
      </c>
      <c r="Q79" s="5" t="str">
        <f>IF(Table4[[#This Row],[AB Variances ]]&gt;$P$2,"Anomaly","Normal")</f>
        <v>Anomaly</v>
      </c>
      <c r="R79" s="5">
        <f>SUMIFS(Table4[BudgetAmount],Table4[ActualExpense],"pending")</f>
        <v>0</v>
      </c>
    </row>
    <row r="80" spans="1:18">
      <c r="A80" t="s">
        <v>204</v>
      </c>
      <c r="B80" t="s">
        <v>138</v>
      </c>
      <c r="C80" t="s">
        <v>64</v>
      </c>
      <c r="D80" t="s">
        <v>34</v>
      </c>
      <c r="E80" t="s">
        <v>85</v>
      </c>
      <c r="F80" t="s">
        <v>86</v>
      </c>
      <c r="G80" s="2">
        <v>185112</v>
      </c>
      <c r="H80" s="1">
        <v>252179</v>
      </c>
      <c r="I80">
        <v>67067</v>
      </c>
      <c r="J80" t="s">
        <v>19</v>
      </c>
      <c r="K80" t="s">
        <v>20</v>
      </c>
      <c r="L80" t="s">
        <v>30</v>
      </c>
      <c r="M80" t="s">
        <v>42</v>
      </c>
      <c r="N80" s="5">
        <f>Table4[[#This Row],[BudgetAmount]]/Table4[[#This Row],[Variance]]</f>
        <v>2.7601055660757154</v>
      </c>
      <c r="O80" s="5" t="str">
        <f>TEXT(Table4[[#This Row],[Date]],"mmm")</f>
        <v>Dec</v>
      </c>
      <c r="P80" s="5">
        <f>ABS(Table4[[#This Row],[Variance]])</f>
        <v>67067</v>
      </c>
      <c r="Q80" s="5" t="str">
        <f>IF(Table4[[#This Row],[AB Variances ]]&gt;$P$2,"Anomaly","Normal")</f>
        <v>Anomaly</v>
      </c>
      <c r="R80" s="5">
        <f>SUMIFS(Table4[BudgetAmount],Table4[ActualExpense],"pending")</f>
        <v>0</v>
      </c>
    </row>
    <row r="81" spans="1:18">
      <c r="A81" t="s">
        <v>205</v>
      </c>
      <c r="B81" t="s">
        <v>206</v>
      </c>
      <c r="C81" t="s">
        <v>15</v>
      </c>
      <c r="D81" t="s">
        <v>34</v>
      </c>
      <c r="E81" t="s">
        <v>46</v>
      </c>
      <c r="F81" t="s">
        <v>47</v>
      </c>
      <c r="G81" s="2">
        <v>99173</v>
      </c>
      <c r="H81" s="1">
        <v>87667</v>
      </c>
      <c r="I81">
        <v>-11506</v>
      </c>
      <c r="J81" t="s">
        <v>37</v>
      </c>
      <c r="K81" t="s">
        <v>48</v>
      </c>
      <c r="L81" t="s">
        <v>30</v>
      </c>
      <c r="M81" t="s">
        <v>22</v>
      </c>
      <c r="N81" s="5">
        <f>Table4[[#This Row],[BudgetAmount]]/Table4[[#This Row],[Variance]]</f>
        <v>-8.6192421345385011</v>
      </c>
      <c r="O81" s="5" t="str">
        <f>TEXT(Table4[[#This Row],[Date]],"mmm")</f>
        <v>Feb</v>
      </c>
      <c r="P81" s="5">
        <f>ABS(Table4[[#This Row],[Variance]])</f>
        <v>11506</v>
      </c>
      <c r="Q81" s="5" t="str">
        <f>IF(Table4[[#This Row],[AB Variances ]]&gt;$P$2,"Anomaly","Normal")</f>
        <v>Normal</v>
      </c>
      <c r="R81" s="5">
        <f>SUMIFS(Table4[BudgetAmount],Table4[ActualExpense],"pending")</f>
        <v>0</v>
      </c>
    </row>
    <row r="82" spans="1:18">
      <c r="A82" t="s">
        <v>207</v>
      </c>
      <c r="B82" t="s">
        <v>116</v>
      </c>
      <c r="C82" t="s">
        <v>33</v>
      </c>
      <c r="D82" t="s">
        <v>61</v>
      </c>
      <c r="E82" t="s">
        <v>27</v>
      </c>
      <c r="F82" t="s">
        <v>28</v>
      </c>
      <c r="G82" s="2">
        <v>298464</v>
      </c>
      <c r="H82" s="1">
        <v>240525</v>
      </c>
      <c r="I82">
        <v>-57939</v>
      </c>
      <c r="J82" t="s">
        <v>19</v>
      </c>
      <c r="K82" t="s">
        <v>29</v>
      </c>
      <c r="L82" t="s">
        <v>49</v>
      </c>
      <c r="M82" t="s">
        <v>42</v>
      </c>
      <c r="N82" s="5">
        <f>Table4[[#This Row],[BudgetAmount]]/Table4[[#This Row],[Variance]]</f>
        <v>-5.1513488323926886</v>
      </c>
      <c r="O82" s="5" t="str">
        <f>TEXT(Table4[[#This Row],[Date]],"mmm")</f>
        <v>Feb</v>
      </c>
      <c r="P82" s="5">
        <f>ABS(Table4[[#This Row],[Variance]])</f>
        <v>57939</v>
      </c>
      <c r="Q82" s="5" t="str">
        <f>IF(Table4[[#This Row],[AB Variances ]]&gt;$P$2,"Anomaly","Normal")</f>
        <v>Anomaly</v>
      </c>
      <c r="R82" s="5">
        <f>SUMIFS(Table4[BudgetAmount],Table4[ActualExpense],"pending")</f>
        <v>0</v>
      </c>
    </row>
    <row r="83" spans="1:18">
      <c r="A83" t="s">
        <v>208</v>
      </c>
      <c r="B83" t="s">
        <v>209</v>
      </c>
      <c r="C83" t="s">
        <v>64</v>
      </c>
      <c r="D83" t="s">
        <v>26</v>
      </c>
      <c r="E83" t="s">
        <v>27</v>
      </c>
      <c r="F83" t="s">
        <v>28</v>
      </c>
      <c r="G83" s="2">
        <v>270206</v>
      </c>
      <c r="H83" s="1">
        <v>293641</v>
      </c>
      <c r="I83">
        <v>23435</v>
      </c>
      <c r="J83" t="s">
        <v>37</v>
      </c>
      <c r="K83" t="s">
        <v>41</v>
      </c>
      <c r="L83" t="s">
        <v>21</v>
      </c>
      <c r="M83" t="s">
        <v>42</v>
      </c>
      <c r="N83" s="5">
        <f>Table4[[#This Row],[BudgetAmount]]/Table4[[#This Row],[Variance]]</f>
        <v>11.530019202048219</v>
      </c>
      <c r="O83" s="5" t="str">
        <f>TEXT(Table4[[#This Row],[Date]],"mmm")</f>
        <v>May</v>
      </c>
      <c r="P83" s="5">
        <f>ABS(Table4[[#This Row],[Variance]])</f>
        <v>23435</v>
      </c>
      <c r="Q83" s="5" t="str">
        <f>IF(Table4[[#This Row],[AB Variances ]]&gt;$P$2,"Anomaly","Normal")</f>
        <v>Anomaly</v>
      </c>
      <c r="R83" s="5">
        <f>SUMIFS(Table4[BudgetAmount],Table4[ActualExpense],"pending")</f>
        <v>0</v>
      </c>
    </row>
    <row r="84" spans="1:18">
      <c r="A84" t="s">
        <v>210</v>
      </c>
      <c r="B84" t="s">
        <v>211</v>
      </c>
      <c r="C84" t="s">
        <v>35</v>
      </c>
      <c r="D84" t="s">
        <v>16</v>
      </c>
      <c r="E84" t="s">
        <v>85</v>
      </c>
      <c r="F84" t="s">
        <v>86</v>
      </c>
      <c r="G84" s="2">
        <v>107042</v>
      </c>
      <c r="H84" s="1">
        <v>92654</v>
      </c>
      <c r="I84">
        <v>-14388</v>
      </c>
      <c r="J84" t="s">
        <v>19</v>
      </c>
      <c r="K84" t="s">
        <v>67</v>
      </c>
      <c r="L84" t="s">
        <v>21</v>
      </c>
      <c r="M84" t="s">
        <v>42</v>
      </c>
      <c r="N84" s="5">
        <f>Table4[[#This Row],[BudgetAmount]]/Table4[[#This Row],[Variance]]</f>
        <v>-7.4396719488462608</v>
      </c>
      <c r="O84" s="5" t="str">
        <f>TEXT(Table4[[#This Row],[Date]],"mmm")</f>
        <v>Nov</v>
      </c>
      <c r="P84" s="5">
        <f>ABS(Table4[[#This Row],[Variance]])</f>
        <v>14388</v>
      </c>
      <c r="Q84" s="5" t="str">
        <f>IF(Table4[[#This Row],[AB Variances ]]&gt;$P$2,"Anomaly","Normal")</f>
        <v>Normal</v>
      </c>
      <c r="R84" s="5">
        <f>SUMIFS(Table4[BudgetAmount],Table4[ActualExpense],"pending")</f>
        <v>0</v>
      </c>
    </row>
    <row r="85" spans="1:18">
      <c r="A85" t="s">
        <v>212</v>
      </c>
      <c r="B85" t="s">
        <v>213</v>
      </c>
      <c r="C85" t="s">
        <v>33</v>
      </c>
      <c r="D85" t="s">
        <v>40</v>
      </c>
      <c r="E85" t="s">
        <v>85</v>
      </c>
      <c r="F85" t="s">
        <v>86</v>
      </c>
      <c r="G85" s="2">
        <v>272413</v>
      </c>
      <c r="H85" s="1">
        <v>248608</v>
      </c>
      <c r="I85">
        <v>-23805</v>
      </c>
      <c r="J85" t="s">
        <v>54</v>
      </c>
      <c r="K85" t="s">
        <v>29</v>
      </c>
      <c r="L85" t="s">
        <v>49</v>
      </c>
      <c r="M85" t="s">
        <v>42</v>
      </c>
      <c r="N85" s="5">
        <f>Table4[[#This Row],[BudgetAmount]]/Table4[[#This Row],[Variance]]</f>
        <v>-11.443520268851081</v>
      </c>
      <c r="O85" s="5" t="str">
        <f>TEXT(Table4[[#This Row],[Date]],"mmm")</f>
        <v>Aug</v>
      </c>
      <c r="P85" s="5">
        <f>ABS(Table4[[#This Row],[Variance]])</f>
        <v>23805</v>
      </c>
      <c r="Q85" s="5" t="str">
        <f>IF(Table4[[#This Row],[AB Variances ]]&gt;$P$2,"Anomaly","Normal")</f>
        <v>Anomaly</v>
      </c>
      <c r="R85" s="5">
        <f>SUMIFS(Table4[BudgetAmount],Table4[ActualExpense],"pending")</f>
        <v>0</v>
      </c>
    </row>
    <row r="86" spans="1:18">
      <c r="A86" t="s">
        <v>214</v>
      </c>
      <c r="B86" t="s">
        <v>215</v>
      </c>
      <c r="C86" t="s">
        <v>45</v>
      </c>
      <c r="D86" t="s">
        <v>26</v>
      </c>
      <c r="E86" t="s">
        <v>35</v>
      </c>
      <c r="F86" t="s">
        <v>36</v>
      </c>
      <c r="G86" s="2">
        <v>116961</v>
      </c>
      <c r="H86" s="1">
        <v>153734</v>
      </c>
      <c r="I86">
        <v>36773</v>
      </c>
      <c r="J86" t="s">
        <v>19</v>
      </c>
      <c r="K86" t="s">
        <v>67</v>
      </c>
      <c r="L86" t="s">
        <v>68</v>
      </c>
      <c r="M86" t="s">
        <v>42</v>
      </c>
      <c r="N86" s="5">
        <f>Table4[[#This Row],[BudgetAmount]]/Table4[[#This Row],[Variance]]</f>
        <v>3.1806216517553638</v>
      </c>
      <c r="O86" s="5" t="str">
        <f>TEXT(Table4[[#This Row],[Date]],"mmm")</f>
        <v>May</v>
      </c>
      <c r="P86" s="5">
        <f>ABS(Table4[[#This Row],[Variance]])</f>
        <v>36773</v>
      </c>
      <c r="Q86" s="5" t="str">
        <f>IF(Table4[[#This Row],[AB Variances ]]&gt;$P$2,"Anomaly","Normal")</f>
        <v>Anomaly</v>
      </c>
      <c r="R86" s="5">
        <f>SUMIFS(Table4[BudgetAmount],Table4[ActualExpense],"pending")</f>
        <v>0</v>
      </c>
    </row>
    <row r="87" spans="1:18">
      <c r="A87" t="s">
        <v>216</v>
      </c>
      <c r="B87" t="s">
        <v>217</v>
      </c>
      <c r="C87" t="s">
        <v>33</v>
      </c>
      <c r="D87" t="s">
        <v>61</v>
      </c>
      <c r="E87" t="s">
        <v>27</v>
      </c>
      <c r="F87" t="s">
        <v>28</v>
      </c>
      <c r="G87" s="2">
        <v>464066</v>
      </c>
      <c r="H87" s="1">
        <v>458987</v>
      </c>
      <c r="I87">
        <v>-5079</v>
      </c>
      <c r="J87" t="s">
        <v>37</v>
      </c>
      <c r="K87" t="s">
        <v>41</v>
      </c>
      <c r="L87" t="s">
        <v>49</v>
      </c>
      <c r="M87" t="s">
        <v>22</v>
      </c>
      <c r="N87" s="5">
        <f>Table4[[#This Row],[BudgetAmount]]/Table4[[#This Row],[Variance]]</f>
        <v>-91.369560937192361</v>
      </c>
      <c r="O87" s="5" t="str">
        <f>TEXT(Table4[[#This Row],[Date]],"mmm")</f>
        <v>Jun</v>
      </c>
      <c r="P87" s="5">
        <f>ABS(Table4[[#This Row],[Variance]])</f>
        <v>5079</v>
      </c>
      <c r="Q87" s="5" t="str">
        <f>IF(Table4[[#This Row],[AB Variances ]]&gt;$P$2,"Anomaly","Normal")</f>
        <v>Normal</v>
      </c>
      <c r="R87" s="5">
        <f>SUMIFS(Table4[BudgetAmount],Table4[ActualExpense],"pending")</f>
        <v>0</v>
      </c>
    </row>
    <row r="88" spans="1:18">
      <c r="A88" t="s">
        <v>218</v>
      </c>
      <c r="B88" t="s">
        <v>219</v>
      </c>
      <c r="C88" t="s">
        <v>35</v>
      </c>
      <c r="D88" t="s">
        <v>16</v>
      </c>
      <c r="E88" t="s">
        <v>85</v>
      </c>
      <c r="F88" t="s">
        <v>86</v>
      </c>
      <c r="G88" s="2">
        <v>314120</v>
      </c>
      <c r="H88" s="1">
        <v>431227</v>
      </c>
      <c r="I88">
        <v>117107</v>
      </c>
      <c r="J88" t="s">
        <v>19</v>
      </c>
      <c r="K88" t="s">
        <v>67</v>
      </c>
      <c r="L88" t="s">
        <v>49</v>
      </c>
      <c r="M88" t="s">
        <v>22</v>
      </c>
      <c r="N88" s="5">
        <f>Table4[[#This Row],[BudgetAmount]]/Table4[[#This Row],[Variance]]</f>
        <v>2.6823332507877411</v>
      </c>
      <c r="O88" s="5" t="str">
        <f>TEXT(Table4[[#This Row],[Date]],"mmm")</f>
        <v>Feb</v>
      </c>
      <c r="P88" s="5">
        <f>ABS(Table4[[#This Row],[Variance]])</f>
        <v>117107</v>
      </c>
      <c r="Q88" s="5" t="str">
        <f>IF(Table4[[#This Row],[AB Variances ]]&gt;$P$2,"Anomaly","Normal")</f>
        <v>Anomaly</v>
      </c>
      <c r="R88" s="5">
        <f>SUMIFS(Table4[BudgetAmount],Table4[ActualExpense],"pending")</f>
        <v>0</v>
      </c>
    </row>
    <row r="89" spans="1:18">
      <c r="A89" t="s">
        <v>220</v>
      </c>
      <c r="B89" t="s">
        <v>221</v>
      </c>
      <c r="C89" t="s">
        <v>64</v>
      </c>
      <c r="D89" t="s">
        <v>16</v>
      </c>
      <c r="E89" t="s">
        <v>35</v>
      </c>
      <c r="F89" t="s">
        <v>36</v>
      </c>
      <c r="G89" s="2">
        <v>391299</v>
      </c>
      <c r="H89" s="1">
        <v>384817</v>
      </c>
      <c r="I89">
        <v>-6482</v>
      </c>
      <c r="J89" t="s">
        <v>37</v>
      </c>
      <c r="K89" t="s">
        <v>20</v>
      </c>
      <c r="L89" t="s">
        <v>68</v>
      </c>
      <c r="M89" t="s">
        <v>22</v>
      </c>
      <c r="N89" s="5">
        <f>Table4[[#This Row],[BudgetAmount]]/Table4[[#This Row],[Variance]]</f>
        <v>-60.367016352977473</v>
      </c>
      <c r="O89" s="5" t="str">
        <f>TEXT(Table4[[#This Row],[Date]],"mmm")</f>
        <v>May</v>
      </c>
      <c r="P89" s="5">
        <f>ABS(Table4[[#This Row],[Variance]])</f>
        <v>6482</v>
      </c>
      <c r="Q89" s="5" t="str">
        <f>IF(Table4[[#This Row],[AB Variances ]]&gt;$P$2,"Anomaly","Normal")</f>
        <v>Normal</v>
      </c>
      <c r="R89" s="5">
        <f>SUMIFS(Table4[BudgetAmount],Table4[ActualExpense],"pending")</f>
        <v>0</v>
      </c>
    </row>
    <row r="90" spans="1:18">
      <c r="A90" t="s">
        <v>222</v>
      </c>
      <c r="B90" t="s">
        <v>223</v>
      </c>
      <c r="C90" t="s">
        <v>15</v>
      </c>
      <c r="D90" t="s">
        <v>40</v>
      </c>
      <c r="E90" t="s">
        <v>27</v>
      </c>
      <c r="F90" t="s">
        <v>28</v>
      </c>
      <c r="G90" s="2">
        <v>143743</v>
      </c>
      <c r="H90" s="1">
        <v>138941</v>
      </c>
      <c r="I90">
        <v>-4802</v>
      </c>
      <c r="J90" t="s">
        <v>54</v>
      </c>
      <c r="K90" t="s">
        <v>20</v>
      </c>
      <c r="L90" t="s">
        <v>68</v>
      </c>
      <c r="M90" t="s">
        <v>22</v>
      </c>
      <c r="N90" s="5">
        <f>Table4[[#This Row],[BudgetAmount]]/Table4[[#This Row],[Variance]]</f>
        <v>-29.933985839233653</v>
      </c>
      <c r="O90" s="5" t="str">
        <f>TEXT(Table4[[#This Row],[Date]],"mmm")</f>
        <v>Nov</v>
      </c>
      <c r="P90" s="5">
        <f>ABS(Table4[[#This Row],[Variance]])</f>
        <v>4802</v>
      </c>
      <c r="Q90" s="5" t="str">
        <f>IF(Table4[[#This Row],[AB Variances ]]&gt;$P$2,"Anomaly","Normal")</f>
        <v>Normal</v>
      </c>
      <c r="R90" s="5">
        <f>SUMIFS(Table4[BudgetAmount],Table4[ActualExpense],"pending")</f>
        <v>0</v>
      </c>
    </row>
    <row r="91" spans="1:18">
      <c r="A91" t="s">
        <v>224</v>
      </c>
      <c r="B91" t="s">
        <v>225</v>
      </c>
      <c r="C91" t="s">
        <v>45</v>
      </c>
      <c r="D91" t="s">
        <v>26</v>
      </c>
      <c r="E91" t="s">
        <v>85</v>
      </c>
      <c r="F91" t="s">
        <v>86</v>
      </c>
      <c r="G91" s="2">
        <v>363559</v>
      </c>
      <c r="H91" s="1">
        <v>466247</v>
      </c>
      <c r="I91">
        <v>102688</v>
      </c>
      <c r="J91" t="s">
        <v>19</v>
      </c>
      <c r="K91" t="s">
        <v>67</v>
      </c>
      <c r="L91" t="s">
        <v>49</v>
      </c>
      <c r="M91" t="s">
        <v>42</v>
      </c>
      <c r="N91" s="5">
        <f>Table4[[#This Row],[BudgetAmount]]/Table4[[#This Row],[Variance]]</f>
        <v>3.5404234185104393</v>
      </c>
      <c r="O91" s="5" t="str">
        <f>TEXT(Table4[[#This Row],[Date]],"mmm")</f>
        <v>Nov</v>
      </c>
      <c r="P91" s="5">
        <f>ABS(Table4[[#This Row],[Variance]])</f>
        <v>102688</v>
      </c>
      <c r="Q91" s="5" t="str">
        <f>IF(Table4[[#This Row],[AB Variances ]]&gt;$P$2,"Anomaly","Normal")</f>
        <v>Anomaly</v>
      </c>
      <c r="R91" s="5">
        <f>SUMIFS(Table4[BudgetAmount],Table4[ActualExpense],"pending")</f>
        <v>0</v>
      </c>
    </row>
    <row r="92" spans="1:18">
      <c r="A92" t="s">
        <v>226</v>
      </c>
      <c r="B92" t="s">
        <v>227</v>
      </c>
      <c r="C92" t="s">
        <v>64</v>
      </c>
      <c r="D92" t="s">
        <v>61</v>
      </c>
      <c r="E92" t="s">
        <v>85</v>
      </c>
      <c r="F92" t="s">
        <v>86</v>
      </c>
      <c r="G92" s="2">
        <v>61526</v>
      </c>
      <c r="H92" s="1">
        <v>75431</v>
      </c>
      <c r="I92">
        <v>13905</v>
      </c>
      <c r="J92" t="s">
        <v>54</v>
      </c>
      <c r="K92" t="s">
        <v>20</v>
      </c>
      <c r="L92" t="s">
        <v>30</v>
      </c>
      <c r="M92" t="s">
        <v>42</v>
      </c>
      <c r="N92" s="5">
        <f>Table4[[#This Row],[BudgetAmount]]/Table4[[#This Row],[Variance]]</f>
        <v>4.424739302409205</v>
      </c>
      <c r="O92" s="5" t="str">
        <f>TEXT(Table4[[#This Row],[Date]],"mmm")</f>
        <v>Feb</v>
      </c>
      <c r="P92" s="5">
        <f>ABS(Table4[[#This Row],[Variance]])</f>
        <v>13905</v>
      </c>
      <c r="Q92" s="5" t="str">
        <f>IF(Table4[[#This Row],[AB Variances ]]&gt;$P$2,"Anomaly","Normal")</f>
        <v>Normal</v>
      </c>
      <c r="R92" s="5">
        <f>SUMIFS(Table4[BudgetAmount],Table4[ActualExpense],"pending")</f>
        <v>0</v>
      </c>
    </row>
    <row r="93" spans="1:18">
      <c r="A93" t="s">
        <v>228</v>
      </c>
      <c r="B93" t="s">
        <v>229</v>
      </c>
      <c r="C93" t="s">
        <v>45</v>
      </c>
      <c r="D93" t="s">
        <v>61</v>
      </c>
      <c r="E93" t="s">
        <v>85</v>
      </c>
      <c r="F93" t="s">
        <v>86</v>
      </c>
      <c r="G93" s="2">
        <v>447991</v>
      </c>
      <c r="H93" s="1">
        <v>321638</v>
      </c>
      <c r="I93">
        <v>-126353</v>
      </c>
      <c r="J93" t="s">
        <v>54</v>
      </c>
      <c r="K93" t="s">
        <v>48</v>
      </c>
      <c r="L93" t="s">
        <v>30</v>
      </c>
      <c r="M93" t="s">
        <v>22</v>
      </c>
      <c r="N93" s="5">
        <f>Table4[[#This Row],[BudgetAmount]]/Table4[[#This Row],[Variance]]</f>
        <v>-3.5455509564474132</v>
      </c>
      <c r="O93" s="5" t="str">
        <f>TEXT(Table4[[#This Row],[Date]],"mmm")</f>
        <v>Feb</v>
      </c>
      <c r="P93" s="5">
        <f>ABS(Table4[[#This Row],[Variance]])</f>
        <v>126353</v>
      </c>
      <c r="Q93" s="5" t="str">
        <f>IF(Table4[[#This Row],[AB Variances ]]&gt;$P$2,"Anomaly","Normal")</f>
        <v>Anomaly</v>
      </c>
      <c r="R93" s="5">
        <f>SUMIFS(Table4[BudgetAmount],Table4[ActualExpense],"pending")</f>
        <v>0</v>
      </c>
    </row>
    <row r="94" spans="1:18">
      <c r="A94" t="s">
        <v>230</v>
      </c>
      <c r="B94" t="s">
        <v>231</v>
      </c>
      <c r="C94" t="s">
        <v>35</v>
      </c>
      <c r="D94" t="s">
        <v>34</v>
      </c>
      <c r="E94" t="s">
        <v>46</v>
      </c>
      <c r="F94" t="s">
        <v>47</v>
      </c>
      <c r="G94" s="2">
        <v>153416</v>
      </c>
      <c r="H94" s="1">
        <v>115268</v>
      </c>
      <c r="I94">
        <v>-38148</v>
      </c>
      <c r="J94" t="s">
        <v>37</v>
      </c>
      <c r="K94" t="s">
        <v>48</v>
      </c>
      <c r="L94" t="s">
        <v>68</v>
      </c>
      <c r="M94" t="s">
        <v>22</v>
      </c>
      <c r="N94" s="5">
        <f>Table4[[#This Row],[BudgetAmount]]/Table4[[#This Row],[Variance]]</f>
        <v>-4.0216000838838211</v>
      </c>
      <c r="O94" s="5" t="str">
        <f>TEXT(Table4[[#This Row],[Date]],"mmm")</f>
        <v>Apr</v>
      </c>
      <c r="P94" s="5">
        <f>ABS(Table4[[#This Row],[Variance]])</f>
        <v>38148</v>
      </c>
      <c r="Q94" s="5" t="str">
        <f>IF(Table4[[#This Row],[AB Variances ]]&gt;$P$2,"Anomaly","Normal")</f>
        <v>Anomaly</v>
      </c>
      <c r="R94" s="5">
        <f>SUMIFS(Table4[BudgetAmount],Table4[ActualExpense],"pending")</f>
        <v>0</v>
      </c>
    </row>
    <row r="95" spans="1:18">
      <c r="A95" t="s">
        <v>232</v>
      </c>
      <c r="B95" t="s">
        <v>233</v>
      </c>
      <c r="C95" t="s">
        <v>25</v>
      </c>
      <c r="D95" t="s">
        <v>16</v>
      </c>
      <c r="E95" t="s">
        <v>17</v>
      </c>
      <c r="F95" t="s">
        <v>18</v>
      </c>
      <c r="G95" s="2">
        <v>87821</v>
      </c>
      <c r="H95" s="1">
        <v>114015</v>
      </c>
      <c r="I95">
        <v>26194</v>
      </c>
      <c r="J95" t="s">
        <v>37</v>
      </c>
      <c r="K95" t="s">
        <v>41</v>
      </c>
      <c r="L95" t="s">
        <v>68</v>
      </c>
      <c r="M95" t="s">
        <v>42</v>
      </c>
      <c r="N95" s="5">
        <f>Table4[[#This Row],[BudgetAmount]]/Table4[[#This Row],[Variance]]</f>
        <v>3.3527143620676489</v>
      </c>
      <c r="O95" s="5" t="str">
        <f>TEXT(Table4[[#This Row],[Date]],"mmm")</f>
        <v>Jan</v>
      </c>
      <c r="P95" s="5">
        <f>ABS(Table4[[#This Row],[Variance]])</f>
        <v>26194</v>
      </c>
      <c r="Q95" s="5" t="str">
        <f>IF(Table4[[#This Row],[AB Variances ]]&gt;$P$2,"Anomaly","Normal")</f>
        <v>Anomaly</v>
      </c>
      <c r="R95" s="5">
        <f>SUMIFS(Table4[BudgetAmount],Table4[ActualExpense],"pending")</f>
        <v>0</v>
      </c>
    </row>
    <row r="96" spans="1:18">
      <c r="A96" t="s">
        <v>234</v>
      </c>
      <c r="B96" t="s">
        <v>235</v>
      </c>
      <c r="C96" t="s">
        <v>64</v>
      </c>
      <c r="D96" t="s">
        <v>26</v>
      </c>
      <c r="E96" t="s">
        <v>17</v>
      </c>
      <c r="F96" t="s">
        <v>18</v>
      </c>
      <c r="G96" s="2">
        <v>291392</v>
      </c>
      <c r="H96" s="1">
        <v>268677</v>
      </c>
      <c r="I96">
        <v>-22715</v>
      </c>
      <c r="J96" t="s">
        <v>54</v>
      </c>
      <c r="K96" t="s">
        <v>29</v>
      </c>
      <c r="L96" t="s">
        <v>30</v>
      </c>
      <c r="M96" t="s">
        <v>42</v>
      </c>
      <c r="N96" s="5">
        <f>Table4[[#This Row],[BudgetAmount]]/Table4[[#This Row],[Variance]]</f>
        <v>-12.828175214615893</v>
      </c>
      <c r="O96" s="5" t="str">
        <f>TEXT(Table4[[#This Row],[Date]],"mmm")</f>
        <v>Jul</v>
      </c>
      <c r="P96" s="5">
        <f>ABS(Table4[[#This Row],[Variance]])</f>
        <v>22715</v>
      </c>
      <c r="Q96" s="5" t="str">
        <f>IF(Table4[[#This Row],[AB Variances ]]&gt;$P$2,"Anomaly","Normal")</f>
        <v>Anomaly</v>
      </c>
      <c r="R96" s="5">
        <f>SUMIFS(Table4[BudgetAmount],Table4[ActualExpense],"pending")</f>
        <v>0</v>
      </c>
    </row>
    <row r="97" spans="1:18">
      <c r="A97" t="s">
        <v>236</v>
      </c>
      <c r="B97" t="s">
        <v>237</v>
      </c>
      <c r="C97" t="s">
        <v>33</v>
      </c>
      <c r="D97" t="s">
        <v>40</v>
      </c>
      <c r="E97" t="s">
        <v>27</v>
      </c>
      <c r="F97" t="s">
        <v>28</v>
      </c>
      <c r="G97" s="2">
        <v>440968</v>
      </c>
      <c r="H97" s="1">
        <v>354737</v>
      </c>
      <c r="I97">
        <v>-86231</v>
      </c>
      <c r="J97" t="s">
        <v>54</v>
      </c>
      <c r="K97" t="s">
        <v>41</v>
      </c>
      <c r="L97" t="s">
        <v>30</v>
      </c>
      <c r="M97" t="s">
        <v>42</v>
      </c>
      <c r="N97" s="5">
        <f>Table4[[#This Row],[BudgetAmount]]/Table4[[#This Row],[Variance]]</f>
        <v>-5.1137989818046874</v>
      </c>
      <c r="O97" s="5" t="str">
        <f>TEXT(Table4[[#This Row],[Date]],"mmm")</f>
        <v>Dec</v>
      </c>
      <c r="P97" s="5">
        <f>ABS(Table4[[#This Row],[Variance]])</f>
        <v>86231</v>
      </c>
      <c r="Q97" s="5" t="str">
        <f>IF(Table4[[#This Row],[AB Variances ]]&gt;$P$2,"Anomaly","Normal")</f>
        <v>Anomaly</v>
      </c>
      <c r="R97" s="5">
        <f>SUMIFS(Table4[BudgetAmount],Table4[ActualExpense],"pending")</f>
        <v>0</v>
      </c>
    </row>
    <row r="98" spans="1:18">
      <c r="A98" t="s">
        <v>238</v>
      </c>
      <c r="B98" t="s">
        <v>239</v>
      </c>
      <c r="C98" t="s">
        <v>64</v>
      </c>
      <c r="D98" t="s">
        <v>40</v>
      </c>
      <c r="E98" t="s">
        <v>46</v>
      </c>
      <c r="F98" t="s">
        <v>47</v>
      </c>
      <c r="G98" s="2">
        <v>73071</v>
      </c>
      <c r="H98" s="1">
        <v>85452</v>
      </c>
      <c r="I98">
        <v>12381</v>
      </c>
      <c r="J98" t="s">
        <v>19</v>
      </c>
      <c r="K98" t="s">
        <v>48</v>
      </c>
      <c r="L98" t="s">
        <v>30</v>
      </c>
      <c r="M98" t="s">
        <v>22</v>
      </c>
      <c r="N98" s="5">
        <f>Table4[[#This Row],[BudgetAmount]]/Table4[[#This Row],[Variance]]</f>
        <v>5.9018657620547614</v>
      </c>
      <c r="O98" s="5" t="str">
        <f>TEXT(Table4[[#This Row],[Date]],"mmm")</f>
        <v>Jan</v>
      </c>
      <c r="P98" s="5">
        <f>ABS(Table4[[#This Row],[Variance]])</f>
        <v>12381</v>
      </c>
      <c r="Q98" s="5" t="str">
        <f>IF(Table4[[#This Row],[AB Variances ]]&gt;$P$2,"Anomaly","Normal")</f>
        <v>Normal</v>
      </c>
      <c r="R98" s="5">
        <f>SUMIFS(Table4[BudgetAmount],Table4[ActualExpense],"pending")</f>
        <v>0</v>
      </c>
    </row>
    <row r="99" spans="1:18">
      <c r="A99" t="s">
        <v>240</v>
      </c>
      <c r="B99" t="s">
        <v>241</v>
      </c>
      <c r="C99" t="s">
        <v>35</v>
      </c>
      <c r="D99" t="s">
        <v>34</v>
      </c>
      <c r="E99" t="s">
        <v>27</v>
      </c>
      <c r="F99" t="s">
        <v>28</v>
      </c>
      <c r="G99" s="2">
        <v>296860</v>
      </c>
      <c r="H99" s="1">
        <v>356934</v>
      </c>
      <c r="I99">
        <v>60074</v>
      </c>
      <c r="J99" t="s">
        <v>19</v>
      </c>
      <c r="K99" t="s">
        <v>29</v>
      </c>
      <c r="L99" t="s">
        <v>30</v>
      </c>
      <c r="M99" t="s">
        <v>22</v>
      </c>
      <c r="N99" s="5">
        <f>Table4[[#This Row],[BudgetAmount]]/Table4[[#This Row],[Variance]]</f>
        <v>4.9415720611246128</v>
      </c>
      <c r="O99" s="5" t="str">
        <f>TEXT(Table4[[#This Row],[Date]],"mmm")</f>
        <v>Feb</v>
      </c>
      <c r="P99" s="5">
        <f>ABS(Table4[[#This Row],[Variance]])</f>
        <v>60074</v>
      </c>
      <c r="Q99" s="5" t="str">
        <f>IF(Table4[[#This Row],[AB Variances ]]&gt;$P$2,"Anomaly","Normal")</f>
        <v>Anomaly</v>
      </c>
      <c r="R99" s="5">
        <f>SUMIFS(Table4[BudgetAmount],Table4[ActualExpense],"pending")</f>
        <v>0</v>
      </c>
    </row>
    <row r="100" spans="1:18">
      <c r="A100" t="s">
        <v>242</v>
      </c>
      <c r="B100" t="s">
        <v>243</v>
      </c>
      <c r="C100" t="s">
        <v>15</v>
      </c>
      <c r="D100" t="s">
        <v>61</v>
      </c>
      <c r="E100" t="s">
        <v>46</v>
      </c>
      <c r="F100" t="s">
        <v>47</v>
      </c>
      <c r="G100" s="2">
        <v>302652</v>
      </c>
      <c r="H100" s="1">
        <v>408641</v>
      </c>
      <c r="I100">
        <v>105989</v>
      </c>
      <c r="J100" t="s">
        <v>54</v>
      </c>
      <c r="K100" t="s">
        <v>41</v>
      </c>
      <c r="L100" t="s">
        <v>30</v>
      </c>
      <c r="M100" t="s">
        <v>42</v>
      </c>
      <c r="N100" s="5">
        <f>Table4[[#This Row],[BudgetAmount]]/Table4[[#This Row],[Variance]]</f>
        <v>2.8555038730434292</v>
      </c>
      <c r="O100" s="5" t="str">
        <f>TEXT(Table4[[#This Row],[Date]],"mmm")</f>
        <v>Apr</v>
      </c>
      <c r="P100" s="5">
        <f>ABS(Table4[[#This Row],[Variance]])</f>
        <v>105989</v>
      </c>
      <c r="Q100" s="5" t="str">
        <f>IF(Table4[[#This Row],[AB Variances ]]&gt;$P$2,"Anomaly","Normal")</f>
        <v>Anomaly</v>
      </c>
      <c r="R100" s="5">
        <f>SUMIFS(Table4[BudgetAmount],Table4[ActualExpense],"pending")</f>
        <v>0</v>
      </c>
    </row>
    <row r="101" spans="1:18">
      <c r="A101" t="s">
        <v>244</v>
      </c>
      <c r="B101" t="s">
        <v>245</v>
      </c>
      <c r="C101" t="s">
        <v>45</v>
      </c>
      <c r="D101" t="s">
        <v>61</v>
      </c>
      <c r="E101" t="s">
        <v>27</v>
      </c>
      <c r="F101" t="s">
        <v>28</v>
      </c>
      <c r="G101" s="2">
        <v>144589</v>
      </c>
      <c r="H101" s="1">
        <v>137854</v>
      </c>
      <c r="I101">
        <v>-6735</v>
      </c>
      <c r="J101" t="s">
        <v>19</v>
      </c>
      <c r="K101" t="s">
        <v>67</v>
      </c>
      <c r="L101" t="s">
        <v>30</v>
      </c>
      <c r="M101" t="s">
        <v>42</v>
      </c>
      <c r="N101" s="5">
        <f>Table4[[#This Row],[BudgetAmount]]/Table4[[#This Row],[Variance]]</f>
        <v>-21.468299925760949</v>
      </c>
      <c r="O101" s="5" t="str">
        <f>TEXT(Table4[[#This Row],[Date]],"mmm")</f>
        <v>Dec</v>
      </c>
      <c r="P101" s="5">
        <f>ABS(Table4[[#This Row],[Variance]])</f>
        <v>6735</v>
      </c>
      <c r="Q101" s="5" t="str">
        <f>IF(Table4[[#This Row],[AB Variances ]]&gt;$P$2,"Anomaly","Normal")</f>
        <v>Normal</v>
      </c>
      <c r="R101" s="5">
        <f>SUMIFS(Table4[BudgetAmount],Table4[ActualExpense],"pending")</f>
        <v>0</v>
      </c>
    </row>
    <row r="102" spans="1:18">
      <c r="A102" t="s">
        <v>246</v>
      </c>
      <c r="B102" t="s">
        <v>247</v>
      </c>
      <c r="C102" t="s">
        <v>35</v>
      </c>
      <c r="D102" t="s">
        <v>26</v>
      </c>
      <c r="E102" t="s">
        <v>27</v>
      </c>
      <c r="F102" t="s">
        <v>28</v>
      </c>
      <c r="G102" s="2">
        <v>76743</v>
      </c>
      <c r="H102" s="1">
        <v>82381</v>
      </c>
      <c r="I102">
        <v>5638</v>
      </c>
      <c r="J102" t="s">
        <v>37</v>
      </c>
      <c r="K102" t="s">
        <v>41</v>
      </c>
      <c r="L102" t="s">
        <v>49</v>
      </c>
      <c r="M102" t="s">
        <v>42</v>
      </c>
      <c r="N102" s="5">
        <f>Table4[[#This Row],[BudgetAmount]]/Table4[[#This Row],[Variance]]</f>
        <v>13.611741752394465</v>
      </c>
      <c r="O102" s="5" t="str">
        <f>TEXT(Table4[[#This Row],[Date]],"mmm")</f>
        <v>Jun</v>
      </c>
      <c r="P102" s="5">
        <f>ABS(Table4[[#This Row],[Variance]])</f>
        <v>5638</v>
      </c>
      <c r="Q102" s="5" t="str">
        <f>IF(Table4[[#This Row],[AB Variances ]]&gt;$P$2,"Anomaly","Normal")</f>
        <v>Normal</v>
      </c>
      <c r="R102" s="5">
        <f>SUMIFS(Table4[BudgetAmount],Table4[ActualExpense],"pending")</f>
        <v>0</v>
      </c>
    </row>
    <row r="103" spans="1:18">
      <c r="A103" t="s">
        <v>248</v>
      </c>
      <c r="B103" t="s">
        <v>249</v>
      </c>
      <c r="C103" t="s">
        <v>45</v>
      </c>
      <c r="D103" t="s">
        <v>61</v>
      </c>
      <c r="E103" t="s">
        <v>71</v>
      </c>
      <c r="F103" t="s">
        <v>72</v>
      </c>
      <c r="G103" s="2">
        <v>242219</v>
      </c>
      <c r="H103" s="1">
        <v>287757</v>
      </c>
      <c r="I103">
        <v>45538</v>
      </c>
      <c r="J103" t="s">
        <v>19</v>
      </c>
      <c r="K103" t="s">
        <v>41</v>
      </c>
      <c r="L103" t="s">
        <v>30</v>
      </c>
      <c r="M103" t="s">
        <v>42</v>
      </c>
      <c r="N103" s="5">
        <f>Table4[[#This Row],[BudgetAmount]]/Table4[[#This Row],[Variance]]</f>
        <v>5.3190522201238526</v>
      </c>
      <c r="O103" s="5" t="str">
        <f>TEXT(Table4[[#This Row],[Date]],"mmm")</f>
        <v>Aug</v>
      </c>
      <c r="P103" s="5">
        <f>ABS(Table4[[#This Row],[Variance]])</f>
        <v>45538</v>
      </c>
      <c r="Q103" s="5" t="str">
        <f>IF(Table4[[#This Row],[AB Variances ]]&gt;$P$2,"Anomaly","Normal")</f>
        <v>Anomaly</v>
      </c>
      <c r="R103" s="5">
        <f>SUMIFS(Table4[BudgetAmount],Table4[ActualExpense],"pending")</f>
        <v>0</v>
      </c>
    </row>
    <row r="104" spans="1:18">
      <c r="A104" t="s">
        <v>250</v>
      </c>
      <c r="B104" t="s">
        <v>251</v>
      </c>
      <c r="C104" t="s">
        <v>25</v>
      </c>
      <c r="D104" t="s">
        <v>40</v>
      </c>
      <c r="E104" t="s">
        <v>27</v>
      </c>
      <c r="F104" t="s">
        <v>28</v>
      </c>
      <c r="G104" s="2">
        <v>324379</v>
      </c>
      <c r="H104" s="1">
        <v>324823</v>
      </c>
      <c r="I104">
        <v>444</v>
      </c>
      <c r="J104" t="s">
        <v>19</v>
      </c>
      <c r="K104" t="s">
        <v>48</v>
      </c>
      <c r="L104" t="s">
        <v>21</v>
      </c>
      <c r="M104" t="s">
        <v>22</v>
      </c>
      <c r="N104" s="5">
        <f>Table4[[#This Row],[BudgetAmount]]/Table4[[#This Row],[Variance]]</f>
        <v>730.58333333333337</v>
      </c>
      <c r="O104" s="5" t="str">
        <f>TEXT(Table4[[#This Row],[Date]],"mmm")</f>
        <v>Sep</v>
      </c>
      <c r="P104" s="5">
        <f>ABS(Table4[[#This Row],[Variance]])</f>
        <v>444</v>
      </c>
      <c r="Q104" s="5" t="str">
        <f>IF(Table4[[#This Row],[AB Variances ]]&gt;$P$2,"Anomaly","Normal")</f>
        <v>Normal</v>
      </c>
      <c r="R104" s="5">
        <f>SUMIFS(Table4[BudgetAmount],Table4[ActualExpense],"pending")</f>
        <v>0</v>
      </c>
    </row>
    <row r="105" spans="1:18">
      <c r="A105" t="s">
        <v>252</v>
      </c>
      <c r="B105" t="s">
        <v>253</v>
      </c>
      <c r="C105" t="s">
        <v>15</v>
      </c>
      <c r="D105" t="s">
        <v>34</v>
      </c>
      <c r="E105" t="s">
        <v>46</v>
      </c>
      <c r="F105" t="s">
        <v>47</v>
      </c>
      <c r="G105" s="2">
        <v>302114</v>
      </c>
      <c r="H105" s="1">
        <v>382436</v>
      </c>
      <c r="I105">
        <v>80322</v>
      </c>
      <c r="J105" t="s">
        <v>37</v>
      </c>
      <c r="K105" t="s">
        <v>20</v>
      </c>
      <c r="L105" t="s">
        <v>49</v>
      </c>
      <c r="M105" t="s">
        <v>42</v>
      </c>
      <c r="N105" s="5">
        <f>Table4[[#This Row],[BudgetAmount]]/Table4[[#This Row],[Variance]]</f>
        <v>3.7612858245561616</v>
      </c>
      <c r="O105" s="5" t="str">
        <f>TEXT(Table4[[#This Row],[Date]],"mmm")</f>
        <v>Oct</v>
      </c>
      <c r="P105" s="5">
        <f>ABS(Table4[[#This Row],[Variance]])</f>
        <v>80322</v>
      </c>
      <c r="Q105" s="5" t="str">
        <f>IF(Table4[[#This Row],[AB Variances ]]&gt;$P$2,"Anomaly","Normal")</f>
        <v>Anomaly</v>
      </c>
      <c r="R105" s="5">
        <f>SUMIFS(Table4[BudgetAmount],Table4[ActualExpense],"pending")</f>
        <v>0</v>
      </c>
    </row>
    <row r="106" spans="1:18">
      <c r="A106" t="s">
        <v>254</v>
      </c>
      <c r="B106" t="s">
        <v>255</v>
      </c>
      <c r="C106" t="s">
        <v>33</v>
      </c>
      <c r="D106" t="s">
        <v>26</v>
      </c>
      <c r="E106" t="s">
        <v>35</v>
      </c>
      <c r="F106" t="s">
        <v>36</v>
      </c>
      <c r="G106" s="2">
        <v>204687</v>
      </c>
      <c r="H106" s="1">
        <v>281747</v>
      </c>
      <c r="I106">
        <v>77060</v>
      </c>
      <c r="J106" t="s">
        <v>54</v>
      </c>
      <c r="K106" t="s">
        <v>41</v>
      </c>
      <c r="L106" t="s">
        <v>68</v>
      </c>
      <c r="M106" t="s">
        <v>22</v>
      </c>
      <c r="N106" s="5">
        <f>Table4[[#This Row],[BudgetAmount]]/Table4[[#This Row],[Variance]]</f>
        <v>2.6562029587334544</v>
      </c>
      <c r="O106" s="5" t="str">
        <f>TEXT(Table4[[#This Row],[Date]],"mmm")</f>
        <v>May</v>
      </c>
      <c r="P106" s="5">
        <f>ABS(Table4[[#This Row],[Variance]])</f>
        <v>77060</v>
      </c>
      <c r="Q106" s="5" t="str">
        <f>IF(Table4[[#This Row],[AB Variances ]]&gt;$P$2,"Anomaly","Normal")</f>
        <v>Anomaly</v>
      </c>
      <c r="R106" s="5">
        <f>SUMIFS(Table4[BudgetAmount],Table4[ActualExpense],"pending")</f>
        <v>0</v>
      </c>
    </row>
    <row r="107" spans="1:18">
      <c r="A107" t="s">
        <v>256</v>
      </c>
      <c r="B107" t="s">
        <v>257</v>
      </c>
      <c r="C107" t="s">
        <v>25</v>
      </c>
      <c r="D107" t="s">
        <v>40</v>
      </c>
      <c r="E107" t="s">
        <v>35</v>
      </c>
      <c r="F107" t="s">
        <v>36</v>
      </c>
      <c r="G107" s="2">
        <v>445936</v>
      </c>
      <c r="H107" s="1">
        <v>320849</v>
      </c>
      <c r="I107">
        <v>-125087</v>
      </c>
      <c r="J107" t="s">
        <v>19</v>
      </c>
      <c r="K107" t="s">
        <v>20</v>
      </c>
      <c r="L107" t="s">
        <v>21</v>
      </c>
      <c r="M107" t="s">
        <v>22</v>
      </c>
      <c r="N107" s="5">
        <f>Table4[[#This Row],[BudgetAmount]]/Table4[[#This Row],[Variance]]</f>
        <v>-3.5650067552983122</v>
      </c>
      <c r="O107" s="5" t="str">
        <f>TEXT(Table4[[#This Row],[Date]],"mmm")</f>
        <v>Aug</v>
      </c>
      <c r="P107" s="5">
        <f>ABS(Table4[[#This Row],[Variance]])</f>
        <v>125087</v>
      </c>
      <c r="Q107" s="5" t="str">
        <f>IF(Table4[[#This Row],[AB Variances ]]&gt;$P$2,"Anomaly","Normal")</f>
        <v>Anomaly</v>
      </c>
      <c r="R107" s="5">
        <f>SUMIFS(Table4[BudgetAmount],Table4[ActualExpense],"pending")</f>
        <v>0</v>
      </c>
    </row>
    <row r="108" spans="1:18">
      <c r="A108" t="s">
        <v>258</v>
      </c>
      <c r="B108" t="s">
        <v>259</v>
      </c>
      <c r="C108" t="s">
        <v>45</v>
      </c>
      <c r="D108" t="s">
        <v>26</v>
      </c>
      <c r="E108" t="s">
        <v>71</v>
      </c>
      <c r="F108" t="s">
        <v>72</v>
      </c>
      <c r="G108" s="2">
        <v>89954</v>
      </c>
      <c r="H108" s="1">
        <v>105483</v>
      </c>
      <c r="I108">
        <v>15529</v>
      </c>
      <c r="J108" t="s">
        <v>19</v>
      </c>
      <c r="K108" t="s">
        <v>67</v>
      </c>
      <c r="L108" t="s">
        <v>30</v>
      </c>
      <c r="M108" t="s">
        <v>42</v>
      </c>
      <c r="N108" s="5">
        <f>Table4[[#This Row],[BudgetAmount]]/Table4[[#This Row],[Variance]]</f>
        <v>5.7926460171292424</v>
      </c>
      <c r="O108" s="5" t="str">
        <f>TEXT(Table4[[#This Row],[Date]],"mmm")</f>
        <v>Apr</v>
      </c>
      <c r="P108" s="5">
        <f>ABS(Table4[[#This Row],[Variance]])</f>
        <v>15529</v>
      </c>
      <c r="Q108" s="5" t="str">
        <f>IF(Table4[[#This Row],[AB Variances ]]&gt;$P$2,"Anomaly","Normal")</f>
        <v>Normal</v>
      </c>
      <c r="R108" s="5">
        <f>SUMIFS(Table4[BudgetAmount],Table4[ActualExpense],"pending")</f>
        <v>0</v>
      </c>
    </row>
    <row r="109" spans="1:18">
      <c r="A109" t="s">
        <v>260</v>
      </c>
      <c r="B109" t="s">
        <v>261</v>
      </c>
      <c r="C109" t="s">
        <v>25</v>
      </c>
      <c r="D109" t="s">
        <v>26</v>
      </c>
      <c r="E109" t="s">
        <v>46</v>
      </c>
      <c r="F109" t="s">
        <v>47</v>
      </c>
      <c r="G109" s="2">
        <v>442042</v>
      </c>
      <c r="H109" s="1">
        <v>491200</v>
      </c>
      <c r="I109">
        <v>49158</v>
      </c>
      <c r="J109" t="s">
        <v>19</v>
      </c>
      <c r="K109" t="s">
        <v>20</v>
      </c>
      <c r="L109" t="s">
        <v>68</v>
      </c>
      <c r="M109" t="s">
        <v>22</v>
      </c>
      <c r="N109" s="5">
        <f>Table4[[#This Row],[BudgetAmount]]/Table4[[#This Row],[Variance]]</f>
        <v>8.9922698238333538</v>
      </c>
      <c r="O109" s="5" t="str">
        <f>TEXT(Table4[[#This Row],[Date]],"mmm")</f>
        <v>Oct</v>
      </c>
      <c r="P109" s="5">
        <f>ABS(Table4[[#This Row],[Variance]])</f>
        <v>49158</v>
      </c>
      <c r="Q109" s="5" t="str">
        <f>IF(Table4[[#This Row],[AB Variances ]]&gt;$P$2,"Anomaly","Normal")</f>
        <v>Anomaly</v>
      </c>
      <c r="R109" s="5">
        <f>SUMIFS(Table4[BudgetAmount],Table4[ActualExpense],"pending")</f>
        <v>0</v>
      </c>
    </row>
    <row r="110" spans="1:18">
      <c r="A110" t="s">
        <v>262</v>
      </c>
      <c r="B110" t="s">
        <v>196</v>
      </c>
      <c r="C110" t="s">
        <v>33</v>
      </c>
      <c r="D110" t="s">
        <v>34</v>
      </c>
      <c r="E110" t="s">
        <v>17</v>
      </c>
      <c r="F110" t="s">
        <v>18</v>
      </c>
      <c r="G110" s="2">
        <v>111146</v>
      </c>
      <c r="H110" s="1">
        <v>123418</v>
      </c>
      <c r="I110">
        <v>12272</v>
      </c>
      <c r="J110" t="s">
        <v>37</v>
      </c>
      <c r="K110" t="s">
        <v>67</v>
      </c>
      <c r="L110" t="s">
        <v>68</v>
      </c>
      <c r="M110" t="s">
        <v>22</v>
      </c>
      <c r="N110" s="5">
        <f>Table4[[#This Row],[BudgetAmount]]/Table4[[#This Row],[Variance]]</f>
        <v>9.0568774445893094</v>
      </c>
      <c r="O110" s="5" t="str">
        <f>TEXT(Table4[[#This Row],[Date]],"mmm")</f>
        <v>Sep</v>
      </c>
      <c r="P110" s="5">
        <f>ABS(Table4[[#This Row],[Variance]])</f>
        <v>12272</v>
      </c>
      <c r="Q110" s="5" t="str">
        <f>IF(Table4[[#This Row],[AB Variances ]]&gt;$P$2,"Anomaly","Normal")</f>
        <v>Normal</v>
      </c>
      <c r="R110" s="5">
        <f>SUMIFS(Table4[BudgetAmount],Table4[ActualExpense],"pending")</f>
        <v>0</v>
      </c>
    </row>
    <row r="111" spans="1:18">
      <c r="A111" t="s">
        <v>263</v>
      </c>
      <c r="B111" t="s">
        <v>188</v>
      </c>
      <c r="C111" t="s">
        <v>15</v>
      </c>
      <c r="D111" t="s">
        <v>61</v>
      </c>
      <c r="E111" t="s">
        <v>17</v>
      </c>
      <c r="F111" t="s">
        <v>18</v>
      </c>
      <c r="G111" s="2">
        <v>498802</v>
      </c>
      <c r="H111" s="1">
        <v>496053</v>
      </c>
      <c r="I111">
        <v>-2749</v>
      </c>
      <c r="J111" t="s">
        <v>54</v>
      </c>
      <c r="K111" t="s">
        <v>67</v>
      </c>
      <c r="L111" t="s">
        <v>68</v>
      </c>
      <c r="M111" t="s">
        <v>42</v>
      </c>
      <c r="N111" s="5">
        <f>Table4[[#This Row],[BudgetAmount]]/Table4[[#This Row],[Variance]]</f>
        <v>-181.44852673699526</v>
      </c>
      <c r="O111" s="5" t="str">
        <f>TEXT(Table4[[#This Row],[Date]],"mmm")</f>
        <v>Aug</v>
      </c>
      <c r="P111" s="5">
        <f>ABS(Table4[[#This Row],[Variance]])</f>
        <v>2749</v>
      </c>
      <c r="Q111" s="5" t="str">
        <f>IF(Table4[[#This Row],[AB Variances ]]&gt;$P$2,"Anomaly","Normal")</f>
        <v>Normal</v>
      </c>
      <c r="R111" s="5">
        <f>SUMIFS(Table4[BudgetAmount],Table4[ActualExpense],"pending")</f>
        <v>0</v>
      </c>
    </row>
    <row r="112" spans="1:18">
      <c r="A112" t="s">
        <v>264</v>
      </c>
      <c r="B112" t="s">
        <v>265</v>
      </c>
      <c r="C112" t="s">
        <v>64</v>
      </c>
      <c r="D112" t="s">
        <v>16</v>
      </c>
      <c r="E112" t="s">
        <v>85</v>
      </c>
      <c r="F112" t="s">
        <v>86</v>
      </c>
      <c r="G112" s="2">
        <v>311045</v>
      </c>
      <c r="H112" s="1">
        <v>237245</v>
      </c>
      <c r="I112">
        <v>-73800</v>
      </c>
      <c r="J112" t="s">
        <v>54</v>
      </c>
      <c r="K112" t="s">
        <v>67</v>
      </c>
      <c r="L112" t="s">
        <v>68</v>
      </c>
      <c r="M112" t="s">
        <v>42</v>
      </c>
      <c r="N112" s="5">
        <f>Table4[[#This Row],[BudgetAmount]]/Table4[[#This Row],[Variance]]</f>
        <v>-4.21470189701897</v>
      </c>
      <c r="O112" s="5" t="str">
        <f>TEXT(Table4[[#This Row],[Date]],"mmm")</f>
        <v>Jun</v>
      </c>
      <c r="P112" s="5">
        <f>ABS(Table4[[#This Row],[Variance]])</f>
        <v>73800</v>
      </c>
      <c r="Q112" s="5" t="str">
        <f>IF(Table4[[#This Row],[AB Variances ]]&gt;$P$2,"Anomaly","Normal")</f>
        <v>Anomaly</v>
      </c>
      <c r="R112" s="5">
        <f>SUMIFS(Table4[BudgetAmount],Table4[ActualExpense],"pending")</f>
        <v>0</v>
      </c>
    </row>
    <row r="113" spans="1:18">
      <c r="A113" t="s">
        <v>266</v>
      </c>
      <c r="B113" t="s">
        <v>267</v>
      </c>
      <c r="C113" t="s">
        <v>25</v>
      </c>
      <c r="D113" t="s">
        <v>26</v>
      </c>
      <c r="E113" t="s">
        <v>85</v>
      </c>
      <c r="F113" t="s">
        <v>86</v>
      </c>
      <c r="G113" s="2">
        <v>190491</v>
      </c>
      <c r="H113" s="1">
        <v>236538</v>
      </c>
      <c r="I113">
        <v>46047</v>
      </c>
      <c r="J113" t="s">
        <v>19</v>
      </c>
      <c r="K113" t="s">
        <v>67</v>
      </c>
      <c r="L113" t="s">
        <v>30</v>
      </c>
      <c r="M113" t="s">
        <v>42</v>
      </c>
      <c r="N113" s="5">
        <f>Table4[[#This Row],[BudgetAmount]]/Table4[[#This Row],[Variance]]</f>
        <v>4.1368818815558015</v>
      </c>
      <c r="O113" s="5" t="str">
        <f>TEXT(Table4[[#This Row],[Date]],"mmm")</f>
        <v>Jun</v>
      </c>
      <c r="P113" s="5">
        <f>ABS(Table4[[#This Row],[Variance]])</f>
        <v>46047</v>
      </c>
      <c r="Q113" s="5" t="str">
        <f>IF(Table4[[#This Row],[AB Variances ]]&gt;$P$2,"Anomaly","Normal")</f>
        <v>Anomaly</v>
      </c>
      <c r="R113" s="5">
        <f>SUMIFS(Table4[BudgetAmount],Table4[ActualExpense],"pending")</f>
        <v>0</v>
      </c>
    </row>
    <row r="114" spans="1:18">
      <c r="A114" t="s">
        <v>268</v>
      </c>
      <c r="B114" t="s">
        <v>249</v>
      </c>
      <c r="C114" t="s">
        <v>35</v>
      </c>
      <c r="D114" t="s">
        <v>61</v>
      </c>
      <c r="E114" t="s">
        <v>17</v>
      </c>
      <c r="F114" t="s">
        <v>18</v>
      </c>
      <c r="G114" s="2">
        <v>271899</v>
      </c>
      <c r="H114" s="1">
        <v>263070</v>
      </c>
      <c r="I114">
        <v>-8829</v>
      </c>
      <c r="J114" t="s">
        <v>19</v>
      </c>
      <c r="K114" t="s">
        <v>48</v>
      </c>
      <c r="L114" t="s">
        <v>49</v>
      </c>
      <c r="M114" t="s">
        <v>42</v>
      </c>
      <c r="N114" s="5">
        <f>Table4[[#This Row],[BudgetAmount]]/Table4[[#This Row],[Variance]]</f>
        <v>-30.796126401630989</v>
      </c>
      <c r="O114" s="5" t="str">
        <f>TEXT(Table4[[#This Row],[Date]],"mmm")</f>
        <v>Aug</v>
      </c>
      <c r="P114" s="5">
        <f>ABS(Table4[[#This Row],[Variance]])</f>
        <v>8829</v>
      </c>
      <c r="Q114" s="5" t="str">
        <f>IF(Table4[[#This Row],[AB Variances ]]&gt;$P$2,"Anomaly","Normal")</f>
        <v>Normal</v>
      </c>
      <c r="R114" s="5">
        <f>SUMIFS(Table4[BudgetAmount],Table4[ActualExpense],"pending")</f>
        <v>0</v>
      </c>
    </row>
    <row r="115" spans="1:18">
      <c r="A115" t="s">
        <v>269</v>
      </c>
      <c r="B115" t="s">
        <v>270</v>
      </c>
      <c r="C115" t="s">
        <v>33</v>
      </c>
      <c r="D115" t="s">
        <v>34</v>
      </c>
      <c r="E115" t="s">
        <v>27</v>
      </c>
      <c r="F115" t="s">
        <v>28</v>
      </c>
      <c r="G115" s="2">
        <v>333698</v>
      </c>
      <c r="H115" s="1">
        <v>357506</v>
      </c>
      <c r="I115">
        <v>23808</v>
      </c>
      <c r="J115" t="s">
        <v>54</v>
      </c>
      <c r="K115" t="s">
        <v>48</v>
      </c>
      <c r="L115" t="s">
        <v>30</v>
      </c>
      <c r="M115" t="s">
        <v>22</v>
      </c>
      <c r="N115" s="5">
        <f>Table4[[#This Row],[BudgetAmount]]/Table4[[#This Row],[Variance]]</f>
        <v>14.016213037634408</v>
      </c>
      <c r="O115" s="5" t="str">
        <f>TEXT(Table4[[#This Row],[Date]],"mmm")</f>
        <v>May</v>
      </c>
      <c r="P115" s="5">
        <f>ABS(Table4[[#This Row],[Variance]])</f>
        <v>23808</v>
      </c>
      <c r="Q115" s="5" t="str">
        <f>IF(Table4[[#This Row],[AB Variances ]]&gt;$P$2,"Anomaly","Normal")</f>
        <v>Anomaly</v>
      </c>
      <c r="R115" s="5">
        <f>SUMIFS(Table4[BudgetAmount],Table4[ActualExpense],"pending")</f>
        <v>0</v>
      </c>
    </row>
    <row r="116" spans="1:18">
      <c r="A116" t="s">
        <v>271</v>
      </c>
      <c r="B116" t="s">
        <v>272</v>
      </c>
      <c r="C116" t="s">
        <v>35</v>
      </c>
      <c r="D116" t="s">
        <v>26</v>
      </c>
      <c r="E116" t="s">
        <v>35</v>
      </c>
      <c r="F116" t="s">
        <v>36</v>
      </c>
      <c r="G116" s="2">
        <v>418929</v>
      </c>
      <c r="H116" s="1">
        <v>500725</v>
      </c>
      <c r="I116">
        <v>81796</v>
      </c>
      <c r="J116" t="s">
        <v>37</v>
      </c>
      <c r="K116" t="s">
        <v>48</v>
      </c>
      <c r="L116" t="s">
        <v>49</v>
      </c>
      <c r="M116" t="s">
        <v>42</v>
      </c>
      <c r="N116" s="5">
        <f>Table4[[#This Row],[BudgetAmount]]/Table4[[#This Row],[Variance]]</f>
        <v>5.1216318646388572</v>
      </c>
      <c r="O116" s="5" t="str">
        <f>TEXT(Table4[[#This Row],[Date]],"mmm")</f>
        <v>Sep</v>
      </c>
      <c r="P116" s="5">
        <f>ABS(Table4[[#This Row],[Variance]])</f>
        <v>81796</v>
      </c>
      <c r="Q116" s="5" t="str">
        <f>IF(Table4[[#This Row],[AB Variances ]]&gt;$P$2,"Anomaly","Normal")</f>
        <v>Anomaly</v>
      </c>
      <c r="R116" s="5">
        <f>SUMIFS(Table4[BudgetAmount],Table4[ActualExpense],"pending")</f>
        <v>0</v>
      </c>
    </row>
    <row r="117" spans="1:18">
      <c r="A117" t="s">
        <v>273</v>
      </c>
      <c r="B117" t="s">
        <v>245</v>
      </c>
      <c r="C117" t="s">
        <v>45</v>
      </c>
      <c r="D117" t="s">
        <v>16</v>
      </c>
      <c r="E117" t="s">
        <v>85</v>
      </c>
      <c r="F117" t="s">
        <v>86</v>
      </c>
      <c r="G117" s="2">
        <v>334071</v>
      </c>
      <c r="H117" s="1">
        <v>311440</v>
      </c>
      <c r="I117">
        <v>-22631</v>
      </c>
      <c r="J117" t="s">
        <v>19</v>
      </c>
      <c r="K117" t="s">
        <v>67</v>
      </c>
      <c r="L117" t="s">
        <v>21</v>
      </c>
      <c r="M117" t="s">
        <v>42</v>
      </c>
      <c r="N117" s="5">
        <f>Table4[[#This Row],[BudgetAmount]]/Table4[[#This Row],[Variance]]</f>
        <v>-14.761654367902434</v>
      </c>
      <c r="O117" s="5" t="str">
        <f>TEXT(Table4[[#This Row],[Date]],"mmm")</f>
        <v>Dec</v>
      </c>
      <c r="P117" s="5">
        <f>ABS(Table4[[#This Row],[Variance]])</f>
        <v>22631</v>
      </c>
      <c r="Q117" s="5" t="str">
        <f>IF(Table4[[#This Row],[AB Variances ]]&gt;$P$2,"Anomaly","Normal")</f>
        <v>Anomaly</v>
      </c>
      <c r="R117" s="5">
        <f>SUMIFS(Table4[BudgetAmount],Table4[ActualExpense],"pending")</f>
        <v>0</v>
      </c>
    </row>
    <row r="118" spans="1:18">
      <c r="A118" t="s">
        <v>274</v>
      </c>
      <c r="B118" t="s">
        <v>178</v>
      </c>
      <c r="C118" t="s">
        <v>25</v>
      </c>
      <c r="D118" t="s">
        <v>16</v>
      </c>
      <c r="E118" t="s">
        <v>27</v>
      </c>
      <c r="F118" t="s">
        <v>28</v>
      </c>
      <c r="G118" s="2">
        <v>229874</v>
      </c>
      <c r="H118" s="1">
        <v>210397</v>
      </c>
      <c r="I118">
        <v>-19477</v>
      </c>
      <c r="J118" t="s">
        <v>19</v>
      </c>
      <c r="K118" t="s">
        <v>29</v>
      </c>
      <c r="L118" t="s">
        <v>30</v>
      </c>
      <c r="M118" t="s">
        <v>22</v>
      </c>
      <c r="N118" s="5">
        <f>Table4[[#This Row],[BudgetAmount]]/Table4[[#This Row],[Variance]]</f>
        <v>-11.802330954459105</v>
      </c>
      <c r="O118" s="5" t="str">
        <f>TEXT(Table4[[#This Row],[Date]],"mmm")</f>
        <v>Jul</v>
      </c>
      <c r="P118" s="5">
        <f>ABS(Table4[[#This Row],[Variance]])</f>
        <v>19477</v>
      </c>
      <c r="Q118" s="5" t="str">
        <f>IF(Table4[[#This Row],[AB Variances ]]&gt;$P$2,"Anomaly","Normal")</f>
        <v>Anomaly</v>
      </c>
      <c r="R118" s="5">
        <f>SUMIFS(Table4[BudgetAmount],Table4[ActualExpense],"pending")</f>
        <v>0</v>
      </c>
    </row>
    <row r="119" spans="1:18">
      <c r="A119" t="s">
        <v>275</v>
      </c>
      <c r="B119" t="s">
        <v>276</v>
      </c>
      <c r="C119" t="s">
        <v>15</v>
      </c>
      <c r="D119" t="s">
        <v>26</v>
      </c>
      <c r="E119" t="s">
        <v>85</v>
      </c>
      <c r="F119" t="s">
        <v>86</v>
      </c>
      <c r="G119" s="2">
        <v>121377</v>
      </c>
      <c r="H119" s="1">
        <v>148361</v>
      </c>
      <c r="I119">
        <v>26984</v>
      </c>
      <c r="J119" t="s">
        <v>54</v>
      </c>
      <c r="K119" t="s">
        <v>48</v>
      </c>
      <c r="L119" t="s">
        <v>68</v>
      </c>
      <c r="M119" t="s">
        <v>42</v>
      </c>
      <c r="N119" s="5">
        <f>Table4[[#This Row],[BudgetAmount]]/Table4[[#This Row],[Variance]]</f>
        <v>4.4981099911058404</v>
      </c>
      <c r="O119" s="5" t="str">
        <f>TEXT(Table4[[#This Row],[Date]],"mmm")</f>
        <v>Apr</v>
      </c>
      <c r="P119" s="5">
        <f>ABS(Table4[[#This Row],[Variance]])</f>
        <v>26984</v>
      </c>
      <c r="Q119" s="5" t="str">
        <f>IF(Table4[[#This Row],[AB Variances ]]&gt;$P$2,"Anomaly","Normal")</f>
        <v>Anomaly</v>
      </c>
      <c r="R119" s="5">
        <f>SUMIFS(Table4[BudgetAmount],Table4[ActualExpense],"pending")</f>
        <v>0</v>
      </c>
    </row>
    <row r="120" spans="1:18">
      <c r="A120" t="s">
        <v>277</v>
      </c>
      <c r="B120" t="s">
        <v>206</v>
      </c>
      <c r="C120" t="s">
        <v>33</v>
      </c>
      <c r="D120" t="s">
        <v>26</v>
      </c>
      <c r="E120" t="s">
        <v>35</v>
      </c>
      <c r="F120" t="s">
        <v>36</v>
      </c>
      <c r="G120" s="2">
        <v>281906</v>
      </c>
      <c r="H120" s="1">
        <v>381849</v>
      </c>
      <c r="I120">
        <v>99943</v>
      </c>
      <c r="J120" t="s">
        <v>54</v>
      </c>
      <c r="K120" t="s">
        <v>48</v>
      </c>
      <c r="L120" t="s">
        <v>68</v>
      </c>
      <c r="M120" t="s">
        <v>42</v>
      </c>
      <c r="N120" s="5">
        <f>Table4[[#This Row],[BudgetAmount]]/Table4[[#This Row],[Variance]]</f>
        <v>2.8206677806349618</v>
      </c>
      <c r="O120" s="5" t="str">
        <f>TEXT(Table4[[#This Row],[Date]],"mmm")</f>
        <v>Feb</v>
      </c>
      <c r="P120" s="5">
        <f>ABS(Table4[[#This Row],[Variance]])</f>
        <v>99943</v>
      </c>
      <c r="Q120" s="5" t="str">
        <f>IF(Table4[[#This Row],[AB Variances ]]&gt;$P$2,"Anomaly","Normal")</f>
        <v>Anomaly</v>
      </c>
      <c r="R120" s="5">
        <f>SUMIFS(Table4[BudgetAmount],Table4[ActualExpense],"pending")</f>
        <v>0</v>
      </c>
    </row>
    <row r="121" spans="1:18">
      <c r="A121" t="s">
        <v>278</v>
      </c>
      <c r="B121" t="s">
        <v>279</v>
      </c>
      <c r="C121" t="s">
        <v>25</v>
      </c>
      <c r="D121" t="s">
        <v>16</v>
      </c>
      <c r="E121" t="s">
        <v>17</v>
      </c>
      <c r="F121" t="s">
        <v>18</v>
      </c>
      <c r="G121" s="2">
        <v>152094</v>
      </c>
      <c r="H121" s="1">
        <v>177239</v>
      </c>
      <c r="I121">
        <v>25145</v>
      </c>
      <c r="J121" t="s">
        <v>54</v>
      </c>
      <c r="K121" t="s">
        <v>20</v>
      </c>
      <c r="L121" t="s">
        <v>21</v>
      </c>
      <c r="M121" t="s">
        <v>22</v>
      </c>
      <c r="N121" s="5">
        <f>Table4[[#This Row],[BudgetAmount]]/Table4[[#This Row],[Variance]]</f>
        <v>6.0486776695168025</v>
      </c>
      <c r="O121" s="5" t="str">
        <f>TEXT(Table4[[#This Row],[Date]],"mmm")</f>
        <v>Feb</v>
      </c>
      <c r="P121" s="5">
        <f>ABS(Table4[[#This Row],[Variance]])</f>
        <v>25145</v>
      </c>
      <c r="Q121" s="5" t="str">
        <f>IF(Table4[[#This Row],[AB Variances ]]&gt;$P$2,"Anomaly","Normal")</f>
        <v>Anomaly</v>
      </c>
      <c r="R121" s="5">
        <f>SUMIFS(Table4[BudgetAmount],Table4[ActualExpense],"pending")</f>
        <v>0</v>
      </c>
    </row>
    <row r="122" spans="1:18">
      <c r="A122" t="s">
        <v>280</v>
      </c>
      <c r="B122" t="s">
        <v>281</v>
      </c>
      <c r="C122" t="s">
        <v>25</v>
      </c>
      <c r="D122" t="s">
        <v>61</v>
      </c>
      <c r="E122" t="s">
        <v>35</v>
      </c>
      <c r="F122" t="s">
        <v>36</v>
      </c>
      <c r="G122" s="2">
        <v>355097</v>
      </c>
      <c r="H122" s="1">
        <v>489143</v>
      </c>
      <c r="I122">
        <v>134046</v>
      </c>
      <c r="J122" t="s">
        <v>19</v>
      </c>
      <c r="K122" t="s">
        <v>48</v>
      </c>
      <c r="L122" t="s">
        <v>49</v>
      </c>
      <c r="M122" t="s">
        <v>22</v>
      </c>
      <c r="N122" s="5">
        <f>Table4[[#This Row],[BudgetAmount]]/Table4[[#This Row],[Variance]]</f>
        <v>2.6490682303089983</v>
      </c>
      <c r="O122" s="5" t="str">
        <f>TEXT(Table4[[#This Row],[Date]],"mmm")</f>
        <v>Aug</v>
      </c>
      <c r="P122" s="5">
        <f>ABS(Table4[[#This Row],[Variance]])</f>
        <v>134046</v>
      </c>
      <c r="Q122" s="5" t="str">
        <f>IF(Table4[[#This Row],[AB Variances ]]&gt;$P$2,"Anomaly","Normal")</f>
        <v>Anomaly</v>
      </c>
      <c r="R122" s="5">
        <f>SUMIFS(Table4[BudgetAmount],Table4[ActualExpense],"pending")</f>
        <v>0</v>
      </c>
    </row>
    <row r="123" spans="1:18">
      <c r="A123" t="s">
        <v>282</v>
      </c>
      <c r="B123" t="s">
        <v>283</v>
      </c>
      <c r="C123" t="s">
        <v>33</v>
      </c>
      <c r="D123" t="s">
        <v>26</v>
      </c>
      <c r="E123" t="s">
        <v>35</v>
      </c>
      <c r="F123" t="s">
        <v>36</v>
      </c>
      <c r="G123" s="2">
        <v>313213</v>
      </c>
      <c r="H123" s="1">
        <v>370963</v>
      </c>
      <c r="I123">
        <v>57750</v>
      </c>
      <c r="J123" t="s">
        <v>37</v>
      </c>
      <c r="K123" t="s">
        <v>48</v>
      </c>
      <c r="L123" t="s">
        <v>30</v>
      </c>
      <c r="M123" t="s">
        <v>22</v>
      </c>
      <c r="N123" s="5">
        <f>Table4[[#This Row],[BudgetAmount]]/Table4[[#This Row],[Variance]]</f>
        <v>5.4236017316017318</v>
      </c>
      <c r="O123" s="5" t="str">
        <f>TEXT(Table4[[#This Row],[Date]],"mmm")</f>
        <v>May</v>
      </c>
      <c r="P123" s="5">
        <f>ABS(Table4[[#This Row],[Variance]])</f>
        <v>57750</v>
      </c>
      <c r="Q123" s="5" t="str">
        <f>IF(Table4[[#This Row],[AB Variances ]]&gt;$P$2,"Anomaly","Normal")</f>
        <v>Anomaly</v>
      </c>
      <c r="R123" s="5">
        <f>SUMIFS(Table4[BudgetAmount],Table4[ActualExpense],"pending")</f>
        <v>0</v>
      </c>
    </row>
    <row r="124" spans="1:18">
      <c r="A124" t="s">
        <v>284</v>
      </c>
      <c r="B124" t="s">
        <v>285</v>
      </c>
      <c r="C124" t="s">
        <v>33</v>
      </c>
      <c r="D124" t="s">
        <v>26</v>
      </c>
      <c r="E124" t="s">
        <v>27</v>
      </c>
      <c r="F124" t="s">
        <v>28</v>
      </c>
      <c r="G124" s="2">
        <v>281345</v>
      </c>
      <c r="H124" s="1">
        <v>242138</v>
      </c>
      <c r="I124">
        <v>-39207</v>
      </c>
      <c r="J124" t="s">
        <v>19</v>
      </c>
      <c r="K124" t="s">
        <v>20</v>
      </c>
      <c r="L124" t="s">
        <v>68</v>
      </c>
      <c r="M124" t="s">
        <v>22</v>
      </c>
      <c r="N124" s="5">
        <f>Table4[[#This Row],[BudgetAmount]]/Table4[[#This Row],[Variance]]</f>
        <v>-7.17588695896141</v>
      </c>
      <c r="O124" s="5" t="str">
        <f>TEXT(Table4[[#This Row],[Date]],"mmm")</f>
        <v>Mar</v>
      </c>
      <c r="P124" s="5">
        <f>ABS(Table4[[#This Row],[Variance]])</f>
        <v>39207</v>
      </c>
      <c r="Q124" s="5" t="str">
        <f>IF(Table4[[#This Row],[AB Variances ]]&gt;$P$2,"Anomaly","Normal")</f>
        <v>Anomaly</v>
      </c>
      <c r="R124" s="5">
        <f>SUMIFS(Table4[BudgetAmount],Table4[ActualExpense],"pending")</f>
        <v>0</v>
      </c>
    </row>
    <row r="125" spans="1:18">
      <c r="A125" t="s">
        <v>286</v>
      </c>
      <c r="B125" t="s">
        <v>287</v>
      </c>
      <c r="C125" t="s">
        <v>45</v>
      </c>
      <c r="D125" t="s">
        <v>34</v>
      </c>
      <c r="E125" t="s">
        <v>27</v>
      </c>
      <c r="F125" t="s">
        <v>28</v>
      </c>
      <c r="G125" s="2">
        <v>261835</v>
      </c>
      <c r="H125" s="1">
        <v>205006</v>
      </c>
      <c r="I125">
        <v>-56829</v>
      </c>
      <c r="J125" t="s">
        <v>19</v>
      </c>
      <c r="K125" t="s">
        <v>20</v>
      </c>
      <c r="L125" t="s">
        <v>30</v>
      </c>
      <c r="M125" t="s">
        <v>42</v>
      </c>
      <c r="N125" s="5">
        <f>Table4[[#This Row],[BudgetAmount]]/Table4[[#This Row],[Variance]]</f>
        <v>-4.607418747470482</v>
      </c>
      <c r="O125" s="5" t="str">
        <f>TEXT(Table4[[#This Row],[Date]],"mmm")</f>
        <v>Oct</v>
      </c>
      <c r="P125" s="5">
        <f>ABS(Table4[[#This Row],[Variance]])</f>
        <v>56829</v>
      </c>
      <c r="Q125" s="5" t="str">
        <f>IF(Table4[[#This Row],[AB Variances ]]&gt;$P$2,"Anomaly","Normal")</f>
        <v>Anomaly</v>
      </c>
      <c r="R125" s="5">
        <f>SUMIFS(Table4[BudgetAmount],Table4[ActualExpense],"pending")</f>
        <v>0</v>
      </c>
    </row>
    <row r="126" spans="1:18">
      <c r="A126" t="s">
        <v>288</v>
      </c>
      <c r="B126" t="s">
        <v>289</v>
      </c>
      <c r="C126" t="s">
        <v>15</v>
      </c>
      <c r="D126" t="s">
        <v>34</v>
      </c>
      <c r="E126" t="s">
        <v>71</v>
      </c>
      <c r="F126" t="s">
        <v>72</v>
      </c>
      <c r="G126" s="2">
        <v>373468</v>
      </c>
      <c r="H126" s="1">
        <v>482586</v>
      </c>
      <c r="I126">
        <v>109118</v>
      </c>
      <c r="J126" t="s">
        <v>37</v>
      </c>
      <c r="K126" t="s">
        <v>20</v>
      </c>
      <c r="L126" t="s">
        <v>30</v>
      </c>
      <c r="M126" t="s">
        <v>22</v>
      </c>
      <c r="N126" s="5">
        <f>Table4[[#This Row],[BudgetAmount]]/Table4[[#This Row],[Variance]]</f>
        <v>3.4226067193313661</v>
      </c>
      <c r="O126" s="5" t="str">
        <f>TEXT(Table4[[#This Row],[Date]],"mmm")</f>
        <v>May</v>
      </c>
      <c r="P126" s="5">
        <f>ABS(Table4[[#This Row],[Variance]])</f>
        <v>109118</v>
      </c>
      <c r="Q126" s="5" t="str">
        <f>IF(Table4[[#This Row],[AB Variances ]]&gt;$P$2,"Anomaly","Normal")</f>
        <v>Anomaly</v>
      </c>
      <c r="R126" s="5">
        <f>SUMIFS(Table4[BudgetAmount],Table4[ActualExpense],"pending")</f>
        <v>0</v>
      </c>
    </row>
    <row r="127" spans="1:18">
      <c r="A127" t="s">
        <v>290</v>
      </c>
      <c r="B127" t="s">
        <v>291</v>
      </c>
      <c r="C127" t="s">
        <v>45</v>
      </c>
      <c r="D127" t="s">
        <v>26</v>
      </c>
      <c r="E127" t="s">
        <v>71</v>
      </c>
      <c r="F127" t="s">
        <v>72</v>
      </c>
      <c r="G127" s="2">
        <v>92298</v>
      </c>
      <c r="H127" s="1">
        <v>121952</v>
      </c>
      <c r="I127">
        <v>29654</v>
      </c>
      <c r="J127" t="s">
        <v>54</v>
      </c>
      <c r="K127" t="s">
        <v>67</v>
      </c>
      <c r="L127" t="s">
        <v>68</v>
      </c>
      <c r="M127" t="s">
        <v>22</v>
      </c>
      <c r="N127" s="5">
        <f>Table4[[#This Row],[BudgetAmount]]/Table4[[#This Row],[Variance]]</f>
        <v>3.1124974708302422</v>
      </c>
      <c r="O127" s="5" t="str">
        <f>TEXT(Table4[[#This Row],[Date]],"mmm")</f>
        <v>Dec</v>
      </c>
      <c r="P127" s="5">
        <f>ABS(Table4[[#This Row],[Variance]])</f>
        <v>29654</v>
      </c>
      <c r="Q127" s="5" t="str">
        <f>IF(Table4[[#This Row],[AB Variances ]]&gt;$P$2,"Anomaly","Normal")</f>
        <v>Anomaly</v>
      </c>
      <c r="R127" s="5">
        <f>SUMIFS(Table4[BudgetAmount],Table4[ActualExpense],"pending")</f>
        <v>0</v>
      </c>
    </row>
    <row r="128" spans="1:18">
      <c r="A128" t="s">
        <v>292</v>
      </c>
      <c r="B128" t="s">
        <v>293</v>
      </c>
      <c r="C128" t="s">
        <v>25</v>
      </c>
      <c r="D128" t="s">
        <v>61</v>
      </c>
      <c r="E128" t="s">
        <v>46</v>
      </c>
      <c r="F128" t="s">
        <v>47</v>
      </c>
      <c r="G128" s="2">
        <v>378063</v>
      </c>
      <c r="H128" s="1">
        <v>412256</v>
      </c>
      <c r="I128">
        <v>34193</v>
      </c>
      <c r="J128" t="s">
        <v>19</v>
      </c>
      <c r="K128" t="s">
        <v>48</v>
      </c>
      <c r="L128" t="s">
        <v>21</v>
      </c>
      <c r="M128" t="s">
        <v>22</v>
      </c>
      <c r="N128" s="5">
        <f>Table4[[#This Row],[BudgetAmount]]/Table4[[#This Row],[Variance]]</f>
        <v>11.056736758985757</v>
      </c>
      <c r="O128" s="5" t="str">
        <f>TEXT(Table4[[#This Row],[Date]],"mmm")</f>
        <v>Sep</v>
      </c>
      <c r="P128" s="5">
        <f>ABS(Table4[[#This Row],[Variance]])</f>
        <v>34193</v>
      </c>
      <c r="Q128" s="5" t="str">
        <f>IF(Table4[[#This Row],[AB Variances ]]&gt;$P$2,"Anomaly","Normal")</f>
        <v>Anomaly</v>
      </c>
      <c r="R128" s="5">
        <f>SUMIFS(Table4[BudgetAmount],Table4[ActualExpense],"pending")</f>
        <v>0</v>
      </c>
    </row>
    <row r="129" spans="1:18">
      <c r="A129" t="s">
        <v>294</v>
      </c>
      <c r="B129" t="s">
        <v>295</v>
      </c>
      <c r="C129" t="s">
        <v>64</v>
      </c>
      <c r="D129" t="s">
        <v>16</v>
      </c>
      <c r="E129" t="s">
        <v>35</v>
      </c>
      <c r="F129" t="s">
        <v>36</v>
      </c>
      <c r="G129" s="2">
        <v>174935</v>
      </c>
      <c r="H129" s="1">
        <v>123375</v>
      </c>
      <c r="I129">
        <v>-51560</v>
      </c>
      <c r="J129" t="s">
        <v>54</v>
      </c>
      <c r="K129" t="s">
        <v>29</v>
      </c>
      <c r="L129" t="s">
        <v>68</v>
      </c>
      <c r="M129" t="s">
        <v>22</v>
      </c>
      <c r="N129" s="5">
        <f>Table4[[#This Row],[BudgetAmount]]/Table4[[#This Row],[Variance]]</f>
        <v>-3.3928432893716058</v>
      </c>
      <c r="O129" s="5" t="str">
        <f>TEXT(Table4[[#This Row],[Date]],"mmm")</f>
        <v>Feb</v>
      </c>
      <c r="P129" s="5">
        <f>ABS(Table4[[#This Row],[Variance]])</f>
        <v>51560</v>
      </c>
      <c r="Q129" s="5" t="str">
        <f>IF(Table4[[#This Row],[AB Variances ]]&gt;$P$2,"Anomaly","Normal")</f>
        <v>Anomaly</v>
      </c>
      <c r="R129" s="5">
        <f>SUMIFS(Table4[BudgetAmount],Table4[ActualExpense],"pending")</f>
        <v>0</v>
      </c>
    </row>
    <row r="130" spans="1:18">
      <c r="A130" t="s">
        <v>296</v>
      </c>
      <c r="B130" t="s">
        <v>297</v>
      </c>
      <c r="C130" t="s">
        <v>35</v>
      </c>
      <c r="D130" t="s">
        <v>34</v>
      </c>
      <c r="E130" t="s">
        <v>85</v>
      </c>
      <c r="F130" t="s">
        <v>86</v>
      </c>
      <c r="G130" s="2">
        <v>134932</v>
      </c>
      <c r="H130" s="1">
        <v>128693</v>
      </c>
      <c r="I130">
        <v>-6239</v>
      </c>
      <c r="J130" t="s">
        <v>54</v>
      </c>
      <c r="K130" t="s">
        <v>41</v>
      </c>
      <c r="L130" t="s">
        <v>68</v>
      </c>
      <c r="M130" t="s">
        <v>22</v>
      </c>
      <c r="N130" s="5">
        <f>Table4[[#This Row],[BudgetAmount]]/Table4[[#This Row],[Variance]]</f>
        <v>-21.627183843564673</v>
      </c>
      <c r="O130" s="5" t="str">
        <f>TEXT(Table4[[#This Row],[Date]],"mmm")</f>
        <v>Nov</v>
      </c>
      <c r="P130" s="5">
        <f>ABS(Table4[[#This Row],[Variance]])</f>
        <v>6239</v>
      </c>
      <c r="Q130" s="5" t="str">
        <f>IF(Table4[[#This Row],[AB Variances ]]&gt;$P$2,"Anomaly","Normal")</f>
        <v>Normal</v>
      </c>
      <c r="R130" s="5">
        <f>SUMIFS(Table4[BudgetAmount],Table4[ActualExpense],"pending")</f>
        <v>0</v>
      </c>
    </row>
    <row r="131" spans="1:18">
      <c r="A131" t="s">
        <v>298</v>
      </c>
      <c r="B131" t="s">
        <v>176</v>
      </c>
      <c r="C131" t="s">
        <v>15</v>
      </c>
      <c r="D131" t="s">
        <v>61</v>
      </c>
      <c r="E131" t="s">
        <v>71</v>
      </c>
      <c r="F131" t="s">
        <v>72</v>
      </c>
      <c r="G131" s="2">
        <v>497005</v>
      </c>
      <c r="H131" s="1">
        <v>528987</v>
      </c>
      <c r="I131">
        <v>31982</v>
      </c>
      <c r="J131" t="s">
        <v>54</v>
      </c>
      <c r="K131" t="s">
        <v>67</v>
      </c>
      <c r="L131" t="s">
        <v>68</v>
      </c>
      <c r="M131" t="s">
        <v>42</v>
      </c>
      <c r="N131" s="5">
        <f>Table4[[#This Row],[BudgetAmount]]/Table4[[#This Row],[Variance]]</f>
        <v>15.540147583015447</v>
      </c>
      <c r="O131" s="5" t="str">
        <f>TEXT(Table4[[#This Row],[Date]],"mmm")</f>
        <v>Dec</v>
      </c>
      <c r="P131" s="5">
        <f>ABS(Table4[[#This Row],[Variance]])</f>
        <v>31982</v>
      </c>
      <c r="Q131" s="5" t="str">
        <f>IF(Table4[[#This Row],[AB Variances ]]&gt;$P$2,"Anomaly","Normal")</f>
        <v>Anomaly</v>
      </c>
      <c r="R131" s="5">
        <f>SUMIFS(Table4[BudgetAmount],Table4[ActualExpense],"pending")</f>
        <v>0</v>
      </c>
    </row>
    <row r="132" spans="1:18">
      <c r="A132" t="s">
        <v>299</v>
      </c>
      <c r="B132" t="s">
        <v>300</v>
      </c>
      <c r="C132" t="s">
        <v>33</v>
      </c>
      <c r="D132" t="s">
        <v>61</v>
      </c>
      <c r="E132" t="s">
        <v>17</v>
      </c>
      <c r="F132" t="s">
        <v>18</v>
      </c>
      <c r="G132" s="2">
        <v>459656</v>
      </c>
      <c r="H132" s="1">
        <v>551325</v>
      </c>
      <c r="I132">
        <v>91669</v>
      </c>
      <c r="J132" t="s">
        <v>37</v>
      </c>
      <c r="K132" t="s">
        <v>67</v>
      </c>
      <c r="L132" t="s">
        <v>49</v>
      </c>
      <c r="M132" t="s">
        <v>22</v>
      </c>
      <c r="N132" s="5">
        <f>Table4[[#This Row],[BudgetAmount]]/Table4[[#This Row],[Variance]]</f>
        <v>5.0143014541448032</v>
      </c>
      <c r="O132" s="5" t="str">
        <f>TEXT(Table4[[#This Row],[Date]],"mmm")</f>
        <v>Feb</v>
      </c>
      <c r="P132" s="5">
        <f>ABS(Table4[[#This Row],[Variance]])</f>
        <v>91669</v>
      </c>
      <c r="Q132" s="5" t="str">
        <f>IF(Table4[[#This Row],[AB Variances ]]&gt;$P$2,"Anomaly","Normal")</f>
        <v>Anomaly</v>
      </c>
      <c r="R132" s="5">
        <f>SUMIFS(Table4[BudgetAmount],Table4[ActualExpense],"pending")</f>
        <v>0</v>
      </c>
    </row>
    <row r="133" spans="1:18">
      <c r="A133" t="s">
        <v>301</v>
      </c>
      <c r="B133" t="s">
        <v>302</v>
      </c>
      <c r="C133" t="s">
        <v>33</v>
      </c>
      <c r="D133" t="s">
        <v>40</v>
      </c>
      <c r="E133" t="s">
        <v>71</v>
      </c>
      <c r="F133" t="s">
        <v>72</v>
      </c>
      <c r="G133" s="2">
        <v>90743</v>
      </c>
      <c r="H133" s="1">
        <v>75552</v>
      </c>
      <c r="I133">
        <v>-15191</v>
      </c>
      <c r="J133" t="s">
        <v>19</v>
      </c>
      <c r="K133" t="s">
        <v>48</v>
      </c>
      <c r="L133" t="s">
        <v>49</v>
      </c>
      <c r="M133" t="s">
        <v>22</v>
      </c>
      <c r="N133" s="5">
        <f>Table4[[#This Row],[BudgetAmount]]/Table4[[#This Row],[Variance]]</f>
        <v>-5.9734711342242113</v>
      </c>
      <c r="O133" s="5" t="str">
        <f>TEXT(Table4[[#This Row],[Date]],"mmm")</f>
        <v>Jul</v>
      </c>
      <c r="P133" s="5">
        <f>ABS(Table4[[#This Row],[Variance]])</f>
        <v>15191</v>
      </c>
      <c r="Q133" s="5" t="str">
        <f>IF(Table4[[#This Row],[AB Variances ]]&gt;$P$2,"Anomaly","Normal")</f>
        <v>Normal</v>
      </c>
      <c r="R133" s="5">
        <f>SUMIFS(Table4[BudgetAmount],Table4[ActualExpense],"pending")</f>
        <v>0</v>
      </c>
    </row>
    <row r="134" spans="1:18">
      <c r="A134" t="s">
        <v>303</v>
      </c>
      <c r="B134" t="s">
        <v>304</v>
      </c>
      <c r="C134" t="s">
        <v>64</v>
      </c>
      <c r="D134" t="s">
        <v>61</v>
      </c>
      <c r="E134" t="s">
        <v>46</v>
      </c>
      <c r="F134" t="s">
        <v>47</v>
      </c>
      <c r="G134" s="2">
        <v>233842</v>
      </c>
      <c r="H134" s="1">
        <v>304703</v>
      </c>
      <c r="I134">
        <v>70861</v>
      </c>
      <c r="J134" t="s">
        <v>37</v>
      </c>
      <c r="K134" t="s">
        <v>48</v>
      </c>
      <c r="L134" t="s">
        <v>30</v>
      </c>
      <c r="M134" t="s">
        <v>42</v>
      </c>
      <c r="N134" s="5">
        <f>Table4[[#This Row],[BudgetAmount]]/Table4[[#This Row],[Variance]]</f>
        <v>3.3000098784945173</v>
      </c>
      <c r="O134" s="5" t="str">
        <f>TEXT(Table4[[#This Row],[Date]],"mmm")</f>
        <v>Dec</v>
      </c>
      <c r="P134" s="5">
        <f>ABS(Table4[[#This Row],[Variance]])</f>
        <v>70861</v>
      </c>
      <c r="Q134" s="5" t="str">
        <f>IF(Table4[[#This Row],[AB Variances ]]&gt;$P$2,"Anomaly","Normal")</f>
        <v>Anomaly</v>
      </c>
      <c r="R134" s="5">
        <f>SUMIFS(Table4[BudgetAmount],Table4[ActualExpense],"pending")</f>
        <v>0</v>
      </c>
    </row>
    <row r="135" spans="1:18">
      <c r="A135" t="s">
        <v>305</v>
      </c>
      <c r="B135" t="s">
        <v>306</v>
      </c>
      <c r="C135" t="s">
        <v>25</v>
      </c>
      <c r="D135" t="s">
        <v>40</v>
      </c>
      <c r="E135" t="s">
        <v>27</v>
      </c>
      <c r="F135" t="s">
        <v>28</v>
      </c>
      <c r="G135" s="2">
        <v>188083</v>
      </c>
      <c r="H135" s="1">
        <v>183720</v>
      </c>
      <c r="I135">
        <v>-4363</v>
      </c>
      <c r="J135" t="s">
        <v>37</v>
      </c>
      <c r="K135" t="s">
        <v>20</v>
      </c>
      <c r="L135" t="s">
        <v>30</v>
      </c>
      <c r="M135" t="s">
        <v>42</v>
      </c>
      <c r="N135" s="5">
        <f>Table4[[#This Row],[BudgetAmount]]/Table4[[#This Row],[Variance]]</f>
        <v>-43.108640843456335</v>
      </c>
      <c r="O135" s="5" t="str">
        <f>TEXT(Table4[[#This Row],[Date]],"mmm")</f>
        <v>Apr</v>
      </c>
      <c r="P135" s="5">
        <f>ABS(Table4[[#This Row],[Variance]])</f>
        <v>4363</v>
      </c>
      <c r="Q135" s="5" t="str">
        <f>IF(Table4[[#This Row],[AB Variances ]]&gt;$P$2,"Anomaly","Normal")</f>
        <v>Normal</v>
      </c>
      <c r="R135" s="5">
        <f>SUMIFS(Table4[BudgetAmount],Table4[ActualExpense],"pending")</f>
        <v>0</v>
      </c>
    </row>
    <row r="136" spans="1:18">
      <c r="A136" t="s">
        <v>307</v>
      </c>
      <c r="B136" t="s">
        <v>308</v>
      </c>
      <c r="C136" t="s">
        <v>64</v>
      </c>
      <c r="D136" t="s">
        <v>40</v>
      </c>
      <c r="E136" t="s">
        <v>46</v>
      </c>
      <c r="F136" t="s">
        <v>47</v>
      </c>
      <c r="G136" s="2">
        <v>383326</v>
      </c>
      <c r="H136" s="1">
        <v>421287</v>
      </c>
      <c r="I136">
        <v>37961</v>
      </c>
      <c r="J136" t="s">
        <v>54</v>
      </c>
      <c r="K136" t="s">
        <v>29</v>
      </c>
      <c r="L136" t="s">
        <v>30</v>
      </c>
      <c r="M136" t="s">
        <v>42</v>
      </c>
      <c r="N136" s="5">
        <f>Table4[[#This Row],[BudgetAmount]]/Table4[[#This Row],[Variance]]</f>
        <v>10.09788993967493</v>
      </c>
      <c r="O136" s="5" t="str">
        <f>TEXT(Table4[[#This Row],[Date]],"mmm")</f>
        <v>Jun</v>
      </c>
      <c r="P136" s="5">
        <f>ABS(Table4[[#This Row],[Variance]])</f>
        <v>37961</v>
      </c>
      <c r="Q136" s="5" t="str">
        <f>IF(Table4[[#This Row],[AB Variances ]]&gt;$P$2,"Anomaly","Normal")</f>
        <v>Anomaly</v>
      </c>
      <c r="R136" s="5">
        <f>SUMIFS(Table4[BudgetAmount],Table4[ActualExpense],"pending")</f>
        <v>0</v>
      </c>
    </row>
    <row r="137" spans="1:18">
      <c r="A137" t="s">
        <v>309</v>
      </c>
      <c r="B137" t="s">
        <v>310</v>
      </c>
      <c r="C137" t="s">
        <v>35</v>
      </c>
      <c r="D137" t="s">
        <v>40</v>
      </c>
      <c r="E137" t="s">
        <v>27</v>
      </c>
      <c r="F137" t="s">
        <v>28</v>
      </c>
      <c r="G137" s="2">
        <v>159494</v>
      </c>
      <c r="H137" s="1">
        <v>141715</v>
      </c>
      <c r="I137">
        <v>-17779</v>
      </c>
      <c r="J137" t="s">
        <v>19</v>
      </c>
      <c r="K137" t="s">
        <v>29</v>
      </c>
      <c r="L137" t="s">
        <v>21</v>
      </c>
      <c r="M137" t="s">
        <v>22</v>
      </c>
      <c r="N137" s="5">
        <f>Table4[[#This Row],[BudgetAmount]]/Table4[[#This Row],[Variance]]</f>
        <v>-8.970920749198493</v>
      </c>
      <c r="O137" s="5" t="str">
        <f>TEXT(Table4[[#This Row],[Date]],"mmm")</f>
        <v>Mar</v>
      </c>
      <c r="P137" s="5">
        <f>ABS(Table4[[#This Row],[Variance]])</f>
        <v>17779</v>
      </c>
      <c r="Q137" s="5" t="str">
        <f>IF(Table4[[#This Row],[AB Variances ]]&gt;$P$2,"Anomaly","Normal")</f>
        <v>Anomaly</v>
      </c>
      <c r="R137" s="5">
        <f>SUMIFS(Table4[BudgetAmount],Table4[ActualExpense],"pending")</f>
        <v>0</v>
      </c>
    </row>
    <row r="138" spans="1:18">
      <c r="A138" t="s">
        <v>311</v>
      </c>
      <c r="B138" t="s">
        <v>312</v>
      </c>
      <c r="C138" t="s">
        <v>35</v>
      </c>
      <c r="D138" t="s">
        <v>26</v>
      </c>
      <c r="E138" t="s">
        <v>35</v>
      </c>
      <c r="F138" t="s">
        <v>36</v>
      </c>
      <c r="G138" s="2">
        <v>245282</v>
      </c>
      <c r="H138" s="1">
        <v>195979</v>
      </c>
      <c r="I138">
        <v>-49303</v>
      </c>
      <c r="J138" t="s">
        <v>19</v>
      </c>
      <c r="K138" t="s">
        <v>20</v>
      </c>
      <c r="L138" t="s">
        <v>49</v>
      </c>
      <c r="M138" t="s">
        <v>22</v>
      </c>
      <c r="N138" s="5">
        <f>Table4[[#This Row],[BudgetAmount]]/Table4[[#This Row],[Variance]]</f>
        <v>-4.9749913798348988</v>
      </c>
      <c r="O138" s="5" t="str">
        <f>TEXT(Table4[[#This Row],[Date]],"mmm")</f>
        <v>Apr</v>
      </c>
      <c r="P138" s="5">
        <f>ABS(Table4[[#This Row],[Variance]])</f>
        <v>49303</v>
      </c>
      <c r="Q138" s="5" t="str">
        <f>IF(Table4[[#This Row],[AB Variances ]]&gt;$P$2,"Anomaly","Normal")</f>
        <v>Anomaly</v>
      </c>
      <c r="R138" s="5">
        <f>SUMIFS(Table4[BudgetAmount],Table4[ActualExpense],"pending")</f>
        <v>0</v>
      </c>
    </row>
    <row r="139" spans="1:18">
      <c r="A139" t="s">
        <v>313</v>
      </c>
      <c r="B139" t="s">
        <v>314</v>
      </c>
      <c r="C139" t="s">
        <v>15</v>
      </c>
      <c r="D139" t="s">
        <v>26</v>
      </c>
      <c r="E139" t="s">
        <v>46</v>
      </c>
      <c r="F139" t="s">
        <v>47</v>
      </c>
      <c r="G139" s="2">
        <v>469231</v>
      </c>
      <c r="H139" s="1">
        <v>383298</v>
      </c>
      <c r="I139">
        <v>-85933</v>
      </c>
      <c r="J139" t="s">
        <v>37</v>
      </c>
      <c r="K139" t="s">
        <v>41</v>
      </c>
      <c r="L139" t="s">
        <v>30</v>
      </c>
      <c r="M139" t="s">
        <v>22</v>
      </c>
      <c r="N139" s="5">
        <f>Table4[[#This Row],[BudgetAmount]]/Table4[[#This Row],[Variance]]</f>
        <v>-5.4604284733455133</v>
      </c>
      <c r="O139" s="5" t="str">
        <f>TEXT(Table4[[#This Row],[Date]],"mmm")</f>
        <v>Mar</v>
      </c>
      <c r="P139" s="5">
        <f>ABS(Table4[[#This Row],[Variance]])</f>
        <v>85933</v>
      </c>
      <c r="Q139" s="5" t="str">
        <f>IF(Table4[[#This Row],[AB Variances ]]&gt;$P$2,"Anomaly","Normal")</f>
        <v>Anomaly</v>
      </c>
      <c r="R139" s="5">
        <f>SUMIFS(Table4[BudgetAmount],Table4[ActualExpense],"pending")</f>
        <v>0</v>
      </c>
    </row>
    <row r="140" spans="1:18">
      <c r="A140" t="s">
        <v>315</v>
      </c>
      <c r="B140" t="s">
        <v>316</v>
      </c>
      <c r="C140" t="s">
        <v>45</v>
      </c>
      <c r="D140" t="s">
        <v>34</v>
      </c>
      <c r="E140" t="s">
        <v>17</v>
      </c>
      <c r="F140" t="s">
        <v>18</v>
      </c>
      <c r="G140" s="2">
        <v>490328</v>
      </c>
      <c r="H140" s="1">
        <v>531616</v>
      </c>
      <c r="I140">
        <v>41288</v>
      </c>
      <c r="J140" t="s">
        <v>54</v>
      </c>
      <c r="K140" t="s">
        <v>29</v>
      </c>
      <c r="L140" t="s">
        <v>21</v>
      </c>
      <c r="M140" t="s">
        <v>22</v>
      </c>
      <c r="N140" s="5">
        <f>Table4[[#This Row],[BudgetAmount]]/Table4[[#This Row],[Variance]]</f>
        <v>11.875799263708583</v>
      </c>
      <c r="O140" s="5" t="str">
        <f>TEXT(Table4[[#This Row],[Date]],"mmm")</f>
        <v>Feb</v>
      </c>
      <c r="P140" s="5">
        <f>ABS(Table4[[#This Row],[Variance]])</f>
        <v>41288</v>
      </c>
      <c r="Q140" s="5" t="str">
        <f>IF(Table4[[#This Row],[AB Variances ]]&gt;$P$2,"Anomaly","Normal")</f>
        <v>Anomaly</v>
      </c>
      <c r="R140" s="5">
        <f>SUMIFS(Table4[BudgetAmount],Table4[ActualExpense],"pending")</f>
        <v>0</v>
      </c>
    </row>
    <row r="141" spans="1:18">
      <c r="A141" t="s">
        <v>317</v>
      </c>
      <c r="B141" t="s">
        <v>318</v>
      </c>
      <c r="C141" t="s">
        <v>25</v>
      </c>
      <c r="D141" t="s">
        <v>26</v>
      </c>
      <c r="E141" t="s">
        <v>27</v>
      </c>
      <c r="F141" t="s">
        <v>28</v>
      </c>
      <c r="G141" s="2">
        <v>342235</v>
      </c>
      <c r="H141" s="1">
        <v>298693</v>
      </c>
      <c r="I141">
        <v>-43542</v>
      </c>
      <c r="J141" t="s">
        <v>37</v>
      </c>
      <c r="K141" t="s">
        <v>67</v>
      </c>
      <c r="L141" t="s">
        <v>68</v>
      </c>
      <c r="M141" t="s">
        <v>42</v>
      </c>
      <c r="N141" s="5">
        <f>Table4[[#This Row],[BudgetAmount]]/Table4[[#This Row],[Variance]]</f>
        <v>-7.8598824123834454</v>
      </c>
      <c r="O141" s="5" t="str">
        <f>TEXT(Table4[[#This Row],[Date]],"mmm")</f>
        <v>Mar</v>
      </c>
      <c r="P141" s="5">
        <f>ABS(Table4[[#This Row],[Variance]])</f>
        <v>43542</v>
      </c>
      <c r="Q141" s="5" t="str">
        <f>IF(Table4[[#This Row],[AB Variances ]]&gt;$P$2,"Anomaly","Normal")</f>
        <v>Anomaly</v>
      </c>
      <c r="R141" s="5">
        <f>SUMIFS(Table4[BudgetAmount],Table4[ActualExpense],"pending")</f>
        <v>0</v>
      </c>
    </row>
    <row r="142" spans="1:18">
      <c r="A142" t="s">
        <v>319</v>
      </c>
      <c r="B142" t="s">
        <v>320</v>
      </c>
      <c r="C142" t="s">
        <v>64</v>
      </c>
      <c r="D142" t="s">
        <v>26</v>
      </c>
      <c r="E142" t="s">
        <v>46</v>
      </c>
      <c r="F142" t="s">
        <v>47</v>
      </c>
      <c r="G142" s="2">
        <v>135813</v>
      </c>
      <c r="H142" s="1">
        <v>155544</v>
      </c>
      <c r="I142">
        <v>19731</v>
      </c>
      <c r="J142" t="s">
        <v>37</v>
      </c>
      <c r="K142" t="s">
        <v>48</v>
      </c>
      <c r="L142" t="s">
        <v>68</v>
      </c>
      <c r="M142" t="s">
        <v>42</v>
      </c>
      <c r="N142" s="5">
        <f>Table4[[#This Row],[BudgetAmount]]/Table4[[#This Row],[Variance]]</f>
        <v>6.8832294359130302</v>
      </c>
      <c r="O142" s="5" t="str">
        <f>TEXT(Table4[[#This Row],[Date]],"mmm")</f>
        <v>Sep</v>
      </c>
      <c r="P142" s="5">
        <f>ABS(Table4[[#This Row],[Variance]])</f>
        <v>19731</v>
      </c>
      <c r="Q142" s="5" t="str">
        <f>IF(Table4[[#This Row],[AB Variances ]]&gt;$P$2,"Anomaly","Normal")</f>
        <v>Anomaly</v>
      </c>
      <c r="R142" s="5">
        <f>SUMIFS(Table4[BudgetAmount],Table4[ActualExpense],"pending")</f>
        <v>0</v>
      </c>
    </row>
    <row r="143" spans="1:18">
      <c r="A143" t="s">
        <v>321</v>
      </c>
      <c r="B143" t="s">
        <v>322</v>
      </c>
      <c r="C143" t="s">
        <v>45</v>
      </c>
      <c r="D143" t="s">
        <v>16</v>
      </c>
      <c r="E143" t="s">
        <v>17</v>
      </c>
      <c r="F143" t="s">
        <v>18</v>
      </c>
      <c r="G143" s="2">
        <v>234877</v>
      </c>
      <c r="H143" s="1">
        <v>221543</v>
      </c>
      <c r="I143">
        <v>-13334</v>
      </c>
      <c r="J143" t="s">
        <v>54</v>
      </c>
      <c r="K143" t="s">
        <v>41</v>
      </c>
      <c r="L143" t="s">
        <v>49</v>
      </c>
      <c r="M143" t="s">
        <v>22</v>
      </c>
      <c r="N143" s="5">
        <f>Table4[[#This Row],[BudgetAmount]]/Table4[[#This Row],[Variance]]</f>
        <v>-17.614894255287236</v>
      </c>
      <c r="O143" s="5" t="str">
        <f>TEXT(Table4[[#This Row],[Date]],"mmm")</f>
        <v>Mar</v>
      </c>
      <c r="P143" s="5">
        <f>ABS(Table4[[#This Row],[Variance]])</f>
        <v>13334</v>
      </c>
      <c r="Q143" s="5" t="str">
        <f>IF(Table4[[#This Row],[AB Variances ]]&gt;$P$2,"Anomaly","Normal")</f>
        <v>Normal</v>
      </c>
      <c r="R143" s="5">
        <f>SUMIFS(Table4[BudgetAmount],Table4[ActualExpense],"pending")</f>
        <v>0</v>
      </c>
    </row>
    <row r="144" spans="1:18">
      <c r="A144" t="s">
        <v>323</v>
      </c>
      <c r="B144" t="s">
        <v>324</v>
      </c>
      <c r="C144" t="s">
        <v>64</v>
      </c>
      <c r="D144" t="s">
        <v>40</v>
      </c>
      <c r="E144" t="s">
        <v>27</v>
      </c>
      <c r="F144" t="s">
        <v>28</v>
      </c>
      <c r="G144" s="2">
        <v>127368</v>
      </c>
      <c r="H144" s="1">
        <v>174511</v>
      </c>
      <c r="I144">
        <v>47143</v>
      </c>
      <c r="J144" t="s">
        <v>54</v>
      </c>
      <c r="K144" t="s">
        <v>67</v>
      </c>
      <c r="L144" t="s">
        <v>49</v>
      </c>
      <c r="M144" t="s">
        <v>42</v>
      </c>
      <c r="N144" s="5">
        <f>Table4[[#This Row],[BudgetAmount]]/Table4[[#This Row],[Variance]]</f>
        <v>2.7017372674628257</v>
      </c>
      <c r="O144" s="5" t="str">
        <f>TEXT(Table4[[#This Row],[Date]],"mmm")</f>
        <v>Sep</v>
      </c>
      <c r="P144" s="5">
        <f>ABS(Table4[[#This Row],[Variance]])</f>
        <v>47143</v>
      </c>
      <c r="Q144" s="5" t="str">
        <f>IF(Table4[[#This Row],[AB Variances ]]&gt;$P$2,"Anomaly","Normal")</f>
        <v>Anomaly</v>
      </c>
      <c r="R144" s="5">
        <f>SUMIFS(Table4[BudgetAmount],Table4[ActualExpense],"pending")</f>
        <v>0</v>
      </c>
    </row>
    <row r="145" spans="1:18">
      <c r="A145" t="s">
        <v>325</v>
      </c>
      <c r="B145" t="s">
        <v>326</v>
      </c>
      <c r="C145" t="s">
        <v>45</v>
      </c>
      <c r="D145" t="s">
        <v>61</v>
      </c>
      <c r="E145" t="s">
        <v>85</v>
      </c>
      <c r="F145" t="s">
        <v>86</v>
      </c>
      <c r="G145" s="2">
        <v>162206</v>
      </c>
      <c r="H145" s="1">
        <v>198350</v>
      </c>
      <c r="I145">
        <v>36144</v>
      </c>
      <c r="J145" t="s">
        <v>37</v>
      </c>
      <c r="K145" t="s">
        <v>67</v>
      </c>
      <c r="L145" t="s">
        <v>30</v>
      </c>
      <c r="M145" t="s">
        <v>42</v>
      </c>
      <c r="N145" s="5">
        <f>Table4[[#This Row],[BudgetAmount]]/Table4[[#This Row],[Variance]]</f>
        <v>4.4877711376715359</v>
      </c>
      <c r="O145" s="5" t="str">
        <f>TEXT(Table4[[#This Row],[Date]],"mmm")</f>
        <v>Dec</v>
      </c>
      <c r="P145" s="5">
        <f>ABS(Table4[[#This Row],[Variance]])</f>
        <v>36144</v>
      </c>
      <c r="Q145" s="5" t="str">
        <f>IF(Table4[[#This Row],[AB Variances ]]&gt;$P$2,"Anomaly","Normal")</f>
        <v>Anomaly</v>
      </c>
      <c r="R145" s="5">
        <f>SUMIFS(Table4[BudgetAmount],Table4[ActualExpense],"pending")</f>
        <v>0</v>
      </c>
    </row>
    <row r="146" spans="1:18">
      <c r="A146" t="s">
        <v>327</v>
      </c>
      <c r="B146" t="s">
        <v>328</v>
      </c>
      <c r="C146" t="s">
        <v>64</v>
      </c>
      <c r="D146" t="s">
        <v>26</v>
      </c>
      <c r="E146" t="s">
        <v>46</v>
      </c>
      <c r="F146" t="s">
        <v>47</v>
      </c>
      <c r="G146" s="2">
        <v>251426</v>
      </c>
      <c r="H146" s="1">
        <v>346026</v>
      </c>
      <c r="I146">
        <v>94600</v>
      </c>
      <c r="J146" t="s">
        <v>54</v>
      </c>
      <c r="K146" t="s">
        <v>67</v>
      </c>
      <c r="L146" t="s">
        <v>30</v>
      </c>
      <c r="M146" t="s">
        <v>22</v>
      </c>
      <c r="N146" s="5">
        <f>Table4[[#This Row],[BudgetAmount]]/Table4[[#This Row],[Variance]]</f>
        <v>2.6577801268498944</v>
      </c>
      <c r="O146" s="5" t="str">
        <f>TEXT(Table4[[#This Row],[Date]],"mmm")</f>
        <v>May</v>
      </c>
      <c r="P146" s="5">
        <f>ABS(Table4[[#This Row],[Variance]])</f>
        <v>94600</v>
      </c>
      <c r="Q146" s="5" t="str">
        <f>IF(Table4[[#This Row],[AB Variances ]]&gt;$P$2,"Anomaly","Normal")</f>
        <v>Anomaly</v>
      </c>
      <c r="R146" s="5">
        <f>SUMIFS(Table4[BudgetAmount],Table4[ActualExpense],"pending")</f>
        <v>0</v>
      </c>
    </row>
    <row r="147" spans="1:18">
      <c r="A147" t="s">
        <v>329</v>
      </c>
      <c r="B147" t="s">
        <v>261</v>
      </c>
      <c r="C147" t="s">
        <v>33</v>
      </c>
      <c r="D147" t="s">
        <v>16</v>
      </c>
      <c r="E147" t="s">
        <v>17</v>
      </c>
      <c r="F147" t="s">
        <v>18</v>
      </c>
      <c r="G147" s="2">
        <v>378992</v>
      </c>
      <c r="H147" s="1">
        <v>279815</v>
      </c>
      <c r="I147">
        <v>-99177</v>
      </c>
      <c r="J147" t="s">
        <v>54</v>
      </c>
      <c r="K147" t="s">
        <v>67</v>
      </c>
      <c r="L147" t="s">
        <v>21</v>
      </c>
      <c r="M147" t="s">
        <v>22</v>
      </c>
      <c r="N147" s="5">
        <f>Table4[[#This Row],[BudgetAmount]]/Table4[[#This Row],[Variance]]</f>
        <v>-3.8213698740635431</v>
      </c>
      <c r="O147" s="5" t="str">
        <f>TEXT(Table4[[#This Row],[Date]],"mmm")</f>
        <v>Oct</v>
      </c>
      <c r="P147" s="5">
        <f>ABS(Table4[[#This Row],[Variance]])</f>
        <v>99177</v>
      </c>
      <c r="Q147" s="5" t="str">
        <f>IF(Table4[[#This Row],[AB Variances ]]&gt;$P$2,"Anomaly","Normal")</f>
        <v>Anomaly</v>
      </c>
      <c r="R147" s="5">
        <f>SUMIFS(Table4[BudgetAmount],Table4[ActualExpense],"pending")</f>
        <v>0</v>
      </c>
    </row>
    <row r="148" spans="1:18">
      <c r="A148" t="s">
        <v>330</v>
      </c>
      <c r="B148" t="s">
        <v>331</v>
      </c>
      <c r="C148" t="s">
        <v>33</v>
      </c>
      <c r="D148" t="s">
        <v>34</v>
      </c>
      <c r="E148" t="s">
        <v>85</v>
      </c>
      <c r="F148" t="s">
        <v>86</v>
      </c>
      <c r="G148" s="2">
        <v>356459</v>
      </c>
      <c r="H148" s="1">
        <v>377199</v>
      </c>
      <c r="I148">
        <v>20740</v>
      </c>
      <c r="J148" t="s">
        <v>19</v>
      </c>
      <c r="K148" t="s">
        <v>48</v>
      </c>
      <c r="L148" t="s">
        <v>30</v>
      </c>
      <c r="M148" t="s">
        <v>42</v>
      </c>
      <c r="N148" s="5">
        <f>Table4[[#This Row],[BudgetAmount]]/Table4[[#This Row],[Variance]]</f>
        <v>17.187029893924784</v>
      </c>
      <c r="O148" s="5" t="str">
        <f>TEXT(Table4[[#This Row],[Date]],"mmm")</f>
        <v>Aug</v>
      </c>
      <c r="P148" s="5">
        <f>ABS(Table4[[#This Row],[Variance]])</f>
        <v>20740</v>
      </c>
      <c r="Q148" s="5" t="str">
        <f>IF(Table4[[#This Row],[AB Variances ]]&gt;$P$2,"Anomaly","Normal")</f>
        <v>Anomaly</v>
      </c>
      <c r="R148" s="5">
        <f>SUMIFS(Table4[BudgetAmount],Table4[ActualExpense],"pending")</f>
        <v>0</v>
      </c>
    </row>
    <row r="149" spans="1:18">
      <c r="A149" t="s">
        <v>332</v>
      </c>
      <c r="B149" t="s">
        <v>333</v>
      </c>
      <c r="C149" t="s">
        <v>64</v>
      </c>
      <c r="D149" t="s">
        <v>61</v>
      </c>
      <c r="E149" t="s">
        <v>17</v>
      </c>
      <c r="F149" t="s">
        <v>18</v>
      </c>
      <c r="G149" s="2">
        <v>462564</v>
      </c>
      <c r="H149" s="1">
        <v>481224</v>
      </c>
      <c r="I149">
        <v>18660</v>
      </c>
      <c r="J149" t="s">
        <v>19</v>
      </c>
      <c r="K149" t="s">
        <v>48</v>
      </c>
      <c r="L149" t="s">
        <v>21</v>
      </c>
      <c r="M149" t="s">
        <v>42</v>
      </c>
      <c r="N149" s="5">
        <f>Table4[[#This Row],[BudgetAmount]]/Table4[[#This Row],[Variance]]</f>
        <v>24.789067524115755</v>
      </c>
      <c r="O149" s="5" t="str">
        <f>TEXT(Table4[[#This Row],[Date]],"mmm")</f>
        <v>Oct</v>
      </c>
      <c r="P149" s="5">
        <f>ABS(Table4[[#This Row],[Variance]])</f>
        <v>18660</v>
      </c>
      <c r="Q149" s="5" t="str">
        <f>IF(Table4[[#This Row],[AB Variances ]]&gt;$P$2,"Anomaly","Normal")</f>
        <v>Anomaly</v>
      </c>
      <c r="R149" s="5">
        <f>SUMIFS(Table4[BudgetAmount],Table4[ActualExpense],"pending")</f>
        <v>0</v>
      </c>
    </row>
    <row r="150" spans="1:18">
      <c r="A150" t="s">
        <v>334</v>
      </c>
      <c r="B150" t="s">
        <v>335</v>
      </c>
      <c r="C150" t="s">
        <v>15</v>
      </c>
      <c r="D150" t="s">
        <v>34</v>
      </c>
      <c r="E150" t="s">
        <v>46</v>
      </c>
      <c r="F150" t="s">
        <v>47</v>
      </c>
      <c r="G150" s="2">
        <v>354945</v>
      </c>
      <c r="H150" s="1">
        <v>482210</v>
      </c>
      <c r="I150">
        <v>127265</v>
      </c>
      <c r="J150" t="s">
        <v>37</v>
      </c>
      <c r="K150" t="s">
        <v>41</v>
      </c>
      <c r="L150" t="s">
        <v>68</v>
      </c>
      <c r="M150" t="s">
        <v>22</v>
      </c>
      <c r="N150" s="5">
        <f>Table4[[#This Row],[BudgetAmount]]/Table4[[#This Row],[Variance]]</f>
        <v>2.7890229049620872</v>
      </c>
      <c r="O150" s="5" t="str">
        <f>TEXT(Table4[[#This Row],[Date]],"mmm")</f>
        <v>Jul</v>
      </c>
      <c r="P150" s="5">
        <f>ABS(Table4[[#This Row],[Variance]])</f>
        <v>127265</v>
      </c>
      <c r="Q150" s="5" t="str">
        <f>IF(Table4[[#This Row],[AB Variances ]]&gt;$P$2,"Anomaly","Normal")</f>
        <v>Anomaly</v>
      </c>
      <c r="R150" s="5">
        <f>SUMIFS(Table4[BudgetAmount],Table4[ActualExpense],"pending")</f>
        <v>0</v>
      </c>
    </row>
    <row r="151" spans="1:18">
      <c r="A151" t="s">
        <v>336</v>
      </c>
      <c r="B151" t="s">
        <v>337</v>
      </c>
      <c r="C151" t="s">
        <v>33</v>
      </c>
      <c r="D151" t="s">
        <v>16</v>
      </c>
      <c r="E151" t="s">
        <v>35</v>
      </c>
      <c r="F151" t="s">
        <v>36</v>
      </c>
      <c r="G151" s="2">
        <v>127583</v>
      </c>
      <c r="H151" s="1">
        <v>177236</v>
      </c>
      <c r="I151">
        <v>49653</v>
      </c>
      <c r="J151" t="s">
        <v>19</v>
      </c>
      <c r="K151" t="s">
        <v>41</v>
      </c>
      <c r="L151" t="s">
        <v>68</v>
      </c>
      <c r="M151" t="s">
        <v>22</v>
      </c>
      <c r="N151" s="5">
        <f>Table4[[#This Row],[BudgetAmount]]/Table4[[#This Row],[Variance]]</f>
        <v>2.5694922763982033</v>
      </c>
      <c r="O151" s="5" t="str">
        <f>TEXT(Table4[[#This Row],[Date]],"mmm")</f>
        <v>Nov</v>
      </c>
      <c r="P151" s="5">
        <f>ABS(Table4[[#This Row],[Variance]])</f>
        <v>49653</v>
      </c>
      <c r="Q151" s="5" t="str">
        <f>IF(Table4[[#This Row],[AB Variances ]]&gt;$P$2,"Anomaly","Normal")</f>
        <v>Anomaly</v>
      </c>
      <c r="R151" s="5">
        <f>SUMIFS(Table4[BudgetAmount],Table4[ActualExpense],"pending")</f>
        <v>0</v>
      </c>
    </row>
    <row r="152" spans="1:18">
      <c r="A152" t="s">
        <v>338</v>
      </c>
      <c r="B152" t="s">
        <v>339</v>
      </c>
      <c r="C152" t="s">
        <v>35</v>
      </c>
      <c r="D152" t="s">
        <v>40</v>
      </c>
      <c r="E152" t="s">
        <v>46</v>
      </c>
      <c r="F152" t="s">
        <v>47</v>
      </c>
      <c r="G152" s="2">
        <v>321001</v>
      </c>
      <c r="H152" s="1">
        <v>327304</v>
      </c>
      <c r="I152">
        <v>6303</v>
      </c>
      <c r="J152" t="s">
        <v>37</v>
      </c>
      <c r="K152" t="s">
        <v>20</v>
      </c>
      <c r="L152" t="s">
        <v>49</v>
      </c>
      <c r="M152" t="s">
        <v>22</v>
      </c>
      <c r="N152" s="5">
        <f>Table4[[#This Row],[BudgetAmount]]/Table4[[#This Row],[Variance]]</f>
        <v>50.928288116769792</v>
      </c>
      <c r="O152" s="5" t="str">
        <f>TEXT(Table4[[#This Row],[Date]],"mmm")</f>
        <v>Feb</v>
      </c>
      <c r="P152" s="5">
        <f>ABS(Table4[[#This Row],[Variance]])</f>
        <v>6303</v>
      </c>
      <c r="Q152" s="5" t="str">
        <f>IF(Table4[[#This Row],[AB Variances ]]&gt;$P$2,"Anomaly","Normal")</f>
        <v>Normal</v>
      </c>
      <c r="R152" s="5">
        <f>SUMIFS(Table4[BudgetAmount],Table4[ActualExpense],"pending")</f>
        <v>0</v>
      </c>
    </row>
    <row r="153" spans="1:18">
      <c r="A153" t="s">
        <v>340</v>
      </c>
      <c r="B153" t="s">
        <v>341</v>
      </c>
      <c r="C153" t="s">
        <v>35</v>
      </c>
      <c r="D153" t="s">
        <v>40</v>
      </c>
      <c r="E153" t="s">
        <v>71</v>
      </c>
      <c r="F153" t="s">
        <v>72</v>
      </c>
      <c r="G153" s="2">
        <v>219095</v>
      </c>
      <c r="H153" s="1">
        <v>244408</v>
      </c>
      <c r="I153">
        <v>25313</v>
      </c>
      <c r="J153" t="s">
        <v>54</v>
      </c>
      <c r="K153" t="s">
        <v>20</v>
      </c>
      <c r="L153" t="s">
        <v>68</v>
      </c>
      <c r="M153" t="s">
        <v>42</v>
      </c>
      <c r="N153" s="5">
        <f>Table4[[#This Row],[BudgetAmount]]/Table4[[#This Row],[Variance]]</f>
        <v>8.6554339667364601</v>
      </c>
      <c r="O153" s="5" t="str">
        <f>TEXT(Table4[[#This Row],[Date]],"mmm")</f>
        <v>Mar</v>
      </c>
      <c r="P153" s="5">
        <f>ABS(Table4[[#This Row],[Variance]])</f>
        <v>25313</v>
      </c>
      <c r="Q153" s="5" t="str">
        <f>IF(Table4[[#This Row],[AB Variances ]]&gt;$P$2,"Anomaly","Normal")</f>
        <v>Anomaly</v>
      </c>
      <c r="R153" s="5">
        <f>SUMIFS(Table4[BudgetAmount],Table4[ActualExpense],"pending")</f>
        <v>0</v>
      </c>
    </row>
    <row r="154" spans="1:18">
      <c r="A154" t="s">
        <v>342</v>
      </c>
      <c r="B154" t="s">
        <v>343</v>
      </c>
      <c r="C154" t="s">
        <v>64</v>
      </c>
      <c r="D154" t="s">
        <v>16</v>
      </c>
      <c r="E154" t="s">
        <v>17</v>
      </c>
      <c r="F154" t="s">
        <v>18</v>
      </c>
      <c r="G154" s="2">
        <v>225540</v>
      </c>
      <c r="H154" s="1">
        <v>251785</v>
      </c>
      <c r="I154">
        <v>26245</v>
      </c>
      <c r="J154" t="s">
        <v>37</v>
      </c>
      <c r="K154" t="s">
        <v>48</v>
      </c>
      <c r="L154" t="s">
        <v>30</v>
      </c>
      <c r="M154" t="s">
        <v>42</v>
      </c>
      <c r="N154" s="5">
        <f>Table4[[#This Row],[BudgetAmount]]/Table4[[#This Row],[Variance]]</f>
        <v>8.5936368832158507</v>
      </c>
      <c r="O154" s="5" t="str">
        <f>TEXT(Table4[[#This Row],[Date]],"mmm")</f>
        <v>Oct</v>
      </c>
      <c r="P154" s="5">
        <f>ABS(Table4[[#This Row],[Variance]])</f>
        <v>26245</v>
      </c>
      <c r="Q154" s="5" t="str">
        <f>IF(Table4[[#This Row],[AB Variances ]]&gt;$P$2,"Anomaly","Normal")</f>
        <v>Anomaly</v>
      </c>
      <c r="R154" s="5">
        <f>SUMIFS(Table4[BudgetAmount],Table4[ActualExpense],"pending")</f>
        <v>0</v>
      </c>
    </row>
    <row r="155" spans="1:18">
      <c r="A155" t="s">
        <v>344</v>
      </c>
      <c r="B155" t="s">
        <v>345</v>
      </c>
      <c r="C155" t="s">
        <v>15</v>
      </c>
      <c r="D155" t="s">
        <v>40</v>
      </c>
      <c r="E155" t="s">
        <v>27</v>
      </c>
      <c r="F155" t="s">
        <v>28</v>
      </c>
      <c r="G155" s="2">
        <v>314327</v>
      </c>
      <c r="H155" s="1">
        <v>350810</v>
      </c>
      <c r="I155">
        <v>36483</v>
      </c>
      <c r="J155" t="s">
        <v>54</v>
      </c>
      <c r="K155" t="s">
        <v>29</v>
      </c>
      <c r="L155" t="s">
        <v>68</v>
      </c>
      <c r="M155" t="s">
        <v>42</v>
      </c>
      <c r="N155" s="5">
        <f>Table4[[#This Row],[BudgetAmount]]/Table4[[#This Row],[Variance]]</f>
        <v>8.6157114272400843</v>
      </c>
      <c r="O155" s="5" t="str">
        <f>TEXT(Table4[[#This Row],[Date]],"mmm")</f>
        <v>Mar</v>
      </c>
      <c r="P155" s="5">
        <f>ABS(Table4[[#This Row],[Variance]])</f>
        <v>36483</v>
      </c>
      <c r="Q155" s="5" t="str">
        <f>IF(Table4[[#This Row],[AB Variances ]]&gt;$P$2,"Anomaly","Normal")</f>
        <v>Anomaly</v>
      </c>
      <c r="R155" s="5">
        <f>SUMIFS(Table4[BudgetAmount],Table4[ActualExpense],"pending")</f>
        <v>0</v>
      </c>
    </row>
    <row r="156" spans="1:18">
      <c r="A156" t="s">
        <v>346</v>
      </c>
      <c r="B156" t="s">
        <v>196</v>
      </c>
      <c r="C156" t="s">
        <v>64</v>
      </c>
      <c r="D156" t="s">
        <v>61</v>
      </c>
      <c r="E156" t="s">
        <v>85</v>
      </c>
      <c r="F156" t="s">
        <v>86</v>
      </c>
      <c r="G156" s="2">
        <v>173260</v>
      </c>
      <c r="H156" s="1">
        <v>200957</v>
      </c>
      <c r="I156">
        <v>27697</v>
      </c>
      <c r="J156" t="s">
        <v>19</v>
      </c>
      <c r="K156" t="s">
        <v>67</v>
      </c>
      <c r="L156" t="s">
        <v>68</v>
      </c>
      <c r="M156" t="s">
        <v>22</v>
      </c>
      <c r="N156" s="5">
        <f>Table4[[#This Row],[BudgetAmount]]/Table4[[#This Row],[Variance]]</f>
        <v>6.2555511427230384</v>
      </c>
      <c r="O156" s="5" t="str">
        <f>TEXT(Table4[[#This Row],[Date]],"mmm")</f>
        <v>Sep</v>
      </c>
      <c r="P156" s="5">
        <f>ABS(Table4[[#This Row],[Variance]])</f>
        <v>27697</v>
      </c>
      <c r="Q156" s="5" t="str">
        <f>IF(Table4[[#This Row],[AB Variances ]]&gt;$P$2,"Anomaly","Normal")</f>
        <v>Anomaly</v>
      </c>
      <c r="R156" s="5">
        <f>SUMIFS(Table4[BudgetAmount],Table4[ActualExpense],"pending")</f>
        <v>0</v>
      </c>
    </row>
    <row r="157" spans="1:18">
      <c r="A157" t="s">
        <v>347</v>
      </c>
      <c r="B157" t="s">
        <v>348</v>
      </c>
      <c r="C157" t="s">
        <v>45</v>
      </c>
      <c r="D157" t="s">
        <v>26</v>
      </c>
      <c r="E157" t="s">
        <v>35</v>
      </c>
      <c r="F157" t="s">
        <v>36</v>
      </c>
      <c r="G157" s="2">
        <v>207953</v>
      </c>
      <c r="H157" s="1">
        <v>222548</v>
      </c>
      <c r="I157">
        <v>14595</v>
      </c>
      <c r="J157" t="s">
        <v>19</v>
      </c>
      <c r="K157" t="s">
        <v>48</v>
      </c>
      <c r="L157" t="s">
        <v>68</v>
      </c>
      <c r="M157" t="s">
        <v>42</v>
      </c>
      <c r="N157" s="5">
        <f>Table4[[#This Row],[BudgetAmount]]/Table4[[#This Row],[Variance]]</f>
        <v>14.248235697156561</v>
      </c>
      <c r="O157" s="5" t="str">
        <f>TEXT(Table4[[#This Row],[Date]],"mmm")</f>
        <v>Apr</v>
      </c>
      <c r="P157" s="5">
        <f>ABS(Table4[[#This Row],[Variance]])</f>
        <v>14595</v>
      </c>
      <c r="Q157" s="5" t="str">
        <f>IF(Table4[[#This Row],[AB Variances ]]&gt;$P$2,"Anomaly","Normal")</f>
        <v>Normal</v>
      </c>
      <c r="R157" s="5">
        <f>SUMIFS(Table4[BudgetAmount],Table4[ActualExpense],"pending")</f>
        <v>0</v>
      </c>
    </row>
    <row r="158" spans="1:18">
      <c r="A158" t="s">
        <v>349</v>
      </c>
      <c r="B158" t="s">
        <v>350</v>
      </c>
      <c r="C158" t="s">
        <v>15</v>
      </c>
      <c r="D158" t="s">
        <v>26</v>
      </c>
      <c r="E158" t="s">
        <v>85</v>
      </c>
      <c r="F158" t="s">
        <v>86</v>
      </c>
      <c r="G158" s="2">
        <v>90063</v>
      </c>
      <c r="H158" s="1">
        <v>84424</v>
      </c>
      <c r="I158">
        <v>-5639</v>
      </c>
      <c r="J158" t="s">
        <v>54</v>
      </c>
      <c r="K158" t="s">
        <v>41</v>
      </c>
      <c r="L158" t="s">
        <v>49</v>
      </c>
      <c r="M158" t="s">
        <v>42</v>
      </c>
      <c r="N158" s="5">
        <f>Table4[[#This Row],[BudgetAmount]]/Table4[[#This Row],[Variance]]</f>
        <v>-15.971448838446532</v>
      </c>
      <c r="O158" s="5" t="str">
        <f>TEXT(Table4[[#This Row],[Date]],"mmm")</f>
        <v>Jan</v>
      </c>
      <c r="P158" s="5">
        <f>ABS(Table4[[#This Row],[Variance]])</f>
        <v>5639</v>
      </c>
      <c r="Q158" s="5" t="str">
        <f>IF(Table4[[#This Row],[AB Variances ]]&gt;$P$2,"Anomaly","Normal")</f>
        <v>Normal</v>
      </c>
      <c r="R158" s="5">
        <f>SUMIFS(Table4[BudgetAmount],Table4[ActualExpense],"pending")</f>
        <v>0</v>
      </c>
    </row>
    <row r="159" spans="1:18">
      <c r="A159" t="s">
        <v>351</v>
      </c>
      <c r="B159" t="s">
        <v>352</v>
      </c>
      <c r="C159" t="s">
        <v>45</v>
      </c>
      <c r="D159" t="s">
        <v>40</v>
      </c>
      <c r="E159" t="s">
        <v>27</v>
      </c>
      <c r="F159" t="s">
        <v>28</v>
      </c>
      <c r="G159" s="2">
        <v>213586</v>
      </c>
      <c r="H159" s="1">
        <v>278964</v>
      </c>
      <c r="I159">
        <v>65378</v>
      </c>
      <c r="J159" t="s">
        <v>54</v>
      </c>
      <c r="K159" t="s">
        <v>48</v>
      </c>
      <c r="L159" t="s">
        <v>30</v>
      </c>
      <c r="M159" t="s">
        <v>42</v>
      </c>
      <c r="N159" s="5">
        <f>Table4[[#This Row],[BudgetAmount]]/Table4[[#This Row],[Variance]]</f>
        <v>3.2669399492183917</v>
      </c>
      <c r="O159" s="5" t="str">
        <f>TEXT(Table4[[#This Row],[Date]],"mmm")</f>
        <v>Dec</v>
      </c>
      <c r="P159" s="5">
        <f>ABS(Table4[[#This Row],[Variance]])</f>
        <v>65378</v>
      </c>
      <c r="Q159" s="5" t="str">
        <f>IF(Table4[[#This Row],[AB Variances ]]&gt;$P$2,"Anomaly","Normal")</f>
        <v>Anomaly</v>
      </c>
      <c r="R159" s="5">
        <f>SUMIFS(Table4[BudgetAmount],Table4[ActualExpense],"pending")</f>
        <v>0</v>
      </c>
    </row>
    <row r="160" spans="1:18">
      <c r="A160" t="s">
        <v>353</v>
      </c>
      <c r="B160" t="s">
        <v>354</v>
      </c>
      <c r="C160" t="s">
        <v>45</v>
      </c>
      <c r="D160" t="s">
        <v>16</v>
      </c>
      <c r="E160" t="s">
        <v>27</v>
      </c>
      <c r="F160" t="s">
        <v>28</v>
      </c>
      <c r="G160" s="2">
        <v>276480</v>
      </c>
      <c r="H160" s="1">
        <v>241609</v>
      </c>
      <c r="I160">
        <v>-34871</v>
      </c>
      <c r="J160" t="s">
        <v>54</v>
      </c>
      <c r="K160" t="s">
        <v>41</v>
      </c>
      <c r="L160" t="s">
        <v>49</v>
      </c>
      <c r="M160" t="s">
        <v>22</v>
      </c>
      <c r="N160" s="5">
        <f>Table4[[#This Row],[BudgetAmount]]/Table4[[#This Row],[Variance]]</f>
        <v>-7.9286513148461468</v>
      </c>
      <c r="O160" s="5" t="str">
        <f>TEXT(Table4[[#This Row],[Date]],"mmm")</f>
        <v>Jul</v>
      </c>
      <c r="P160" s="5">
        <f>ABS(Table4[[#This Row],[Variance]])</f>
        <v>34871</v>
      </c>
      <c r="Q160" s="5" t="str">
        <f>IF(Table4[[#This Row],[AB Variances ]]&gt;$P$2,"Anomaly","Normal")</f>
        <v>Anomaly</v>
      </c>
      <c r="R160" s="5">
        <f>SUMIFS(Table4[BudgetAmount],Table4[ActualExpense],"pending")</f>
        <v>0</v>
      </c>
    </row>
    <row r="161" spans="1:18">
      <c r="A161" t="s">
        <v>355</v>
      </c>
      <c r="B161" t="s">
        <v>44</v>
      </c>
      <c r="C161" t="s">
        <v>35</v>
      </c>
      <c r="D161" t="s">
        <v>40</v>
      </c>
      <c r="E161" t="s">
        <v>85</v>
      </c>
      <c r="F161" t="s">
        <v>86</v>
      </c>
      <c r="G161" s="2">
        <v>216757</v>
      </c>
      <c r="H161" s="1">
        <v>226442</v>
      </c>
      <c r="I161">
        <v>9685</v>
      </c>
      <c r="J161" t="s">
        <v>19</v>
      </c>
      <c r="K161" t="s">
        <v>48</v>
      </c>
      <c r="L161" t="s">
        <v>68</v>
      </c>
      <c r="M161" t="s">
        <v>42</v>
      </c>
      <c r="N161" s="5">
        <f>Table4[[#This Row],[BudgetAmount]]/Table4[[#This Row],[Variance]]</f>
        <v>22.380691791430046</v>
      </c>
      <c r="O161" s="5" t="str">
        <f>TEXT(Table4[[#This Row],[Date]],"mmm")</f>
        <v>Feb</v>
      </c>
      <c r="P161" s="5">
        <f>ABS(Table4[[#This Row],[Variance]])</f>
        <v>9685</v>
      </c>
      <c r="Q161" s="5" t="str">
        <f>IF(Table4[[#This Row],[AB Variances ]]&gt;$P$2,"Anomaly","Normal")</f>
        <v>Normal</v>
      </c>
      <c r="R161" s="5">
        <f>SUMIFS(Table4[BudgetAmount],Table4[ActualExpense],"pending")</f>
        <v>0</v>
      </c>
    </row>
    <row r="162" spans="1:18">
      <c r="A162" t="s">
        <v>356</v>
      </c>
      <c r="B162" t="s">
        <v>357</v>
      </c>
      <c r="C162" t="s">
        <v>64</v>
      </c>
      <c r="D162" t="s">
        <v>26</v>
      </c>
      <c r="E162" t="s">
        <v>46</v>
      </c>
      <c r="F162" t="s">
        <v>47</v>
      </c>
      <c r="G162" s="2">
        <v>74569</v>
      </c>
      <c r="H162" s="1">
        <v>71651</v>
      </c>
      <c r="I162">
        <v>-2918</v>
      </c>
      <c r="J162" t="s">
        <v>37</v>
      </c>
      <c r="K162" t="s">
        <v>41</v>
      </c>
      <c r="L162" t="s">
        <v>21</v>
      </c>
      <c r="M162" t="s">
        <v>22</v>
      </c>
      <c r="N162" s="5">
        <f>Table4[[#This Row],[BudgetAmount]]/Table4[[#This Row],[Variance]]</f>
        <v>-25.554832076764907</v>
      </c>
      <c r="O162" s="5" t="str">
        <f>TEXT(Table4[[#This Row],[Date]],"mmm")</f>
        <v>May</v>
      </c>
      <c r="P162" s="5">
        <f>ABS(Table4[[#This Row],[Variance]])</f>
        <v>2918</v>
      </c>
      <c r="Q162" s="5" t="str">
        <f>IF(Table4[[#This Row],[AB Variances ]]&gt;$P$2,"Anomaly","Normal")</f>
        <v>Normal</v>
      </c>
      <c r="R162" s="5">
        <f>SUMIFS(Table4[BudgetAmount],Table4[ActualExpense],"pending")</f>
        <v>0</v>
      </c>
    </row>
    <row r="163" spans="1:18">
      <c r="A163" t="s">
        <v>358</v>
      </c>
      <c r="B163" t="s">
        <v>359</v>
      </c>
      <c r="C163" t="s">
        <v>33</v>
      </c>
      <c r="D163" t="s">
        <v>16</v>
      </c>
      <c r="E163" t="s">
        <v>17</v>
      </c>
      <c r="F163" t="s">
        <v>18</v>
      </c>
      <c r="G163" s="2">
        <v>190772</v>
      </c>
      <c r="H163" s="1">
        <v>217842</v>
      </c>
      <c r="I163">
        <v>27070</v>
      </c>
      <c r="J163" t="s">
        <v>19</v>
      </c>
      <c r="K163" t="s">
        <v>48</v>
      </c>
      <c r="L163" t="s">
        <v>21</v>
      </c>
      <c r="M163" t="s">
        <v>42</v>
      </c>
      <c r="N163" s="5">
        <f>Table4[[#This Row],[BudgetAmount]]/Table4[[#This Row],[Variance]]</f>
        <v>7.0473586996675284</v>
      </c>
      <c r="O163" s="5" t="str">
        <f>TEXT(Table4[[#This Row],[Date]],"mmm")</f>
        <v>Feb</v>
      </c>
      <c r="P163" s="5">
        <f>ABS(Table4[[#This Row],[Variance]])</f>
        <v>27070</v>
      </c>
      <c r="Q163" s="5" t="str">
        <f>IF(Table4[[#This Row],[AB Variances ]]&gt;$P$2,"Anomaly","Normal")</f>
        <v>Anomaly</v>
      </c>
      <c r="R163" s="5">
        <f>SUMIFS(Table4[BudgetAmount],Table4[ActualExpense],"pending")</f>
        <v>0</v>
      </c>
    </row>
    <row r="164" spans="1:18">
      <c r="A164" t="s">
        <v>360</v>
      </c>
      <c r="B164" t="s">
        <v>361</v>
      </c>
      <c r="C164" t="s">
        <v>15</v>
      </c>
      <c r="D164" t="s">
        <v>26</v>
      </c>
      <c r="E164" t="s">
        <v>35</v>
      </c>
      <c r="F164" t="s">
        <v>36</v>
      </c>
      <c r="G164" s="2">
        <v>294495</v>
      </c>
      <c r="H164" s="1">
        <v>273952</v>
      </c>
      <c r="I164">
        <v>-20543</v>
      </c>
      <c r="J164" t="s">
        <v>54</v>
      </c>
      <c r="K164" t="s">
        <v>48</v>
      </c>
      <c r="L164" t="s">
        <v>49</v>
      </c>
      <c r="M164" t="s">
        <v>22</v>
      </c>
      <c r="N164" s="5">
        <f>Table4[[#This Row],[BudgetAmount]]/Table4[[#This Row],[Variance]]</f>
        <v>-14.335540086647519</v>
      </c>
      <c r="O164" s="5" t="str">
        <f>TEXT(Table4[[#This Row],[Date]],"mmm")</f>
        <v>Sep</v>
      </c>
      <c r="P164" s="5">
        <f>ABS(Table4[[#This Row],[Variance]])</f>
        <v>20543</v>
      </c>
      <c r="Q164" s="5" t="str">
        <f>IF(Table4[[#This Row],[AB Variances ]]&gt;$P$2,"Anomaly","Normal")</f>
        <v>Anomaly</v>
      </c>
      <c r="R164" s="5">
        <f>SUMIFS(Table4[BudgetAmount],Table4[ActualExpense],"pending")</f>
        <v>0</v>
      </c>
    </row>
    <row r="165" spans="1:18">
      <c r="A165" t="s">
        <v>362</v>
      </c>
      <c r="B165" t="s">
        <v>363</v>
      </c>
      <c r="C165" t="s">
        <v>45</v>
      </c>
      <c r="D165" t="s">
        <v>16</v>
      </c>
      <c r="E165" t="s">
        <v>71</v>
      </c>
      <c r="F165" t="s">
        <v>72</v>
      </c>
      <c r="G165" s="2">
        <v>213925</v>
      </c>
      <c r="H165" s="1">
        <v>254407</v>
      </c>
      <c r="I165">
        <v>40482</v>
      </c>
      <c r="J165" t="s">
        <v>37</v>
      </c>
      <c r="K165" t="s">
        <v>67</v>
      </c>
      <c r="L165" t="s">
        <v>68</v>
      </c>
      <c r="M165" t="s">
        <v>42</v>
      </c>
      <c r="N165" s="5">
        <f>Table4[[#This Row],[BudgetAmount]]/Table4[[#This Row],[Variance]]</f>
        <v>5.2844474087248656</v>
      </c>
      <c r="O165" s="5" t="str">
        <f>TEXT(Table4[[#This Row],[Date]],"mmm")</f>
        <v>Nov</v>
      </c>
      <c r="P165" s="5">
        <f>ABS(Table4[[#This Row],[Variance]])</f>
        <v>40482</v>
      </c>
      <c r="Q165" s="5" t="str">
        <f>IF(Table4[[#This Row],[AB Variances ]]&gt;$P$2,"Anomaly","Normal")</f>
        <v>Anomaly</v>
      </c>
      <c r="R165" s="5">
        <f>SUMIFS(Table4[BudgetAmount],Table4[ActualExpense],"pending")</f>
        <v>0</v>
      </c>
    </row>
    <row r="166" spans="1:18">
      <c r="A166" t="s">
        <v>364</v>
      </c>
      <c r="B166" t="s">
        <v>365</v>
      </c>
      <c r="C166" t="s">
        <v>33</v>
      </c>
      <c r="D166" t="s">
        <v>61</v>
      </c>
      <c r="E166" t="s">
        <v>35</v>
      </c>
      <c r="F166" t="s">
        <v>36</v>
      </c>
      <c r="G166" s="2">
        <v>253221</v>
      </c>
      <c r="H166" s="1">
        <v>251999</v>
      </c>
      <c r="I166">
        <v>-1222</v>
      </c>
      <c r="J166" t="s">
        <v>54</v>
      </c>
      <c r="K166" t="s">
        <v>29</v>
      </c>
      <c r="L166" t="s">
        <v>21</v>
      </c>
      <c r="M166" t="s">
        <v>42</v>
      </c>
      <c r="N166" s="5">
        <f>Table4[[#This Row],[BudgetAmount]]/Table4[[#This Row],[Variance]]</f>
        <v>-207.21849427168576</v>
      </c>
      <c r="O166" s="5" t="str">
        <f>TEXT(Table4[[#This Row],[Date]],"mmm")</f>
        <v>Apr</v>
      </c>
      <c r="P166" s="5">
        <f>ABS(Table4[[#This Row],[Variance]])</f>
        <v>1222</v>
      </c>
      <c r="Q166" s="5" t="str">
        <f>IF(Table4[[#This Row],[AB Variances ]]&gt;$P$2,"Anomaly","Normal")</f>
        <v>Normal</v>
      </c>
      <c r="R166" s="5">
        <f>SUMIFS(Table4[BudgetAmount],Table4[ActualExpense],"pending")</f>
        <v>0</v>
      </c>
    </row>
    <row r="167" spans="1:18">
      <c r="A167" t="s">
        <v>366</v>
      </c>
      <c r="B167" t="s">
        <v>367</v>
      </c>
      <c r="C167" t="s">
        <v>33</v>
      </c>
      <c r="D167" t="s">
        <v>34</v>
      </c>
      <c r="E167" t="s">
        <v>85</v>
      </c>
      <c r="F167" t="s">
        <v>86</v>
      </c>
      <c r="G167" s="2">
        <v>182065</v>
      </c>
      <c r="H167" s="1">
        <v>138338</v>
      </c>
      <c r="I167">
        <v>-43727</v>
      </c>
      <c r="J167" t="s">
        <v>19</v>
      </c>
      <c r="K167" t="s">
        <v>67</v>
      </c>
      <c r="L167" t="s">
        <v>21</v>
      </c>
      <c r="M167" t="s">
        <v>22</v>
      </c>
      <c r="N167" s="5">
        <f>Table4[[#This Row],[BudgetAmount]]/Table4[[#This Row],[Variance]]</f>
        <v>-4.1636746175132071</v>
      </c>
      <c r="O167" s="5" t="str">
        <f>TEXT(Table4[[#This Row],[Date]],"mmm")</f>
        <v>Feb</v>
      </c>
      <c r="P167" s="5">
        <f>ABS(Table4[[#This Row],[Variance]])</f>
        <v>43727</v>
      </c>
      <c r="Q167" s="5" t="str">
        <f>IF(Table4[[#This Row],[AB Variances ]]&gt;$P$2,"Anomaly","Normal")</f>
        <v>Anomaly</v>
      </c>
      <c r="R167" s="5">
        <f>SUMIFS(Table4[BudgetAmount],Table4[ActualExpense],"pending")</f>
        <v>0</v>
      </c>
    </row>
    <row r="168" spans="1:18">
      <c r="A168" t="s">
        <v>368</v>
      </c>
      <c r="B168" t="s">
        <v>369</v>
      </c>
      <c r="C168" t="s">
        <v>15</v>
      </c>
      <c r="D168" t="s">
        <v>26</v>
      </c>
      <c r="E168" t="s">
        <v>46</v>
      </c>
      <c r="F168" t="s">
        <v>47</v>
      </c>
      <c r="G168" s="2">
        <v>348030</v>
      </c>
      <c r="H168" s="1">
        <v>313776</v>
      </c>
      <c r="I168">
        <v>-34254</v>
      </c>
      <c r="J168" t="s">
        <v>37</v>
      </c>
      <c r="K168" t="s">
        <v>67</v>
      </c>
      <c r="L168" t="s">
        <v>68</v>
      </c>
      <c r="M168" t="s">
        <v>42</v>
      </c>
      <c r="N168" s="5">
        <f>Table4[[#This Row],[BudgetAmount]]/Table4[[#This Row],[Variance]]</f>
        <v>-10.160273252758802</v>
      </c>
      <c r="O168" s="5" t="str">
        <f>TEXT(Table4[[#This Row],[Date]],"mmm")</f>
        <v>Dec</v>
      </c>
      <c r="P168" s="5">
        <f>ABS(Table4[[#This Row],[Variance]])</f>
        <v>34254</v>
      </c>
      <c r="Q168" s="5" t="str">
        <f>IF(Table4[[#This Row],[AB Variances ]]&gt;$P$2,"Anomaly","Normal")</f>
        <v>Anomaly</v>
      </c>
      <c r="R168" s="5">
        <f>SUMIFS(Table4[BudgetAmount],Table4[ActualExpense],"pending")</f>
        <v>0</v>
      </c>
    </row>
    <row r="169" spans="1:18">
      <c r="A169" t="s">
        <v>370</v>
      </c>
      <c r="B169" t="s">
        <v>371</v>
      </c>
      <c r="C169" t="s">
        <v>25</v>
      </c>
      <c r="D169" t="s">
        <v>26</v>
      </c>
      <c r="E169" t="s">
        <v>85</v>
      </c>
      <c r="F169" t="s">
        <v>86</v>
      </c>
      <c r="G169" s="2">
        <v>343139</v>
      </c>
      <c r="H169" s="1">
        <v>459045</v>
      </c>
      <c r="I169">
        <v>115906</v>
      </c>
      <c r="J169" t="s">
        <v>54</v>
      </c>
      <c r="K169" t="s">
        <v>67</v>
      </c>
      <c r="L169" t="s">
        <v>68</v>
      </c>
      <c r="M169" t="s">
        <v>42</v>
      </c>
      <c r="N169" s="5">
        <f>Table4[[#This Row],[BudgetAmount]]/Table4[[#This Row],[Variance]]</f>
        <v>2.9604938484634098</v>
      </c>
      <c r="O169" s="5" t="str">
        <f>TEXT(Table4[[#This Row],[Date]],"mmm")</f>
        <v>Feb</v>
      </c>
      <c r="P169" s="5">
        <f>ABS(Table4[[#This Row],[Variance]])</f>
        <v>115906</v>
      </c>
      <c r="Q169" s="5" t="str">
        <f>IF(Table4[[#This Row],[AB Variances ]]&gt;$P$2,"Anomaly","Normal")</f>
        <v>Anomaly</v>
      </c>
      <c r="R169" s="5">
        <f>SUMIFS(Table4[BudgetAmount],Table4[ActualExpense],"pending")</f>
        <v>0</v>
      </c>
    </row>
    <row r="170" spans="1:18">
      <c r="A170" t="s">
        <v>372</v>
      </c>
      <c r="B170" t="s">
        <v>373</v>
      </c>
      <c r="C170" t="s">
        <v>15</v>
      </c>
      <c r="D170" t="s">
        <v>34</v>
      </c>
      <c r="E170" t="s">
        <v>17</v>
      </c>
      <c r="F170" t="s">
        <v>18</v>
      </c>
      <c r="G170" s="2">
        <v>200555</v>
      </c>
      <c r="H170" s="1">
        <v>196778</v>
      </c>
      <c r="I170">
        <v>-3777</v>
      </c>
      <c r="J170" t="s">
        <v>54</v>
      </c>
      <c r="K170" t="s">
        <v>67</v>
      </c>
      <c r="L170" t="s">
        <v>68</v>
      </c>
      <c r="M170" t="s">
        <v>42</v>
      </c>
      <c r="N170" s="5">
        <f>Table4[[#This Row],[BudgetAmount]]/Table4[[#This Row],[Variance]]</f>
        <v>-53.099020386550173</v>
      </c>
      <c r="O170" s="5" t="str">
        <f>TEXT(Table4[[#This Row],[Date]],"mmm")</f>
        <v>Nov</v>
      </c>
      <c r="P170" s="5">
        <f>ABS(Table4[[#This Row],[Variance]])</f>
        <v>3777</v>
      </c>
      <c r="Q170" s="5" t="str">
        <f>IF(Table4[[#This Row],[AB Variances ]]&gt;$P$2,"Anomaly","Normal")</f>
        <v>Normal</v>
      </c>
      <c r="R170" s="5">
        <f>SUMIFS(Table4[BudgetAmount],Table4[ActualExpense],"pending")</f>
        <v>0</v>
      </c>
    </row>
    <row r="171" spans="1:18">
      <c r="A171" t="s">
        <v>374</v>
      </c>
      <c r="B171" t="s">
        <v>375</v>
      </c>
      <c r="C171" t="s">
        <v>15</v>
      </c>
      <c r="D171" t="s">
        <v>16</v>
      </c>
      <c r="E171" t="s">
        <v>35</v>
      </c>
      <c r="F171" t="s">
        <v>36</v>
      </c>
      <c r="G171" s="2">
        <v>133703</v>
      </c>
      <c r="H171" s="1">
        <v>102047</v>
      </c>
      <c r="I171">
        <v>-31656</v>
      </c>
      <c r="J171" t="s">
        <v>19</v>
      </c>
      <c r="K171" t="s">
        <v>41</v>
      </c>
      <c r="L171" t="s">
        <v>49</v>
      </c>
      <c r="M171" t="s">
        <v>42</v>
      </c>
      <c r="N171" s="5">
        <f>Table4[[#This Row],[BudgetAmount]]/Table4[[#This Row],[Variance]]</f>
        <v>-4.2236226939600705</v>
      </c>
      <c r="O171" s="5" t="str">
        <f>TEXT(Table4[[#This Row],[Date]],"mmm")</f>
        <v>Mar</v>
      </c>
      <c r="P171" s="5">
        <f>ABS(Table4[[#This Row],[Variance]])</f>
        <v>31656</v>
      </c>
      <c r="Q171" s="5" t="str">
        <f>IF(Table4[[#This Row],[AB Variances ]]&gt;$P$2,"Anomaly","Normal")</f>
        <v>Anomaly</v>
      </c>
      <c r="R171" s="5">
        <f>SUMIFS(Table4[BudgetAmount],Table4[ActualExpense],"pending")</f>
        <v>0</v>
      </c>
    </row>
    <row r="172" spans="1:18">
      <c r="A172" t="s">
        <v>376</v>
      </c>
      <c r="B172" t="s">
        <v>377</v>
      </c>
      <c r="C172" t="s">
        <v>25</v>
      </c>
      <c r="D172" t="s">
        <v>34</v>
      </c>
      <c r="E172" t="s">
        <v>35</v>
      </c>
      <c r="F172" t="s">
        <v>36</v>
      </c>
      <c r="G172" s="2">
        <v>52631</v>
      </c>
      <c r="H172" s="1">
        <v>41743</v>
      </c>
      <c r="I172">
        <v>-10888</v>
      </c>
      <c r="J172" t="s">
        <v>19</v>
      </c>
      <c r="K172" t="s">
        <v>20</v>
      </c>
      <c r="L172" t="s">
        <v>49</v>
      </c>
      <c r="M172" t="s">
        <v>22</v>
      </c>
      <c r="N172" s="5">
        <f>Table4[[#This Row],[BudgetAmount]]/Table4[[#This Row],[Variance]]</f>
        <v>-4.8338537839823656</v>
      </c>
      <c r="O172" s="5" t="str">
        <f>TEXT(Table4[[#This Row],[Date]],"mmm")</f>
        <v>Mar</v>
      </c>
      <c r="P172" s="5">
        <f>ABS(Table4[[#This Row],[Variance]])</f>
        <v>10888</v>
      </c>
      <c r="Q172" s="5" t="str">
        <f>IF(Table4[[#This Row],[AB Variances ]]&gt;$P$2,"Anomaly","Normal")</f>
        <v>Normal</v>
      </c>
      <c r="R172" s="5">
        <f>SUMIFS(Table4[BudgetAmount],Table4[ActualExpense],"pending")</f>
        <v>0</v>
      </c>
    </row>
    <row r="173" spans="1:18">
      <c r="A173" t="s">
        <v>378</v>
      </c>
      <c r="B173" t="s">
        <v>379</v>
      </c>
      <c r="C173" t="s">
        <v>33</v>
      </c>
      <c r="D173" t="s">
        <v>61</v>
      </c>
      <c r="E173" t="s">
        <v>46</v>
      </c>
      <c r="F173" t="s">
        <v>47</v>
      </c>
      <c r="G173" s="2">
        <v>338482</v>
      </c>
      <c r="H173" s="1">
        <v>272864</v>
      </c>
      <c r="I173">
        <v>-65618</v>
      </c>
      <c r="J173" t="s">
        <v>19</v>
      </c>
      <c r="K173" t="s">
        <v>48</v>
      </c>
      <c r="L173" t="s">
        <v>68</v>
      </c>
      <c r="M173" t="s">
        <v>22</v>
      </c>
      <c r="N173" s="5">
        <f>Table4[[#This Row],[BudgetAmount]]/Table4[[#This Row],[Variance]]</f>
        <v>-5.1583711786400075</v>
      </c>
      <c r="O173" s="5" t="str">
        <f>TEXT(Table4[[#This Row],[Date]],"mmm")</f>
        <v>Mar</v>
      </c>
      <c r="P173" s="5">
        <f>ABS(Table4[[#This Row],[Variance]])</f>
        <v>65618</v>
      </c>
      <c r="Q173" s="5" t="str">
        <f>IF(Table4[[#This Row],[AB Variances ]]&gt;$P$2,"Anomaly","Normal")</f>
        <v>Anomaly</v>
      </c>
      <c r="R173" s="5">
        <f>SUMIFS(Table4[BudgetAmount],Table4[ActualExpense],"pending")</f>
        <v>0</v>
      </c>
    </row>
    <row r="174" spans="1:18">
      <c r="A174" t="s">
        <v>380</v>
      </c>
      <c r="B174" t="s">
        <v>381</v>
      </c>
      <c r="C174" t="s">
        <v>64</v>
      </c>
      <c r="D174" t="s">
        <v>40</v>
      </c>
      <c r="E174" t="s">
        <v>71</v>
      </c>
      <c r="F174" t="s">
        <v>72</v>
      </c>
      <c r="G174" s="2">
        <v>354925</v>
      </c>
      <c r="H174" s="1">
        <v>471612</v>
      </c>
      <c r="I174">
        <v>116687</v>
      </c>
      <c r="J174" t="s">
        <v>37</v>
      </c>
      <c r="K174" t="s">
        <v>48</v>
      </c>
      <c r="L174" t="s">
        <v>68</v>
      </c>
      <c r="M174" t="s">
        <v>42</v>
      </c>
      <c r="N174" s="5">
        <f>Table4[[#This Row],[BudgetAmount]]/Table4[[#This Row],[Variance]]</f>
        <v>3.0416841636171981</v>
      </c>
      <c r="O174" s="5" t="str">
        <f>TEXT(Table4[[#This Row],[Date]],"mmm")</f>
        <v>Jul</v>
      </c>
      <c r="P174" s="5">
        <f>ABS(Table4[[#This Row],[Variance]])</f>
        <v>116687</v>
      </c>
      <c r="Q174" s="5" t="str">
        <f>IF(Table4[[#This Row],[AB Variances ]]&gt;$P$2,"Anomaly","Normal")</f>
        <v>Anomaly</v>
      </c>
      <c r="R174" s="5">
        <f>SUMIFS(Table4[BudgetAmount],Table4[ActualExpense],"pending")</f>
        <v>0</v>
      </c>
    </row>
    <row r="175" spans="1:18">
      <c r="A175" t="s">
        <v>382</v>
      </c>
      <c r="B175" t="s">
        <v>383</v>
      </c>
      <c r="C175" t="s">
        <v>35</v>
      </c>
      <c r="D175" t="s">
        <v>26</v>
      </c>
      <c r="E175" t="s">
        <v>85</v>
      </c>
      <c r="F175" t="s">
        <v>86</v>
      </c>
      <c r="G175" s="2">
        <v>286481</v>
      </c>
      <c r="H175" s="1">
        <v>387733</v>
      </c>
      <c r="I175">
        <v>101252</v>
      </c>
      <c r="J175" t="s">
        <v>19</v>
      </c>
      <c r="K175" t="s">
        <v>20</v>
      </c>
      <c r="L175" t="s">
        <v>21</v>
      </c>
      <c r="M175" t="s">
        <v>42</v>
      </c>
      <c r="N175" s="5">
        <f>Table4[[#This Row],[BudgetAmount]]/Table4[[#This Row],[Variance]]</f>
        <v>2.8293860862007665</v>
      </c>
      <c r="O175" s="5" t="str">
        <f>TEXT(Table4[[#This Row],[Date]],"mmm")</f>
        <v>Sep</v>
      </c>
      <c r="P175" s="5">
        <f>ABS(Table4[[#This Row],[Variance]])</f>
        <v>101252</v>
      </c>
      <c r="Q175" s="5" t="str">
        <f>IF(Table4[[#This Row],[AB Variances ]]&gt;$P$2,"Anomaly","Normal")</f>
        <v>Anomaly</v>
      </c>
      <c r="R175" s="5">
        <f>SUMIFS(Table4[BudgetAmount],Table4[ActualExpense],"pending")</f>
        <v>0</v>
      </c>
    </row>
    <row r="176" spans="1:18">
      <c r="A176" t="s">
        <v>384</v>
      </c>
      <c r="B176" t="s">
        <v>385</v>
      </c>
      <c r="C176" t="s">
        <v>33</v>
      </c>
      <c r="D176" t="s">
        <v>26</v>
      </c>
      <c r="E176" t="s">
        <v>85</v>
      </c>
      <c r="F176" t="s">
        <v>86</v>
      </c>
      <c r="G176" s="2">
        <v>229410</v>
      </c>
      <c r="H176" s="1">
        <v>302668</v>
      </c>
      <c r="I176">
        <v>73258</v>
      </c>
      <c r="J176" t="s">
        <v>54</v>
      </c>
      <c r="K176" t="s">
        <v>41</v>
      </c>
      <c r="L176" t="s">
        <v>49</v>
      </c>
      <c r="M176" t="s">
        <v>22</v>
      </c>
      <c r="N176" s="5">
        <f>Table4[[#This Row],[BudgetAmount]]/Table4[[#This Row],[Variance]]</f>
        <v>3.1315351224439651</v>
      </c>
      <c r="O176" s="5" t="str">
        <f>TEXT(Table4[[#This Row],[Date]],"mmm")</f>
        <v>Aug</v>
      </c>
      <c r="P176" s="5">
        <f>ABS(Table4[[#This Row],[Variance]])</f>
        <v>73258</v>
      </c>
      <c r="Q176" s="5" t="str">
        <f>IF(Table4[[#This Row],[AB Variances ]]&gt;$P$2,"Anomaly","Normal")</f>
        <v>Anomaly</v>
      </c>
      <c r="R176" s="5">
        <f>SUMIFS(Table4[BudgetAmount],Table4[ActualExpense],"pending")</f>
        <v>0</v>
      </c>
    </row>
    <row r="177" spans="1:18">
      <c r="A177" t="s">
        <v>386</v>
      </c>
      <c r="B177" t="s">
        <v>387</v>
      </c>
      <c r="C177" t="s">
        <v>35</v>
      </c>
      <c r="D177" t="s">
        <v>16</v>
      </c>
      <c r="E177" t="s">
        <v>46</v>
      </c>
      <c r="F177" t="s">
        <v>47</v>
      </c>
      <c r="G177" s="2">
        <v>452399</v>
      </c>
      <c r="H177" s="1">
        <v>432078</v>
      </c>
      <c r="I177">
        <v>-20321</v>
      </c>
      <c r="J177" t="s">
        <v>37</v>
      </c>
      <c r="K177" t="s">
        <v>20</v>
      </c>
      <c r="L177" t="s">
        <v>49</v>
      </c>
      <c r="M177" t="s">
        <v>22</v>
      </c>
      <c r="N177" s="5">
        <f>Table4[[#This Row],[BudgetAmount]]/Table4[[#This Row],[Variance]]</f>
        <v>-22.26263471285862</v>
      </c>
      <c r="O177" s="5" t="str">
        <f>TEXT(Table4[[#This Row],[Date]],"mmm")</f>
        <v>Jul</v>
      </c>
      <c r="P177" s="5">
        <f>ABS(Table4[[#This Row],[Variance]])</f>
        <v>20321</v>
      </c>
      <c r="Q177" s="5" t="str">
        <f>IF(Table4[[#This Row],[AB Variances ]]&gt;$P$2,"Anomaly","Normal")</f>
        <v>Anomaly</v>
      </c>
      <c r="R177" s="5">
        <f>SUMIFS(Table4[BudgetAmount],Table4[ActualExpense],"pending")</f>
        <v>0</v>
      </c>
    </row>
    <row r="178" spans="1:18">
      <c r="A178" t="s">
        <v>388</v>
      </c>
      <c r="B178" t="s">
        <v>389</v>
      </c>
      <c r="C178" t="s">
        <v>45</v>
      </c>
      <c r="D178" t="s">
        <v>40</v>
      </c>
      <c r="E178" t="s">
        <v>46</v>
      </c>
      <c r="F178" t="s">
        <v>47</v>
      </c>
      <c r="G178" s="2">
        <v>244095</v>
      </c>
      <c r="H178" s="1">
        <v>256756</v>
      </c>
      <c r="I178">
        <v>12661</v>
      </c>
      <c r="J178" t="s">
        <v>19</v>
      </c>
      <c r="K178" t="s">
        <v>20</v>
      </c>
      <c r="L178" t="s">
        <v>49</v>
      </c>
      <c r="M178" t="s">
        <v>22</v>
      </c>
      <c r="N178" s="5">
        <f>Table4[[#This Row],[BudgetAmount]]/Table4[[#This Row],[Variance]]</f>
        <v>19.279282837058684</v>
      </c>
      <c r="O178" s="5" t="str">
        <f>TEXT(Table4[[#This Row],[Date]],"mmm")</f>
        <v>Sep</v>
      </c>
      <c r="P178" s="5">
        <f>ABS(Table4[[#This Row],[Variance]])</f>
        <v>12661</v>
      </c>
      <c r="Q178" s="5" t="str">
        <f>IF(Table4[[#This Row],[AB Variances ]]&gt;$P$2,"Anomaly","Normal")</f>
        <v>Normal</v>
      </c>
      <c r="R178" s="5">
        <f>SUMIFS(Table4[BudgetAmount],Table4[ActualExpense],"pending")</f>
        <v>0</v>
      </c>
    </row>
    <row r="179" spans="1:18">
      <c r="A179" t="s">
        <v>390</v>
      </c>
      <c r="B179" t="s">
        <v>391</v>
      </c>
      <c r="C179" t="s">
        <v>45</v>
      </c>
      <c r="D179" t="s">
        <v>34</v>
      </c>
      <c r="E179" t="s">
        <v>27</v>
      </c>
      <c r="F179" t="s">
        <v>28</v>
      </c>
      <c r="G179" s="2">
        <v>125828</v>
      </c>
      <c r="H179" s="1">
        <v>111861</v>
      </c>
      <c r="I179">
        <v>-13967</v>
      </c>
      <c r="J179" t="s">
        <v>37</v>
      </c>
      <c r="K179" t="s">
        <v>20</v>
      </c>
      <c r="L179" t="s">
        <v>30</v>
      </c>
      <c r="M179" t="s">
        <v>22</v>
      </c>
      <c r="N179" s="5">
        <f>Table4[[#This Row],[BudgetAmount]]/Table4[[#This Row],[Variance]]</f>
        <v>-9.0089496670723843</v>
      </c>
      <c r="O179" s="5" t="str">
        <f>TEXT(Table4[[#This Row],[Date]],"mmm")</f>
        <v>Aug</v>
      </c>
      <c r="P179" s="5">
        <f>ABS(Table4[[#This Row],[Variance]])</f>
        <v>13967</v>
      </c>
      <c r="Q179" s="5" t="str">
        <f>IF(Table4[[#This Row],[AB Variances ]]&gt;$P$2,"Anomaly","Normal")</f>
        <v>Normal</v>
      </c>
      <c r="R179" s="5">
        <f>SUMIFS(Table4[BudgetAmount],Table4[ActualExpense],"pending")</f>
        <v>0</v>
      </c>
    </row>
    <row r="180" spans="1:18">
      <c r="A180" t="s">
        <v>392</v>
      </c>
      <c r="B180" t="s">
        <v>211</v>
      </c>
      <c r="C180" t="s">
        <v>33</v>
      </c>
      <c r="D180" t="s">
        <v>34</v>
      </c>
      <c r="E180" t="s">
        <v>85</v>
      </c>
      <c r="F180" t="s">
        <v>86</v>
      </c>
      <c r="G180" s="2">
        <v>410492</v>
      </c>
      <c r="H180" s="1">
        <v>392262</v>
      </c>
      <c r="I180">
        <v>-18230</v>
      </c>
      <c r="J180" t="s">
        <v>19</v>
      </c>
      <c r="K180" t="s">
        <v>29</v>
      </c>
      <c r="L180" t="s">
        <v>68</v>
      </c>
      <c r="M180" t="s">
        <v>22</v>
      </c>
      <c r="N180" s="5">
        <f>Table4[[#This Row],[BudgetAmount]]/Table4[[#This Row],[Variance]]</f>
        <v>-22.517388919363686</v>
      </c>
      <c r="O180" s="5" t="str">
        <f>TEXT(Table4[[#This Row],[Date]],"mmm")</f>
        <v>Nov</v>
      </c>
      <c r="P180" s="5">
        <f>ABS(Table4[[#This Row],[Variance]])</f>
        <v>18230</v>
      </c>
      <c r="Q180" s="5" t="str">
        <f>IF(Table4[[#This Row],[AB Variances ]]&gt;$P$2,"Anomaly","Normal")</f>
        <v>Anomaly</v>
      </c>
      <c r="R180" s="5">
        <f>SUMIFS(Table4[BudgetAmount],Table4[ActualExpense],"pending")</f>
        <v>0</v>
      </c>
    </row>
    <row r="181" spans="1:18">
      <c r="A181" t="s">
        <v>393</v>
      </c>
      <c r="B181" t="s">
        <v>394</v>
      </c>
      <c r="C181" t="s">
        <v>33</v>
      </c>
      <c r="D181" t="s">
        <v>34</v>
      </c>
      <c r="E181" t="s">
        <v>27</v>
      </c>
      <c r="F181" t="s">
        <v>28</v>
      </c>
      <c r="G181" s="2">
        <v>295614</v>
      </c>
      <c r="H181" s="1">
        <v>325020</v>
      </c>
      <c r="I181">
        <v>29406</v>
      </c>
      <c r="J181" t="s">
        <v>54</v>
      </c>
      <c r="K181" t="s">
        <v>29</v>
      </c>
      <c r="L181" t="s">
        <v>49</v>
      </c>
      <c r="M181" t="s">
        <v>22</v>
      </c>
      <c r="N181" s="5">
        <f>Table4[[#This Row],[BudgetAmount]]/Table4[[#This Row],[Variance]]</f>
        <v>10.052846357886146</v>
      </c>
      <c r="O181" s="5" t="str">
        <f>TEXT(Table4[[#This Row],[Date]],"mmm")</f>
        <v>Mar</v>
      </c>
      <c r="P181" s="5">
        <f>ABS(Table4[[#This Row],[Variance]])</f>
        <v>29406</v>
      </c>
      <c r="Q181" s="5" t="str">
        <f>IF(Table4[[#This Row],[AB Variances ]]&gt;$P$2,"Anomaly","Normal")</f>
        <v>Anomaly</v>
      </c>
      <c r="R181" s="5">
        <f>SUMIFS(Table4[BudgetAmount],Table4[ActualExpense],"pending")</f>
        <v>0</v>
      </c>
    </row>
    <row r="182" spans="1:18">
      <c r="A182" t="s">
        <v>395</v>
      </c>
      <c r="B182" t="s">
        <v>396</v>
      </c>
      <c r="C182" t="s">
        <v>15</v>
      </c>
      <c r="D182" t="s">
        <v>40</v>
      </c>
      <c r="E182" t="s">
        <v>71</v>
      </c>
      <c r="F182" t="s">
        <v>72</v>
      </c>
      <c r="G182" s="2">
        <v>218881</v>
      </c>
      <c r="H182" s="1">
        <v>255715</v>
      </c>
      <c r="I182">
        <v>36834</v>
      </c>
      <c r="J182" t="s">
        <v>19</v>
      </c>
      <c r="K182" t="s">
        <v>67</v>
      </c>
      <c r="L182" t="s">
        <v>49</v>
      </c>
      <c r="M182" t="s">
        <v>22</v>
      </c>
      <c r="N182" s="5">
        <f>Table4[[#This Row],[BudgetAmount]]/Table4[[#This Row],[Variance]]</f>
        <v>5.9423630341532281</v>
      </c>
      <c r="O182" s="5" t="str">
        <f>TEXT(Table4[[#This Row],[Date]],"mmm")</f>
        <v>Jul</v>
      </c>
      <c r="P182" s="5">
        <f>ABS(Table4[[#This Row],[Variance]])</f>
        <v>36834</v>
      </c>
      <c r="Q182" s="5" t="str">
        <f>IF(Table4[[#This Row],[AB Variances ]]&gt;$P$2,"Anomaly","Normal")</f>
        <v>Anomaly</v>
      </c>
      <c r="R182" s="5">
        <f>SUMIFS(Table4[BudgetAmount],Table4[ActualExpense],"pending")</f>
        <v>0</v>
      </c>
    </row>
    <row r="183" spans="1:18">
      <c r="A183" t="s">
        <v>397</v>
      </c>
      <c r="B183" t="s">
        <v>398</v>
      </c>
      <c r="C183" t="s">
        <v>33</v>
      </c>
      <c r="D183" t="s">
        <v>61</v>
      </c>
      <c r="E183" t="s">
        <v>27</v>
      </c>
      <c r="F183" t="s">
        <v>28</v>
      </c>
      <c r="G183" s="2">
        <v>413867</v>
      </c>
      <c r="H183" s="1">
        <v>534931</v>
      </c>
      <c r="I183">
        <v>121064</v>
      </c>
      <c r="J183" t="s">
        <v>54</v>
      </c>
      <c r="K183" t="s">
        <v>41</v>
      </c>
      <c r="L183" t="s">
        <v>49</v>
      </c>
      <c r="M183" t="s">
        <v>42</v>
      </c>
      <c r="N183" s="5">
        <f>Table4[[#This Row],[BudgetAmount]]/Table4[[#This Row],[Variance]]</f>
        <v>3.4185802550716975</v>
      </c>
      <c r="O183" s="5" t="str">
        <f>TEXT(Table4[[#This Row],[Date]],"mmm")</f>
        <v>Jul</v>
      </c>
      <c r="P183" s="5">
        <f>ABS(Table4[[#This Row],[Variance]])</f>
        <v>121064</v>
      </c>
      <c r="Q183" s="5" t="str">
        <f>IF(Table4[[#This Row],[AB Variances ]]&gt;$P$2,"Anomaly","Normal")</f>
        <v>Anomaly</v>
      </c>
      <c r="R183" s="5">
        <f>SUMIFS(Table4[BudgetAmount],Table4[ActualExpense],"pending")</f>
        <v>0</v>
      </c>
    </row>
    <row r="184" spans="1:18">
      <c r="A184" t="s">
        <v>399</v>
      </c>
      <c r="B184" t="s">
        <v>400</v>
      </c>
      <c r="C184" t="s">
        <v>45</v>
      </c>
      <c r="D184" t="s">
        <v>26</v>
      </c>
      <c r="E184" t="s">
        <v>17</v>
      </c>
      <c r="F184" t="s">
        <v>18</v>
      </c>
      <c r="G184" s="2">
        <v>227815</v>
      </c>
      <c r="H184" s="1">
        <v>198515</v>
      </c>
      <c r="I184">
        <v>-29300</v>
      </c>
      <c r="J184" t="s">
        <v>54</v>
      </c>
      <c r="K184" t="s">
        <v>48</v>
      </c>
      <c r="L184" t="s">
        <v>49</v>
      </c>
      <c r="M184" t="s">
        <v>42</v>
      </c>
      <c r="N184" s="5">
        <f>Table4[[#This Row],[BudgetAmount]]/Table4[[#This Row],[Variance]]</f>
        <v>-7.7752559726962458</v>
      </c>
      <c r="O184" s="5" t="str">
        <f>TEXT(Table4[[#This Row],[Date]],"mmm")</f>
        <v>Jul</v>
      </c>
      <c r="P184" s="5">
        <f>ABS(Table4[[#This Row],[Variance]])</f>
        <v>29300</v>
      </c>
      <c r="Q184" s="5" t="str">
        <f>IF(Table4[[#This Row],[AB Variances ]]&gt;$P$2,"Anomaly","Normal")</f>
        <v>Anomaly</v>
      </c>
      <c r="R184" s="5">
        <f>SUMIFS(Table4[BudgetAmount],Table4[ActualExpense],"pending")</f>
        <v>0</v>
      </c>
    </row>
    <row r="185" spans="1:18">
      <c r="A185" t="s">
        <v>401</v>
      </c>
      <c r="B185" t="s">
        <v>314</v>
      </c>
      <c r="C185" t="s">
        <v>35</v>
      </c>
      <c r="D185" t="s">
        <v>16</v>
      </c>
      <c r="E185" t="s">
        <v>71</v>
      </c>
      <c r="F185" t="s">
        <v>72</v>
      </c>
      <c r="G185" s="2">
        <v>392119</v>
      </c>
      <c r="H185" s="1">
        <v>305981</v>
      </c>
      <c r="I185">
        <v>-86138</v>
      </c>
      <c r="J185" t="s">
        <v>37</v>
      </c>
      <c r="K185" t="s">
        <v>48</v>
      </c>
      <c r="L185" t="s">
        <v>68</v>
      </c>
      <c r="M185" t="s">
        <v>22</v>
      </c>
      <c r="N185" s="5">
        <f>Table4[[#This Row],[BudgetAmount]]/Table4[[#This Row],[Variance]]</f>
        <v>-4.5522185330516152</v>
      </c>
      <c r="O185" s="5" t="str">
        <f>TEXT(Table4[[#This Row],[Date]],"mmm")</f>
        <v>Mar</v>
      </c>
      <c r="P185" s="5">
        <f>ABS(Table4[[#This Row],[Variance]])</f>
        <v>86138</v>
      </c>
      <c r="Q185" s="5" t="str">
        <f>IF(Table4[[#This Row],[AB Variances ]]&gt;$P$2,"Anomaly","Normal")</f>
        <v>Anomaly</v>
      </c>
      <c r="R185" s="5">
        <f>SUMIFS(Table4[BudgetAmount],Table4[ActualExpense],"pending")</f>
        <v>0</v>
      </c>
    </row>
    <row r="186" spans="1:18">
      <c r="A186" t="s">
        <v>402</v>
      </c>
      <c r="B186" t="s">
        <v>134</v>
      </c>
      <c r="C186" t="s">
        <v>64</v>
      </c>
      <c r="D186" t="s">
        <v>26</v>
      </c>
      <c r="E186" t="s">
        <v>27</v>
      </c>
      <c r="F186" t="s">
        <v>28</v>
      </c>
      <c r="G186" s="2">
        <v>352525</v>
      </c>
      <c r="H186" s="1">
        <v>337424</v>
      </c>
      <c r="I186">
        <v>-15101</v>
      </c>
      <c r="J186" t="s">
        <v>19</v>
      </c>
      <c r="K186" t="s">
        <v>20</v>
      </c>
      <c r="L186" t="s">
        <v>68</v>
      </c>
      <c r="M186" t="s">
        <v>22</v>
      </c>
      <c r="N186" s="5">
        <f>Table4[[#This Row],[BudgetAmount]]/Table4[[#This Row],[Variance]]</f>
        <v>-23.344480497980268</v>
      </c>
      <c r="O186" s="5" t="str">
        <f>TEXT(Table4[[#This Row],[Date]],"mmm")</f>
        <v>Jan</v>
      </c>
      <c r="P186" s="5">
        <f>ABS(Table4[[#This Row],[Variance]])</f>
        <v>15101</v>
      </c>
      <c r="Q186" s="5" t="str">
        <f>IF(Table4[[#This Row],[AB Variances ]]&gt;$P$2,"Anomaly","Normal")</f>
        <v>Normal</v>
      </c>
      <c r="R186" s="5">
        <f>SUMIFS(Table4[BudgetAmount],Table4[ActualExpense],"pending")</f>
        <v>0</v>
      </c>
    </row>
    <row r="187" spans="1:18">
      <c r="A187" t="s">
        <v>403</v>
      </c>
      <c r="B187" t="s">
        <v>404</v>
      </c>
      <c r="C187" t="s">
        <v>45</v>
      </c>
      <c r="D187" t="s">
        <v>16</v>
      </c>
      <c r="E187" t="s">
        <v>35</v>
      </c>
      <c r="F187" t="s">
        <v>36</v>
      </c>
      <c r="G187" s="2">
        <v>432779</v>
      </c>
      <c r="H187" s="1">
        <v>335756</v>
      </c>
      <c r="I187">
        <v>-97023</v>
      </c>
      <c r="J187" t="s">
        <v>54</v>
      </c>
      <c r="K187" t="s">
        <v>41</v>
      </c>
      <c r="L187" t="s">
        <v>49</v>
      </c>
      <c r="M187" t="s">
        <v>42</v>
      </c>
      <c r="N187" s="5">
        <f>Table4[[#This Row],[BudgetAmount]]/Table4[[#This Row],[Variance]]</f>
        <v>-4.460581511600342</v>
      </c>
      <c r="O187" s="5" t="str">
        <f>TEXT(Table4[[#This Row],[Date]],"mmm")</f>
        <v>Feb</v>
      </c>
      <c r="P187" s="5">
        <f>ABS(Table4[[#This Row],[Variance]])</f>
        <v>97023</v>
      </c>
      <c r="Q187" s="5" t="str">
        <f>IF(Table4[[#This Row],[AB Variances ]]&gt;$P$2,"Anomaly","Normal")</f>
        <v>Anomaly</v>
      </c>
      <c r="R187" s="5">
        <f>SUMIFS(Table4[BudgetAmount],Table4[ActualExpense],"pending")</f>
        <v>0</v>
      </c>
    </row>
    <row r="188" spans="1:18">
      <c r="A188" t="s">
        <v>405</v>
      </c>
      <c r="B188" t="s">
        <v>406</v>
      </c>
      <c r="C188" t="s">
        <v>15</v>
      </c>
      <c r="D188" t="s">
        <v>61</v>
      </c>
      <c r="E188" t="s">
        <v>17</v>
      </c>
      <c r="F188" t="s">
        <v>18</v>
      </c>
      <c r="G188" s="2">
        <v>209276</v>
      </c>
      <c r="H188" s="1">
        <v>263993</v>
      </c>
      <c r="I188">
        <v>54717</v>
      </c>
      <c r="J188" t="s">
        <v>37</v>
      </c>
      <c r="K188" t="s">
        <v>29</v>
      </c>
      <c r="L188" t="s">
        <v>30</v>
      </c>
      <c r="M188" t="s">
        <v>22</v>
      </c>
      <c r="N188" s="5">
        <f>Table4[[#This Row],[BudgetAmount]]/Table4[[#This Row],[Variance]]</f>
        <v>3.8246979914834514</v>
      </c>
      <c r="O188" s="5" t="str">
        <f>TEXT(Table4[[#This Row],[Date]],"mmm")</f>
        <v>May</v>
      </c>
      <c r="P188" s="5">
        <f>ABS(Table4[[#This Row],[Variance]])</f>
        <v>54717</v>
      </c>
      <c r="Q188" s="5" t="str">
        <f>IF(Table4[[#This Row],[AB Variances ]]&gt;$P$2,"Anomaly","Normal")</f>
        <v>Anomaly</v>
      </c>
      <c r="R188" s="5">
        <f>SUMIFS(Table4[BudgetAmount],Table4[ActualExpense],"pending")</f>
        <v>0</v>
      </c>
    </row>
    <row r="189" spans="1:18">
      <c r="A189" t="s">
        <v>407</v>
      </c>
      <c r="B189" t="s">
        <v>408</v>
      </c>
      <c r="C189" t="s">
        <v>45</v>
      </c>
      <c r="D189" t="s">
        <v>40</v>
      </c>
      <c r="E189" t="s">
        <v>27</v>
      </c>
      <c r="F189" t="s">
        <v>28</v>
      </c>
      <c r="G189" s="2">
        <v>79870</v>
      </c>
      <c r="H189" s="1">
        <v>97232</v>
      </c>
      <c r="I189">
        <v>17362</v>
      </c>
      <c r="J189" t="s">
        <v>19</v>
      </c>
      <c r="K189" t="s">
        <v>67</v>
      </c>
      <c r="L189" t="s">
        <v>49</v>
      </c>
      <c r="M189" t="s">
        <v>22</v>
      </c>
      <c r="N189" s="5">
        <f>Table4[[#This Row],[BudgetAmount]]/Table4[[#This Row],[Variance]]</f>
        <v>4.6002764658449484</v>
      </c>
      <c r="O189" s="5" t="str">
        <f>TEXT(Table4[[#This Row],[Date]],"mmm")</f>
        <v>Jan</v>
      </c>
      <c r="P189" s="5">
        <f>ABS(Table4[[#This Row],[Variance]])</f>
        <v>17362</v>
      </c>
      <c r="Q189" s="5" t="str">
        <f>IF(Table4[[#This Row],[AB Variances ]]&gt;$P$2,"Anomaly","Normal")</f>
        <v>Anomaly</v>
      </c>
      <c r="R189" s="5">
        <f>SUMIFS(Table4[BudgetAmount],Table4[ActualExpense],"pending")</f>
        <v>0</v>
      </c>
    </row>
    <row r="190" spans="1:18">
      <c r="A190" t="s">
        <v>409</v>
      </c>
      <c r="B190" t="s">
        <v>410</v>
      </c>
      <c r="C190" t="s">
        <v>64</v>
      </c>
      <c r="D190" t="s">
        <v>61</v>
      </c>
      <c r="E190" t="s">
        <v>17</v>
      </c>
      <c r="F190" t="s">
        <v>18</v>
      </c>
      <c r="G190" s="2">
        <v>381919</v>
      </c>
      <c r="H190" s="1">
        <v>294008</v>
      </c>
      <c r="I190">
        <v>-87911</v>
      </c>
      <c r="J190" t="s">
        <v>19</v>
      </c>
      <c r="K190" t="s">
        <v>29</v>
      </c>
      <c r="L190" t="s">
        <v>68</v>
      </c>
      <c r="M190" t="s">
        <v>22</v>
      </c>
      <c r="N190" s="5">
        <f>Table4[[#This Row],[BudgetAmount]]/Table4[[#This Row],[Variance]]</f>
        <v>-4.3443823867320361</v>
      </c>
      <c r="O190" s="5" t="str">
        <f>TEXT(Table4[[#This Row],[Date]],"mmm")</f>
        <v>Dec</v>
      </c>
      <c r="P190" s="5">
        <f>ABS(Table4[[#This Row],[Variance]])</f>
        <v>87911</v>
      </c>
      <c r="Q190" s="5" t="str">
        <f>IF(Table4[[#This Row],[AB Variances ]]&gt;$P$2,"Anomaly","Normal")</f>
        <v>Anomaly</v>
      </c>
      <c r="R190" s="5">
        <f>SUMIFS(Table4[BudgetAmount],Table4[ActualExpense],"pending")</f>
        <v>0</v>
      </c>
    </row>
    <row r="191" spans="1:18">
      <c r="A191" t="s">
        <v>411</v>
      </c>
      <c r="B191" t="s">
        <v>412</v>
      </c>
      <c r="C191" t="s">
        <v>33</v>
      </c>
      <c r="D191" t="s">
        <v>61</v>
      </c>
      <c r="E191" t="s">
        <v>85</v>
      </c>
      <c r="F191" t="s">
        <v>86</v>
      </c>
      <c r="G191" s="2">
        <v>88938</v>
      </c>
      <c r="H191" s="1">
        <v>70343</v>
      </c>
      <c r="I191">
        <v>-18595</v>
      </c>
      <c r="J191" t="s">
        <v>19</v>
      </c>
      <c r="K191" t="s">
        <v>48</v>
      </c>
      <c r="L191" t="s">
        <v>68</v>
      </c>
      <c r="M191" t="s">
        <v>42</v>
      </c>
      <c r="N191" s="5">
        <f>Table4[[#This Row],[BudgetAmount]]/Table4[[#This Row],[Variance]]</f>
        <v>-4.7828986286636193</v>
      </c>
      <c r="O191" s="5" t="str">
        <f>TEXT(Table4[[#This Row],[Date]],"mmm")</f>
        <v>Nov</v>
      </c>
      <c r="P191" s="5">
        <f>ABS(Table4[[#This Row],[Variance]])</f>
        <v>18595</v>
      </c>
      <c r="Q191" s="5" t="str">
        <f>IF(Table4[[#This Row],[AB Variances ]]&gt;$P$2,"Anomaly","Normal")</f>
        <v>Anomaly</v>
      </c>
      <c r="R191" s="5">
        <f>SUMIFS(Table4[BudgetAmount],Table4[ActualExpense],"pending")</f>
        <v>0</v>
      </c>
    </row>
    <row r="192" spans="1:18">
      <c r="A192" t="s">
        <v>413</v>
      </c>
      <c r="B192" t="s">
        <v>414</v>
      </c>
      <c r="C192" t="s">
        <v>15</v>
      </c>
      <c r="D192" t="s">
        <v>16</v>
      </c>
      <c r="E192" t="s">
        <v>17</v>
      </c>
      <c r="F192" t="s">
        <v>18</v>
      </c>
      <c r="G192" s="2">
        <v>167384</v>
      </c>
      <c r="H192" s="1">
        <v>217341</v>
      </c>
      <c r="I192">
        <v>49957</v>
      </c>
      <c r="J192" t="s">
        <v>54</v>
      </c>
      <c r="K192" t="s">
        <v>29</v>
      </c>
      <c r="L192" t="s">
        <v>21</v>
      </c>
      <c r="M192" t="s">
        <v>22</v>
      </c>
      <c r="N192" s="5">
        <f>Table4[[#This Row],[BudgetAmount]]/Table4[[#This Row],[Variance]]</f>
        <v>3.3505614828752726</v>
      </c>
      <c r="O192" s="5" t="str">
        <f>TEXT(Table4[[#This Row],[Date]],"mmm")</f>
        <v>Jun</v>
      </c>
      <c r="P192" s="5">
        <f>ABS(Table4[[#This Row],[Variance]])</f>
        <v>49957</v>
      </c>
      <c r="Q192" s="5" t="str">
        <f>IF(Table4[[#This Row],[AB Variances ]]&gt;$P$2,"Anomaly","Normal")</f>
        <v>Anomaly</v>
      </c>
      <c r="R192" s="5">
        <f>SUMIFS(Table4[BudgetAmount],Table4[ActualExpense],"pending")</f>
        <v>0</v>
      </c>
    </row>
    <row r="193" spans="1:18">
      <c r="A193" t="s">
        <v>415</v>
      </c>
      <c r="B193" t="s">
        <v>178</v>
      </c>
      <c r="C193" t="s">
        <v>33</v>
      </c>
      <c r="D193" t="s">
        <v>16</v>
      </c>
      <c r="E193" t="s">
        <v>46</v>
      </c>
      <c r="F193" t="s">
        <v>47</v>
      </c>
      <c r="G193" s="2">
        <v>50610</v>
      </c>
      <c r="H193" s="1">
        <v>67704</v>
      </c>
      <c r="I193">
        <v>17094</v>
      </c>
      <c r="J193" t="s">
        <v>54</v>
      </c>
      <c r="K193" t="s">
        <v>41</v>
      </c>
      <c r="L193" t="s">
        <v>30</v>
      </c>
      <c r="M193" t="s">
        <v>22</v>
      </c>
      <c r="N193" s="5">
        <f>Table4[[#This Row],[BudgetAmount]]/Table4[[#This Row],[Variance]]</f>
        <v>2.9606879606879608</v>
      </c>
      <c r="O193" s="5" t="str">
        <f>TEXT(Table4[[#This Row],[Date]],"mmm")</f>
        <v>Jul</v>
      </c>
      <c r="P193" s="5">
        <f>ABS(Table4[[#This Row],[Variance]])</f>
        <v>17094</v>
      </c>
      <c r="Q193" s="5" t="str">
        <f>IF(Table4[[#This Row],[AB Variances ]]&gt;$P$2,"Anomaly","Normal")</f>
        <v>Normal</v>
      </c>
      <c r="R193" s="5">
        <f>SUMIFS(Table4[BudgetAmount],Table4[ActualExpense],"pending")</f>
        <v>0</v>
      </c>
    </row>
    <row r="194" spans="1:18">
      <c r="A194" t="s">
        <v>416</v>
      </c>
      <c r="B194" t="s">
        <v>186</v>
      </c>
      <c r="C194" t="s">
        <v>25</v>
      </c>
      <c r="D194" t="s">
        <v>16</v>
      </c>
      <c r="E194" t="s">
        <v>71</v>
      </c>
      <c r="F194" t="s">
        <v>72</v>
      </c>
      <c r="G194" s="2">
        <v>478806</v>
      </c>
      <c r="H194" s="1">
        <v>416756</v>
      </c>
      <c r="I194">
        <v>-62050</v>
      </c>
      <c r="J194" t="s">
        <v>37</v>
      </c>
      <c r="K194" t="s">
        <v>20</v>
      </c>
      <c r="L194" t="s">
        <v>49</v>
      </c>
      <c r="M194" t="s">
        <v>22</v>
      </c>
      <c r="N194" s="5">
        <f>Table4[[#This Row],[BudgetAmount]]/Table4[[#This Row],[Variance]]</f>
        <v>-7.7164544721998389</v>
      </c>
      <c r="O194" s="5" t="str">
        <f>TEXT(Table4[[#This Row],[Date]],"mmm")</f>
        <v>Sep</v>
      </c>
      <c r="P194" s="5">
        <f>ABS(Table4[[#This Row],[Variance]])</f>
        <v>62050</v>
      </c>
      <c r="Q194" s="5" t="str">
        <f>IF(Table4[[#This Row],[AB Variances ]]&gt;$P$2,"Anomaly","Normal")</f>
        <v>Anomaly</v>
      </c>
      <c r="R194" s="5">
        <f>SUMIFS(Table4[BudgetAmount],Table4[ActualExpense],"pending")</f>
        <v>0</v>
      </c>
    </row>
    <row r="195" spans="1:18">
      <c r="A195" t="s">
        <v>417</v>
      </c>
      <c r="B195" t="s">
        <v>418</v>
      </c>
      <c r="C195" t="s">
        <v>45</v>
      </c>
      <c r="D195" t="s">
        <v>16</v>
      </c>
      <c r="E195" t="s">
        <v>46</v>
      </c>
      <c r="F195" t="s">
        <v>47</v>
      </c>
      <c r="G195" s="2">
        <v>405176</v>
      </c>
      <c r="H195" s="1">
        <v>323764</v>
      </c>
      <c r="I195">
        <v>-81412</v>
      </c>
      <c r="J195" t="s">
        <v>19</v>
      </c>
      <c r="K195" t="s">
        <v>41</v>
      </c>
      <c r="L195" t="s">
        <v>49</v>
      </c>
      <c r="M195" t="s">
        <v>42</v>
      </c>
      <c r="N195" s="5">
        <f>Table4[[#This Row],[BudgetAmount]]/Table4[[#This Row],[Variance]]</f>
        <v>-4.976858448385987</v>
      </c>
      <c r="O195" s="5" t="str">
        <f>TEXT(Table4[[#This Row],[Date]],"mmm")</f>
        <v>Jun</v>
      </c>
      <c r="P195" s="5">
        <f>ABS(Table4[[#This Row],[Variance]])</f>
        <v>81412</v>
      </c>
      <c r="Q195" s="5" t="str">
        <f>IF(Table4[[#This Row],[AB Variances ]]&gt;$P$2,"Anomaly","Normal")</f>
        <v>Anomaly</v>
      </c>
      <c r="R195" s="5">
        <f>SUMIFS(Table4[BudgetAmount],Table4[ActualExpense],"pending")</f>
        <v>0</v>
      </c>
    </row>
    <row r="196" spans="1:18">
      <c r="A196" t="s">
        <v>419</v>
      </c>
      <c r="B196" t="s">
        <v>60</v>
      </c>
      <c r="C196" t="s">
        <v>45</v>
      </c>
      <c r="D196" t="s">
        <v>40</v>
      </c>
      <c r="E196" t="s">
        <v>27</v>
      </c>
      <c r="F196" t="s">
        <v>28</v>
      </c>
      <c r="G196" s="2">
        <v>320032</v>
      </c>
      <c r="H196" s="1">
        <v>382498</v>
      </c>
      <c r="I196">
        <v>62466</v>
      </c>
      <c r="J196" t="s">
        <v>19</v>
      </c>
      <c r="K196" t="s">
        <v>20</v>
      </c>
      <c r="L196" t="s">
        <v>68</v>
      </c>
      <c r="M196" t="s">
        <v>22</v>
      </c>
      <c r="N196" s="5">
        <f>Table4[[#This Row],[BudgetAmount]]/Table4[[#This Row],[Variance]]</f>
        <v>5.1232990746966349</v>
      </c>
      <c r="O196" s="5" t="str">
        <f>TEXT(Table4[[#This Row],[Date]],"mmm")</f>
        <v>Aug</v>
      </c>
      <c r="P196" s="5">
        <f>ABS(Table4[[#This Row],[Variance]])</f>
        <v>62466</v>
      </c>
      <c r="Q196" s="5" t="str">
        <f>IF(Table4[[#This Row],[AB Variances ]]&gt;$P$2,"Anomaly","Normal")</f>
        <v>Anomaly</v>
      </c>
      <c r="R196" s="5">
        <f>SUMIFS(Table4[BudgetAmount],Table4[ActualExpense],"pending")</f>
        <v>0</v>
      </c>
    </row>
    <row r="197" spans="1:18">
      <c r="A197" t="s">
        <v>420</v>
      </c>
      <c r="B197" t="s">
        <v>421</v>
      </c>
      <c r="C197" t="s">
        <v>15</v>
      </c>
      <c r="D197" t="s">
        <v>16</v>
      </c>
      <c r="E197" t="s">
        <v>17</v>
      </c>
      <c r="F197" t="s">
        <v>18</v>
      </c>
      <c r="G197" s="2">
        <v>174381</v>
      </c>
      <c r="H197" s="1">
        <v>239680</v>
      </c>
      <c r="I197">
        <v>65299</v>
      </c>
      <c r="J197" t="s">
        <v>37</v>
      </c>
      <c r="K197" t="s">
        <v>67</v>
      </c>
      <c r="L197" t="s">
        <v>49</v>
      </c>
      <c r="M197" t="s">
        <v>22</v>
      </c>
      <c r="N197" s="5">
        <f>Table4[[#This Row],[BudgetAmount]]/Table4[[#This Row],[Variance]]</f>
        <v>2.6705003139404893</v>
      </c>
      <c r="O197" s="5" t="str">
        <f>TEXT(Table4[[#This Row],[Date]],"mmm")</f>
        <v>Feb</v>
      </c>
      <c r="P197" s="5">
        <f>ABS(Table4[[#This Row],[Variance]])</f>
        <v>65299</v>
      </c>
      <c r="Q197" s="5" t="str">
        <f>IF(Table4[[#This Row],[AB Variances ]]&gt;$P$2,"Anomaly","Normal")</f>
        <v>Anomaly</v>
      </c>
      <c r="R197" s="5">
        <f>SUMIFS(Table4[BudgetAmount],Table4[ActualExpense],"pending")</f>
        <v>0</v>
      </c>
    </row>
    <row r="198" spans="1:18">
      <c r="A198" t="s">
        <v>422</v>
      </c>
      <c r="B198" t="s">
        <v>423</v>
      </c>
      <c r="C198" t="s">
        <v>64</v>
      </c>
      <c r="D198" t="s">
        <v>40</v>
      </c>
      <c r="E198" t="s">
        <v>85</v>
      </c>
      <c r="F198" t="s">
        <v>86</v>
      </c>
      <c r="G198" s="2">
        <v>455071</v>
      </c>
      <c r="H198" s="1">
        <v>558915</v>
      </c>
      <c r="I198">
        <v>103844</v>
      </c>
      <c r="J198" t="s">
        <v>37</v>
      </c>
      <c r="K198" t="s">
        <v>67</v>
      </c>
      <c r="L198" t="s">
        <v>21</v>
      </c>
      <c r="M198" t="s">
        <v>42</v>
      </c>
      <c r="N198" s="5">
        <f>Table4[[#This Row],[BudgetAmount]]/Table4[[#This Row],[Variance]]</f>
        <v>4.3822560764223262</v>
      </c>
      <c r="O198" s="5" t="str">
        <f>TEXT(Table4[[#This Row],[Date]],"mmm")</f>
        <v>Jan</v>
      </c>
      <c r="P198" s="5">
        <f>ABS(Table4[[#This Row],[Variance]])</f>
        <v>103844</v>
      </c>
      <c r="Q198" s="5" t="str">
        <f>IF(Table4[[#This Row],[AB Variances ]]&gt;$P$2,"Anomaly","Normal")</f>
        <v>Anomaly</v>
      </c>
      <c r="R198" s="5">
        <f>SUMIFS(Table4[BudgetAmount],Table4[ActualExpense],"pending")</f>
        <v>0</v>
      </c>
    </row>
    <row r="199" spans="1:18">
      <c r="A199" t="s">
        <v>424</v>
      </c>
      <c r="B199" t="s">
        <v>425</v>
      </c>
      <c r="C199" t="s">
        <v>15</v>
      </c>
      <c r="D199" t="s">
        <v>34</v>
      </c>
      <c r="E199" t="s">
        <v>35</v>
      </c>
      <c r="F199" t="s">
        <v>36</v>
      </c>
      <c r="G199" s="2">
        <v>147689</v>
      </c>
      <c r="H199" s="1">
        <v>116298</v>
      </c>
      <c r="I199">
        <v>-31391</v>
      </c>
      <c r="J199" t="s">
        <v>37</v>
      </c>
      <c r="K199" t="s">
        <v>41</v>
      </c>
      <c r="L199" t="s">
        <v>68</v>
      </c>
      <c r="M199" t="s">
        <v>22</v>
      </c>
      <c r="N199" s="5">
        <f>Table4[[#This Row],[BudgetAmount]]/Table4[[#This Row],[Variance]]</f>
        <v>-4.7048198528240581</v>
      </c>
      <c r="O199" s="5" t="str">
        <f>TEXT(Table4[[#This Row],[Date]],"mmm")</f>
        <v>Jan</v>
      </c>
      <c r="P199" s="5">
        <f>ABS(Table4[[#This Row],[Variance]])</f>
        <v>31391</v>
      </c>
      <c r="Q199" s="5" t="str">
        <f>IF(Table4[[#This Row],[AB Variances ]]&gt;$P$2,"Anomaly","Normal")</f>
        <v>Anomaly</v>
      </c>
      <c r="R199" s="5">
        <f>SUMIFS(Table4[BudgetAmount],Table4[ActualExpense],"pending")</f>
        <v>0</v>
      </c>
    </row>
    <row r="200" spans="1:18">
      <c r="A200" t="s">
        <v>426</v>
      </c>
      <c r="B200" t="s">
        <v>427</v>
      </c>
      <c r="C200" t="s">
        <v>64</v>
      </c>
      <c r="D200" t="s">
        <v>26</v>
      </c>
      <c r="E200" t="s">
        <v>35</v>
      </c>
      <c r="F200" t="s">
        <v>36</v>
      </c>
      <c r="G200" s="2">
        <v>410644</v>
      </c>
      <c r="H200" s="1">
        <v>545638</v>
      </c>
      <c r="I200">
        <v>134994</v>
      </c>
      <c r="J200" t="s">
        <v>19</v>
      </c>
      <c r="K200" t="s">
        <v>48</v>
      </c>
      <c r="L200" t="s">
        <v>49</v>
      </c>
      <c r="M200" t="s">
        <v>22</v>
      </c>
      <c r="N200" s="5">
        <f>Table4[[#This Row],[BudgetAmount]]/Table4[[#This Row],[Variance]]</f>
        <v>3.0419426048565121</v>
      </c>
      <c r="O200" s="5" t="str">
        <f>TEXT(Table4[[#This Row],[Date]],"mmm")</f>
        <v>Mar</v>
      </c>
      <c r="P200" s="5">
        <f>ABS(Table4[[#This Row],[Variance]])</f>
        <v>134994</v>
      </c>
      <c r="Q200" s="5" t="str">
        <f>IF(Table4[[#This Row],[AB Variances ]]&gt;$P$2,"Anomaly","Normal")</f>
        <v>Anomaly</v>
      </c>
      <c r="R200" s="5">
        <f>SUMIFS(Table4[BudgetAmount],Table4[ActualExpense],"pending")</f>
        <v>0</v>
      </c>
    </row>
    <row r="201" spans="1:18">
      <c r="A201" t="s">
        <v>428</v>
      </c>
      <c r="B201" t="s">
        <v>235</v>
      </c>
      <c r="C201" t="s">
        <v>64</v>
      </c>
      <c r="D201" t="s">
        <v>26</v>
      </c>
      <c r="E201" t="s">
        <v>35</v>
      </c>
      <c r="F201" t="s">
        <v>36</v>
      </c>
      <c r="G201" s="2">
        <v>192273</v>
      </c>
      <c r="H201" s="1">
        <v>250922</v>
      </c>
      <c r="I201">
        <v>58649</v>
      </c>
      <c r="J201" t="s">
        <v>19</v>
      </c>
      <c r="K201" t="s">
        <v>48</v>
      </c>
      <c r="L201" t="s">
        <v>68</v>
      </c>
      <c r="M201" t="s">
        <v>22</v>
      </c>
      <c r="N201" s="5">
        <f>Table4[[#This Row],[BudgetAmount]]/Table4[[#This Row],[Variance]]</f>
        <v>3.2783679176115537</v>
      </c>
      <c r="O201" s="5" t="str">
        <f>TEXT(Table4[[#This Row],[Date]],"mmm")</f>
        <v>Jul</v>
      </c>
      <c r="P201" s="5">
        <f>ABS(Table4[[#This Row],[Variance]])</f>
        <v>58649</v>
      </c>
      <c r="Q201" s="5" t="str">
        <f>IF(Table4[[#This Row],[AB Variances ]]&gt;$P$2,"Anomaly","Normal")</f>
        <v>Anomaly</v>
      </c>
      <c r="R201" s="5">
        <f>SUMIFS(Table4[BudgetAmount],Table4[ActualExpense],"pending")</f>
        <v>0</v>
      </c>
    </row>
    <row r="202" spans="1:18">
      <c r="A202" t="s">
        <v>429</v>
      </c>
      <c r="B202" t="s">
        <v>430</v>
      </c>
      <c r="C202" t="s">
        <v>15</v>
      </c>
      <c r="D202" t="s">
        <v>40</v>
      </c>
      <c r="E202" t="s">
        <v>71</v>
      </c>
      <c r="F202" t="s">
        <v>72</v>
      </c>
      <c r="G202" s="2">
        <v>327054</v>
      </c>
      <c r="H202" s="1">
        <v>401022</v>
      </c>
      <c r="I202">
        <v>73968</v>
      </c>
      <c r="J202" t="s">
        <v>54</v>
      </c>
      <c r="K202" t="s">
        <v>41</v>
      </c>
      <c r="L202" t="s">
        <v>49</v>
      </c>
      <c r="M202" t="s">
        <v>22</v>
      </c>
      <c r="N202" s="5">
        <f>Table4[[#This Row],[BudgetAmount]]/Table4[[#This Row],[Variance]]</f>
        <v>4.4215606748864378</v>
      </c>
      <c r="O202" s="5" t="str">
        <f>TEXT(Table4[[#This Row],[Date]],"mmm")</f>
        <v>Oct</v>
      </c>
      <c r="P202" s="5">
        <f>ABS(Table4[[#This Row],[Variance]])</f>
        <v>73968</v>
      </c>
      <c r="Q202" s="5" t="str">
        <f>IF(Table4[[#This Row],[AB Variances ]]&gt;$P$2,"Anomaly","Normal")</f>
        <v>Anomaly</v>
      </c>
      <c r="R202" s="5">
        <f>SUMIFS(Table4[BudgetAmount],Table4[ActualExpense],"pending")</f>
        <v>0</v>
      </c>
    </row>
    <row r="203" spans="1:18">
      <c r="A203" t="s">
        <v>431</v>
      </c>
      <c r="B203" t="s">
        <v>432</v>
      </c>
      <c r="C203" t="s">
        <v>33</v>
      </c>
      <c r="D203" t="s">
        <v>34</v>
      </c>
      <c r="E203" t="s">
        <v>27</v>
      </c>
      <c r="F203" t="s">
        <v>28</v>
      </c>
      <c r="G203" s="2">
        <v>101330</v>
      </c>
      <c r="H203" s="1">
        <v>92015</v>
      </c>
      <c r="I203">
        <v>-9315</v>
      </c>
      <c r="J203" t="s">
        <v>19</v>
      </c>
      <c r="K203" t="s">
        <v>29</v>
      </c>
      <c r="L203" t="s">
        <v>68</v>
      </c>
      <c r="M203" t="s">
        <v>42</v>
      </c>
      <c r="N203" s="5">
        <f>Table4[[#This Row],[BudgetAmount]]/Table4[[#This Row],[Variance]]</f>
        <v>-10.878153515834676</v>
      </c>
      <c r="O203" s="5" t="str">
        <f>TEXT(Table4[[#This Row],[Date]],"mmm")</f>
        <v>Mar</v>
      </c>
      <c r="P203" s="5">
        <f>ABS(Table4[[#This Row],[Variance]])</f>
        <v>9315</v>
      </c>
      <c r="Q203" s="5" t="str">
        <f>IF(Table4[[#This Row],[AB Variances ]]&gt;$P$2,"Anomaly","Normal")</f>
        <v>Normal</v>
      </c>
      <c r="R203" s="5">
        <f>SUMIFS(Table4[BudgetAmount],Table4[ActualExpense],"pending")</f>
        <v>0</v>
      </c>
    </row>
    <row r="204" spans="1:18">
      <c r="A204" t="s">
        <v>433</v>
      </c>
      <c r="B204" t="s">
        <v>434</v>
      </c>
      <c r="C204" t="s">
        <v>15</v>
      </c>
      <c r="D204" t="s">
        <v>34</v>
      </c>
      <c r="E204" t="s">
        <v>85</v>
      </c>
      <c r="F204" t="s">
        <v>86</v>
      </c>
      <c r="G204" s="2">
        <v>383406</v>
      </c>
      <c r="H204" s="1">
        <v>302936</v>
      </c>
      <c r="I204">
        <v>-80470</v>
      </c>
      <c r="J204" t="s">
        <v>54</v>
      </c>
      <c r="K204" t="s">
        <v>48</v>
      </c>
      <c r="L204" t="s">
        <v>49</v>
      </c>
      <c r="M204" t="s">
        <v>42</v>
      </c>
      <c r="N204" s="5">
        <f>Table4[[#This Row],[BudgetAmount]]/Table4[[#This Row],[Variance]]</f>
        <v>-4.7645830744376783</v>
      </c>
      <c r="O204" s="5" t="str">
        <f>TEXT(Table4[[#This Row],[Date]],"mmm")</f>
        <v>Apr</v>
      </c>
      <c r="P204" s="5">
        <f>ABS(Table4[[#This Row],[Variance]])</f>
        <v>80470</v>
      </c>
      <c r="Q204" s="5" t="str">
        <f>IF(Table4[[#This Row],[AB Variances ]]&gt;$P$2,"Anomaly","Normal")</f>
        <v>Anomaly</v>
      </c>
      <c r="R204" s="5">
        <f>SUMIFS(Table4[BudgetAmount],Table4[ActualExpense],"pending")</f>
        <v>0</v>
      </c>
    </row>
    <row r="205" spans="1:18">
      <c r="A205" t="s">
        <v>435</v>
      </c>
      <c r="B205" t="s">
        <v>243</v>
      </c>
      <c r="C205" t="s">
        <v>15</v>
      </c>
      <c r="D205" t="s">
        <v>61</v>
      </c>
      <c r="E205" t="s">
        <v>85</v>
      </c>
      <c r="F205" t="s">
        <v>86</v>
      </c>
      <c r="G205" s="2">
        <v>58069</v>
      </c>
      <c r="H205" s="1">
        <v>79177</v>
      </c>
      <c r="I205">
        <v>21108</v>
      </c>
      <c r="J205" t="s">
        <v>19</v>
      </c>
      <c r="K205" t="s">
        <v>20</v>
      </c>
      <c r="L205" t="s">
        <v>49</v>
      </c>
      <c r="M205" t="s">
        <v>42</v>
      </c>
      <c r="N205" s="5">
        <f>Table4[[#This Row],[BudgetAmount]]/Table4[[#This Row],[Variance]]</f>
        <v>2.7510422588592003</v>
      </c>
      <c r="O205" s="5" t="str">
        <f>TEXT(Table4[[#This Row],[Date]],"mmm")</f>
        <v>Apr</v>
      </c>
      <c r="P205" s="5">
        <f>ABS(Table4[[#This Row],[Variance]])</f>
        <v>21108</v>
      </c>
      <c r="Q205" s="5" t="str">
        <f>IF(Table4[[#This Row],[AB Variances ]]&gt;$P$2,"Anomaly","Normal")</f>
        <v>Anomaly</v>
      </c>
      <c r="R205" s="5">
        <f>SUMIFS(Table4[BudgetAmount],Table4[ActualExpense],"pending")</f>
        <v>0</v>
      </c>
    </row>
    <row r="206" spans="1:18">
      <c r="A206" t="s">
        <v>436</v>
      </c>
      <c r="B206" t="s">
        <v>437</v>
      </c>
      <c r="C206" t="s">
        <v>25</v>
      </c>
      <c r="D206" t="s">
        <v>26</v>
      </c>
      <c r="E206" t="s">
        <v>46</v>
      </c>
      <c r="F206" t="s">
        <v>47</v>
      </c>
      <c r="G206" s="2">
        <v>79831</v>
      </c>
      <c r="H206" s="1">
        <v>87989</v>
      </c>
      <c r="I206">
        <v>8158</v>
      </c>
      <c r="J206" t="s">
        <v>19</v>
      </c>
      <c r="K206" t="s">
        <v>67</v>
      </c>
      <c r="L206" t="s">
        <v>68</v>
      </c>
      <c r="M206" t="s">
        <v>22</v>
      </c>
      <c r="N206" s="5">
        <f>Table4[[#This Row],[BudgetAmount]]/Table4[[#This Row],[Variance]]</f>
        <v>9.7856092179455754</v>
      </c>
      <c r="O206" s="5" t="str">
        <f>TEXT(Table4[[#This Row],[Date]],"mmm")</f>
        <v>Jan</v>
      </c>
      <c r="P206" s="5">
        <f>ABS(Table4[[#This Row],[Variance]])</f>
        <v>8158</v>
      </c>
      <c r="Q206" s="5" t="str">
        <f>IF(Table4[[#This Row],[AB Variances ]]&gt;$P$2,"Anomaly","Normal")</f>
        <v>Normal</v>
      </c>
      <c r="R206" s="5">
        <f>SUMIFS(Table4[BudgetAmount],Table4[ActualExpense],"pending")</f>
        <v>0</v>
      </c>
    </row>
    <row r="207" spans="1:18">
      <c r="A207" t="s">
        <v>438</v>
      </c>
      <c r="B207" t="s">
        <v>439</v>
      </c>
      <c r="C207" t="s">
        <v>35</v>
      </c>
      <c r="D207" t="s">
        <v>26</v>
      </c>
      <c r="E207" t="s">
        <v>71</v>
      </c>
      <c r="F207" t="s">
        <v>72</v>
      </c>
      <c r="G207" s="2">
        <v>317384</v>
      </c>
      <c r="H207" s="1">
        <v>402547</v>
      </c>
      <c r="I207">
        <v>85163</v>
      </c>
      <c r="J207" t="s">
        <v>54</v>
      </c>
      <c r="K207" t="s">
        <v>41</v>
      </c>
      <c r="L207" t="s">
        <v>68</v>
      </c>
      <c r="M207" t="s">
        <v>42</v>
      </c>
      <c r="N207" s="5">
        <f>Table4[[#This Row],[BudgetAmount]]/Table4[[#This Row],[Variance]]</f>
        <v>3.7267827577703931</v>
      </c>
      <c r="O207" s="5" t="str">
        <f>TEXT(Table4[[#This Row],[Date]],"mmm")</f>
        <v>Jun</v>
      </c>
      <c r="P207" s="5">
        <f>ABS(Table4[[#This Row],[Variance]])</f>
        <v>85163</v>
      </c>
      <c r="Q207" s="5" t="str">
        <f>IF(Table4[[#This Row],[AB Variances ]]&gt;$P$2,"Anomaly","Normal")</f>
        <v>Anomaly</v>
      </c>
      <c r="R207" s="5">
        <f>SUMIFS(Table4[BudgetAmount],Table4[ActualExpense],"pending")</f>
        <v>0</v>
      </c>
    </row>
    <row r="208" spans="1:18">
      <c r="A208" t="s">
        <v>440</v>
      </c>
      <c r="B208" t="s">
        <v>441</v>
      </c>
      <c r="C208" t="s">
        <v>15</v>
      </c>
      <c r="D208" t="s">
        <v>34</v>
      </c>
      <c r="E208" t="s">
        <v>17</v>
      </c>
      <c r="F208" t="s">
        <v>18</v>
      </c>
      <c r="G208" s="2">
        <v>399683</v>
      </c>
      <c r="H208" s="1">
        <v>443801</v>
      </c>
      <c r="I208">
        <v>44118</v>
      </c>
      <c r="J208" t="s">
        <v>54</v>
      </c>
      <c r="K208" t="s">
        <v>20</v>
      </c>
      <c r="L208" t="s">
        <v>30</v>
      </c>
      <c r="M208" t="s">
        <v>22</v>
      </c>
      <c r="N208" s="5">
        <f>Table4[[#This Row],[BudgetAmount]]/Table4[[#This Row],[Variance]]</f>
        <v>9.0594088580624685</v>
      </c>
      <c r="O208" s="5" t="str">
        <f>TEXT(Table4[[#This Row],[Date]],"mmm")</f>
        <v>Aug</v>
      </c>
      <c r="P208" s="5">
        <f>ABS(Table4[[#This Row],[Variance]])</f>
        <v>44118</v>
      </c>
      <c r="Q208" s="5" t="str">
        <f>IF(Table4[[#This Row],[AB Variances ]]&gt;$P$2,"Anomaly","Normal")</f>
        <v>Anomaly</v>
      </c>
      <c r="R208" s="5">
        <f>SUMIFS(Table4[BudgetAmount],Table4[ActualExpense],"pending")</f>
        <v>0</v>
      </c>
    </row>
    <row r="209" spans="1:18">
      <c r="A209" t="s">
        <v>442</v>
      </c>
      <c r="B209" t="s">
        <v>443</v>
      </c>
      <c r="C209" t="s">
        <v>25</v>
      </c>
      <c r="D209" t="s">
        <v>26</v>
      </c>
      <c r="E209" t="s">
        <v>17</v>
      </c>
      <c r="F209" t="s">
        <v>18</v>
      </c>
      <c r="G209" s="2">
        <v>231480</v>
      </c>
      <c r="H209" s="1">
        <v>271357</v>
      </c>
      <c r="I209">
        <v>39877</v>
      </c>
      <c r="J209" t="s">
        <v>37</v>
      </c>
      <c r="K209" t="s">
        <v>20</v>
      </c>
      <c r="L209" t="s">
        <v>30</v>
      </c>
      <c r="M209" t="s">
        <v>42</v>
      </c>
      <c r="N209" s="5">
        <f>Table4[[#This Row],[BudgetAmount]]/Table4[[#This Row],[Variance]]</f>
        <v>5.8048499134839631</v>
      </c>
      <c r="O209" s="5" t="str">
        <f>TEXT(Table4[[#This Row],[Date]],"mmm")</f>
        <v>Jun</v>
      </c>
      <c r="P209" s="5">
        <f>ABS(Table4[[#This Row],[Variance]])</f>
        <v>39877</v>
      </c>
      <c r="Q209" s="5" t="str">
        <f>IF(Table4[[#This Row],[AB Variances ]]&gt;$P$2,"Anomaly","Normal")</f>
        <v>Anomaly</v>
      </c>
      <c r="R209" s="5">
        <f>SUMIFS(Table4[BudgetAmount],Table4[ActualExpense],"pending")</f>
        <v>0</v>
      </c>
    </row>
    <row r="210" spans="1:18">
      <c r="A210" t="s">
        <v>444</v>
      </c>
      <c r="B210" t="s">
        <v>445</v>
      </c>
      <c r="C210" t="s">
        <v>15</v>
      </c>
      <c r="D210" t="s">
        <v>34</v>
      </c>
      <c r="E210" t="s">
        <v>85</v>
      </c>
      <c r="F210" t="s">
        <v>86</v>
      </c>
      <c r="G210" s="2">
        <v>86527</v>
      </c>
      <c r="H210" s="1">
        <v>63928</v>
      </c>
      <c r="I210">
        <v>-22599</v>
      </c>
      <c r="J210" t="s">
        <v>19</v>
      </c>
      <c r="K210" t="s">
        <v>29</v>
      </c>
      <c r="L210" t="s">
        <v>68</v>
      </c>
      <c r="M210" t="s">
        <v>22</v>
      </c>
      <c r="N210" s="5">
        <f>Table4[[#This Row],[BudgetAmount]]/Table4[[#This Row],[Variance]]</f>
        <v>-3.8287977344130271</v>
      </c>
      <c r="O210" s="5" t="str">
        <f>TEXT(Table4[[#This Row],[Date]],"mmm")</f>
        <v>May</v>
      </c>
      <c r="P210" s="5">
        <f>ABS(Table4[[#This Row],[Variance]])</f>
        <v>22599</v>
      </c>
      <c r="Q210" s="5" t="str">
        <f>IF(Table4[[#This Row],[AB Variances ]]&gt;$P$2,"Anomaly","Normal")</f>
        <v>Anomaly</v>
      </c>
      <c r="R210" s="5">
        <f>SUMIFS(Table4[BudgetAmount],Table4[ActualExpense],"pending")</f>
        <v>0</v>
      </c>
    </row>
    <row r="211" spans="1:18">
      <c r="A211" t="s">
        <v>446</v>
      </c>
      <c r="B211" t="s">
        <v>447</v>
      </c>
      <c r="C211" t="s">
        <v>45</v>
      </c>
      <c r="D211" t="s">
        <v>16</v>
      </c>
      <c r="E211" t="s">
        <v>71</v>
      </c>
      <c r="F211" t="s">
        <v>72</v>
      </c>
      <c r="G211" s="2">
        <v>255059</v>
      </c>
      <c r="H211" s="1">
        <v>244912</v>
      </c>
      <c r="I211">
        <v>-10147</v>
      </c>
      <c r="J211" t="s">
        <v>54</v>
      </c>
      <c r="K211" t="s">
        <v>67</v>
      </c>
      <c r="L211" t="s">
        <v>68</v>
      </c>
      <c r="M211" t="s">
        <v>22</v>
      </c>
      <c r="N211" s="5">
        <f>Table4[[#This Row],[BudgetAmount]]/Table4[[#This Row],[Variance]]</f>
        <v>-25.136394993594166</v>
      </c>
      <c r="O211" s="5" t="str">
        <f>TEXT(Table4[[#This Row],[Date]],"mmm")</f>
        <v>Sep</v>
      </c>
      <c r="P211" s="5">
        <f>ABS(Table4[[#This Row],[Variance]])</f>
        <v>10147</v>
      </c>
      <c r="Q211" s="5" t="str">
        <f>IF(Table4[[#This Row],[AB Variances ]]&gt;$P$2,"Anomaly","Normal")</f>
        <v>Normal</v>
      </c>
      <c r="R211" s="5">
        <f>SUMIFS(Table4[BudgetAmount],Table4[ActualExpense],"pending")</f>
        <v>0</v>
      </c>
    </row>
    <row r="212" spans="1:18">
      <c r="A212" t="s">
        <v>448</v>
      </c>
      <c r="B212" t="s">
        <v>449</v>
      </c>
      <c r="C212" t="s">
        <v>64</v>
      </c>
      <c r="D212" t="s">
        <v>61</v>
      </c>
      <c r="E212" t="s">
        <v>35</v>
      </c>
      <c r="F212" t="s">
        <v>36</v>
      </c>
      <c r="G212" s="2">
        <v>188263</v>
      </c>
      <c r="H212" s="1">
        <v>196576</v>
      </c>
      <c r="I212">
        <v>8313</v>
      </c>
      <c r="J212" t="s">
        <v>19</v>
      </c>
      <c r="K212" t="s">
        <v>67</v>
      </c>
      <c r="L212" t="s">
        <v>68</v>
      </c>
      <c r="M212" t="s">
        <v>22</v>
      </c>
      <c r="N212" s="5">
        <f>Table4[[#This Row],[BudgetAmount]]/Table4[[#This Row],[Variance]]</f>
        <v>22.646818236497054</v>
      </c>
      <c r="O212" s="5" t="str">
        <f>TEXT(Table4[[#This Row],[Date]],"mmm")</f>
        <v>Dec</v>
      </c>
      <c r="P212" s="5">
        <f>ABS(Table4[[#This Row],[Variance]])</f>
        <v>8313</v>
      </c>
      <c r="Q212" s="5" t="str">
        <f>IF(Table4[[#This Row],[AB Variances ]]&gt;$P$2,"Anomaly","Normal")</f>
        <v>Normal</v>
      </c>
      <c r="R212" s="5">
        <f>SUMIFS(Table4[BudgetAmount],Table4[ActualExpense],"pending")</f>
        <v>0</v>
      </c>
    </row>
    <row r="213" spans="1:18">
      <c r="A213" t="s">
        <v>450</v>
      </c>
      <c r="B213" t="s">
        <v>451</v>
      </c>
      <c r="C213" t="s">
        <v>45</v>
      </c>
      <c r="D213" t="s">
        <v>34</v>
      </c>
      <c r="E213" t="s">
        <v>27</v>
      </c>
      <c r="F213" t="s">
        <v>28</v>
      </c>
      <c r="G213" s="2">
        <v>370123</v>
      </c>
      <c r="H213" s="1">
        <v>300372</v>
      </c>
      <c r="I213">
        <v>-69751</v>
      </c>
      <c r="J213" t="s">
        <v>19</v>
      </c>
      <c r="K213" t="s">
        <v>41</v>
      </c>
      <c r="L213" t="s">
        <v>30</v>
      </c>
      <c r="M213" t="s">
        <v>42</v>
      </c>
      <c r="N213" s="5">
        <f>Table4[[#This Row],[BudgetAmount]]/Table4[[#This Row],[Variance]]</f>
        <v>-5.3063468624105745</v>
      </c>
      <c r="O213" s="5" t="str">
        <f>TEXT(Table4[[#This Row],[Date]],"mmm")</f>
        <v>Feb</v>
      </c>
      <c r="P213" s="5">
        <f>ABS(Table4[[#This Row],[Variance]])</f>
        <v>69751</v>
      </c>
      <c r="Q213" s="5" t="str">
        <f>IF(Table4[[#This Row],[AB Variances ]]&gt;$P$2,"Anomaly","Normal")</f>
        <v>Anomaly</v>
      </c>
      <c r="R213" s="5">
        <f>SUMIFS(Table4[BudgetAmount],Table4[ActualExpense],"pending")</f>
        <v>0</v>
      </c>
    </row>
    <row r="214" spans="1:18">
      <c r="A214" t="s">
        <v>452</v>
      </c>
      <c r="B214" t="s">
        <v>453</v>
      </c>
      <c r="C214" t="s">
        <v>15</v>
      </c>
      <c r="D214" t="s">
        <v>61</v>
      </c>
      <c r="E214" t="s">
        <v>27</v>
      </c>
      <c r="F214" t="s">
        <v>28</v>
      </c>
      <c r="G214" s="2">
        <v>474743</v>
      </c>
      <c r="H214" s="1">
        <v>487699</v>
      </c>
      <c r="I214">
        <v>12956</v>
      </c>
      <c r="J214" t="s">
        <v>37</v>
      </c>
      <c r="K214" t="s">
        <v>20</v>
      </c>
      <c r="L214" t="s">
        <v>21</v>
      </c>
      <c r="M214" t="s">
        <v>22</v>
      </c>
      <c r="N214" s="5">
        <f>Table4[[#This Row],[BudgetAmount]]/Table4[[#This Row],[Variance]]</f>
        <v>36.642713800555725</v>
      </c>
      <c r="O214" s="5" t="str">
        <f>TEXT(Table4[[#This Row],[Date]],"mmm")</f>
        <v>Jun</v>
      </c>
      <c r="P214" s="5">
        <f>ABS(Table4[[#This Row],[Variance]])</f>
        <v>12956</v>
      </c>
      <c r="Q214" s="5" t="str">
        <f>IF(Table4[[#This Row],[AB Variances ]]&gt;$P$2,"Anomaly","Normal")</f>
        <v>Normal</v>
      </c>
      <c r="R214" s="5">
        <f>SUMIFS(Table4[BudgetAmount],Table4[ActualExpense],"pending")</f>
        <v>0</v>
      </c>
    </row>
    <row r="215" spans="1:18">
      <c r="A215" t="s">
        <v>454</v>
      </c>
      <c r="B215" t="s">
        <v>128</v>
      </c>
      <c r="C215" t="s">
        <v>25</v>
      </c>
      <c r="D215" t="s">
        <v>16</v>
      </c>
      <c r="E215" t="s">
        <v>17</v>
      </c>
      <c r="F215" t="s">
        <v>18</v>
      </c>
      <c r="G215" s="2">
        <v>182804</v>
      </c>
      <c r="H215" s="1">
        <v>181127</v>
      </c>
      <c r="I215">
        <v>-1677</v>
      </c>
      <c r="J215" t="s">
        <v>54</v>
      </c>
      <c r="K215" t="s">
        <v>41</v>
      </c>
      <c r="L215" t="s">
        <v>21</v>
      </c>
      <c r="M215" t="s">
        <v>42</v>
      </c>
      <c r="N215" s="5">
        <f>Table4[[#This Row],[BudgetAmount]]/Table4[[#This Row],[Variance]]</f>
        <v>-109.00655933214072</v>
      </c>
      <c r="O215" s="5" t="str">
        <f>TEXT(Table4[[#This Row],[Date]],"mmm")</f>
        <v>Apr</v>
      </c>
      <c r="P215" s="5">
        <f>ABS(Table4[[#This Row],[Variance]])</f>
        <v>1677</v>
      </c>
      <c r="Q215" s="5" t="str">
        <f>IF(Table4[[#This Row],[AB Variances ]]&gt;$P$2,"Anomaly","Normal")</f>
        <v>Normal</v>
      </c>
      <c r="R215" s="5">
        <f>SUMIFS(Table4[BudgetAmount],Table4[ActualExpense],"pending")</f>
        <v>0</v>
      </c>
    </row>
    <row r="216" spans="1:18">
      <c r="A216" t="s">
        <v>455</v>
      </c>
      <c r="B216" t="s">
        <v>456</v>
      </c>
      <c r="C216" t="s">
        <v>25</v>
      </c>
      <c r="D216" t="s">
        <v>16</v>
      </c>
      <c r="E216" t="s">
        <v>85</v>
      </c>
      <c r="F216" t="s">
        <v>86</v>
      </c>
      <c r="G216" s="2">
        <v>72376</v>
      </c>
      <c r="H216" s="1">
        <v>77244</v>
      </c>
      <c r="I216">
        <v>4868</v>
      </c>
      <c r="J216" t="s">
        <v>37</v>
      </c>
      <c r="K216" t="s">
        <v>29</v>
      </c>
      <c r="L216" t="s">
        <v>21</v>
      </c>
      <c r="M216" t="s">
        <v>22</v>
      </c>
      <c r="N216" s="5">
        <f>Table4[[#This Row],[BudgetAmount]]/Table4[[#This Row],[Variance]]</f>
        <v>14.867707477403451</v>
      </c>
      <c r="O216" s="5" t="str">
        <f>TEXT(Table4[[#This Row],[Date]],"mmm")</f>
        <v>May</v>
      </c>
      <c r="P216" s="5">
        <f>ABS(Table4[[#This Row],[Variance]])</f>
        <v>4868</v>
      </c>
      <c r="Q216" s="5" t="str">
        <f>IF(Table4[[#This Row],[AB Variances ]]&gt;$P$2,"Anomaly","Normal")</f>
        <v>Normal</v>
      </c>
      <c r="R216" s="5">
        <f>SUMIFS(Table4[BudgetAmount],Table4[ActualExpense],"pending")</f>
        <v>0</v>
      </c>
    </row>
    <row r="217" spans="1:18">
      <c r="A217" t="s">
        <v>457</v>
      </c>
      <c r="B217" t="s">
        <v>458</v>
      </c>
      <c r="C217" t="s">
        <v>64</v>
      </c>
      <c r="D217" t="s">
        <v>26</v>
      </c>
      <c r="E217" t="s">
        <v>71</v>
      </c>
      <c r="F217" t="s">
        <v>72</v>
      </c>
      <c r="G217" s="2">
        <v>196642</v>
      </c>
      <c r="H217" s="1">
        <v>201346</v>
      </c>
      <c r="I217">
        <v>4704</v>
      </c>
      <c r="J217" t="s">
        <v>37</v>
      </c>
      <c r="K217" t="s">
        <v>29</v>
      </c>
      <c r="L217" t="s">
        <v>49</v>
      </c>
      <c r="M217" t="s">
        <v>22</v>
      </c>
      <c r="N217" s="5">
        <f>Table4[[#This Row],[BudgetAmount]]/Table4[[#This Row],[Variance]]</f>
        <v>41.803146258503403</v>
      </c>
      <c r="O217" s="5" t="str">
        <f>TEXT(Table4[[#This Row],[Date]],"mmm")</f>
        <v>May</v>
      </c>
      <c r="P217" s="5">
        <f>ABS(Table4[[#This Row],[Variance]])</f>
        <v>4704</v>
      </c>
      <c r="Q217" s="5" t="str">
        <f>IF(Table4[[#This Row],[AB Variances ]]&gt;$P$2,"Anomaly","Normal")</f>
        <v>Normal</v>
      </c>
      <c r="R217" s="5">
        <f>SUMIFS(Table4[BudgetAmount],Table4[ActualExpense],"pending")</f>
        <v>0</v>
      </c>
    </row>
    <row r="218" spans="1:18">
      <c r="A218" t="s">
        <v>459</v>
      </c>
      <c r="B218" t="s">
        <v>460</v>
      </c>
      <c r="C218" t="s">
        <v>45</v>
      </c>
      <c r="D218" t="s">
        <v>40</v>
      </c>
      <c r="E218" t="s">
        <v>85</v>
      </c>
      <c r="F218" t="s">
        <v>86</v>
      </c>
      <c r="G218" s="2">
        <v>236821</v>
      </c>
      <c r="H218" s="1">
        <v>322630</v>
      </c>
      <c r="I218">
        <v>85809</v>
      </c>
      <c r="J218" t="s">
        <v>37</v>
      </c>
      <c r="K218" t="s">
        <v>67</v>
      </c>
      <c r="L218" t="s">
        <v>68</v>
      </c>
      <c r="M218" t="s">
        <v>42</v>
      </c>
      <c r="N218" s="5">
        <f>Table4[[#This Row],[BudgetAmount]]/Table4[[#This Row],[Variance]]</f>
        <v>2.7598620191355221</v>
      </c>
      <c r="O218" s="5" t="str">
        <f>TEXT(Table4[[#This Row],[Date]],"mmm")</f>
        <v>Jan</v>
      </c>
      <c r="P218" s="5">
        <f>ABS(Table4[[#This Row],[Variance]])</f>
        <v>85809</v>
      </c>
      <c r="Q218" s="5" t="str">
        <f>IF(Table4[[#This Row],[AB Variances ]]&gt;$P$2,"Anomaly","Normal")</f>
        <v>Anomaly</v>
      </c>
      <c r="R218" s="5">
        <f>SUMIFS(Table4[BudgetAmount],Table4[ActualExpense],"pending")</f>
        <v>0</v>
      </c>
    </row>
    <row r="219" spans="1:18">
      <c r="A219" t="s">
        <v>461</v>
      </c>
      <c r="B219" t="s">
        <v>462</v>
      </c>
      <c r="C219" t="s">
        <v>33</v>
      </c>
      <c r="D219" t="s">
        <v>61</v>
      </c>
      <c r="E219" t="s">
        <v>27</v>
      </c>
      <c r="F219" t="s">
        <v>28</v>
      </c>
      <c r="G219" s="2">
        <v>254509</v>
      </c>
      <c r="H219" s="1">
        <v>342484</v>
      </c>
      <c r="I219">
        <v>87975</v>
      </c>
      <c r="J219" t="s">
        <v>54</v>
      </c>
      <c r="K219" t="s">
        <v>41</v>
      </c>
      <c r="L219" t="s">
        <v>49</v>
      </c>
      <c r="M219" t="s">
        <v>22</v>
      </c>
      <c r="N219" s="5">
        <f>Table4[[#This Row],[BudgetAmount]]/Table4[[#This Row],[Variance]]</f>
        <v>2.8929695936345552</v>
      </c>
      <c r="O219" s="5" t="str">
        <f>TEXT(Table4[[#This Row],[Date]],"mmm")</f>
        <v>Feb</v>
      </c>
      <c r="P219" s="5">
        <f>ABS(Table4[[#This Row],[Variance]])</f>
        <v>87975</v>
      </c>
      <c r="Q219" s="5" t="str">
        <f>IF(Table4[[#This Row],[AB Variances ]]&gt;$P$2,"Anomaly","Normal")</f>
        <v>Anomaly</v>
      </c>
      <c r="R219" s="5">
        <f>SUMIFS(Table4[BudgetAmount],Table4[ActualExpense],"pending")</f>
        <v>0</v>
      </c>
    </row>
    <row r="220" spans="1:18">
      <c r="A220" t="s">
        <v>463</v>
      </c>
      <c r="B220" t="s">
        <v>184</v>
      </c>
      <c r="C220" t="s">
        <v>35</v>
      </c>
      <c r="D220" t="s">
        <v>26</v>
      </c>
      <c r="E220" t="s">
        <v>85</v>
      </c>
      <c r="F220" t="s">
        <v>86</v>
      </c>
      <c r="G220" s="2">
        <v>285684</v>
      </c>
      <c r="H220" s="1">
        <v>287663</v>
      </c>
      <c r="I220">
        <v>1979</v>
      </c>
      <c r="J220" t="s">
        <v>19</v>
      </c>
      <c r="K220" t="s">
        <v>67</v>
      </c>
      <c r="L220" t="s">
        <v>68</v>
      </c>
      <c r="M220" t="s">
        <v>22</v>
      </c>
      <c r="N220" s="5">
        <f>Table4[[#This Row],[BudgetAmount]]/Table4[[#This Row],[Variance]]</f>
        <v>144.3577564426478</v>
      </c>
      <c r="O220" s="5" t="str">
        <f>TEXT(Table4[[#This Row],[Date]],"mmm")</f>
        <v>Mar</v>
      </c>
      <c r="P220" s="5">
        <f>ABS(Table4[[#This Row],[Variance]])</f>
        <v>1979</v>
      </c>
      <c r="Q220" s="5" t="str">
        <f>IF(Table4[[#This Row],[AB Variances ]]&gt;$P$2,"Anomaly","Normal")</f>
        <v>Normal</v>
      </c>
      <c r="R220" s="5">
        <f>SUMIFS(Table4[BudgetAmount],Table4[ActualExpense],"pending")</f>
        <v>0</v>
      </c>
    </row>
    <row r="221" spans="1:18">
      <c r="A221" t="s">
        <v>464</v>
      </c>
      <c r="B221" t="s">
        <v>465</v>
      </c>
      <c r="C221" t="s">
        <v>15</v>
      </c>
      <c r="D221" t="s">
        <v>34</v>
      </c>
      <c r="E221" t="s">
        <v>17</v>
      </c>
      <c r="F221" t="s">
        <v>18</v>
      </c>
      <c r="G221" s="2">
        <v>273980</v>
      </c>
      <c r="H221" s="1">
        <v>276328</v>
      </c>
      <c r="I221">
        <v>2348</v>
      </c>
      <c r="J221" t="s">
        <v>37</v>
      </c>
      <c r="K221" t="s">
        <v>29</v>
      </c>
      <c r="L221" t="s">
        <v>30</v>
      </c>
      <c r="M221" t="s">
        <v>22</v>
      </c>
      <c r="N221" s="5">
        <f>Table4[[#This Row],[BudgetAmount]]/Table4[[#This Row],[Variance]]</f>
        <v>116.68654173764907</v>
      </c>
      <c r="O221" s="5" t="str">
        <f>TEXT(Table4[[#This Row],[Date]],"mmm")</f>
        <v>Jun</v>
      </c>
      <c r="P221" s="5">
        <f>ABS(Table4[[#This Row],[Variance]])</f>
        <v>2348</v>
      </c>
      <c r="Q221" s="5" t="str">
        <f>IF(Table4[[#This Row],[AB Variances ]]&gt;$P$2,"Anomaly","Normal")</f>
        <v>Normal</v>
      </c>
      <c r="R221" s="5">
        <f>SUMIFS(Table4[BudgetAmount],Table4[ActualExpense],"pending")</f>
        <v>0</v>
      </c>
    </row>
    <row r="222" spans="1:18">
      <c r="A222" t="s">
        <v>466</v>
      </c>
      <c r="B222" t="s">
        <v>467</v>
      </c>
      <c r="C222" t="s">
        <v>64</v>
      </c>
      <c r="D222" t="s">
        <v>40</v>
      </c>
      <c r="E222" t="s">
        <v>71</v>
      </c>
      <c r="F222" t="s">
        <v>72</v>
      </c>
      <c r="G222" s="2">
        <v>354203</v>
      </c>
      <c r="H222" s="1">
        <v>415525</v>
      </c>
      <c r="I222">
        <v>61322</v>
      </c>
      <c r="J222" t="s">
        <v>37</v>
      </c>
      <c r="K222" t="s">
        <v>41</v>
      </c>
      <c r="L222" t="s">
        <v>68</v>
      </c>
      <c r="M222" t="s">
        <v>22</v>
      </c>
      <c r="N222" s="5">
        <f>Table4[[#This Row],[BudgetAmount]]/Table4[[#This Row],[Variance]]</f>
        <v>5.7761162388702258</v>
      </c>
      <c r="O222" s="5" t="str">
        <f>TEXT(Table4[[#This Row],[Date]],"mmm")</f>
        <v>Aug</v>
      </c>
      <c r="P222" s="5">
        <f>ABS(Table4[[#This Row],[Variance]])</f>
        <v>61322</v>
      </c>
      <c r="Q222" s="5" t="str">
        <f>IF(Table4[[#This Row],[AB Variances ]]&gt;$P$2,"Anomaly","Normal")</f>
        <v>Anomaly</v>
      </c>
      <c r="R222" s="5">
        <f>SUMIFS(Table4[BudgetAmount],Table4[ActualExpense],"pending")</f>
        <v>0</v>
      </c>
    </row>
    <row r="223" spans="1:18">
      <c r="A223" t="s">
        <v>468</v>
      </c>
      <c r="B223" t="s">
        <v>469</v>
      </c>
      <c r="C223" t="s">
        <v>15</v>
      </c>
      <c r="D223" t="s">
        <v>40</v>
      </c>
      <c r="E223" t="s">
        <v>71</v>
      </c>
      <c r="F223" t="s">
        <v>72</v>
      </c>
      <c r="G223" s="2">
        <v>180319</v>
      </c>
      <c r="H223" s="1">
        <v>174891</v>
      </c>
      <c r="I223">
        <v>-5428</v>
      </c>
      <c r="J223" t="s">
        <v>37</v>
      </c>
      <c r="K223" t="s">
        <v>41</v>
      </c>
      <c r="L223" t="s">
        <v>21</v>
      </c>
      <c r="M223" t="s">
        <v>42</v>
      </c>
      <c r="N223" s="5">
        <f>Table4[[#This Row],[BudgetAmount]]/Table4[[#This Row],[Variance]]</f>
        <v>-33.220154753131908</v>
      </c>
      <c r="O223" s="5" t="str">
        <f>TEXT(Table4[[#This Row],[Date]],"mmm")</f>
        <v>Nov</v>
      </c>
      <c r="P223" s="5">
        <f>ABS(Table4[[#This Row],[Variance]])</f>
        <v>5428</v>
      </c>
      <c r="Q223" s="5" t="str">
        <f>IF(Table4[[#This Row],[AB Variances ]]&gt;$P$2,"Anomaly","Normal")</f>
        <v>Normal</v>
      </c>
      <c r="R223" s="5">
        <f>SUMIFS(Table4[BudgetAmount],Table4[ActualExpense],"pending")</f>
        <v>0</v>
      </c>
    </row>
    <row r="224" spans="1:18">
      <c r="A224" t="s">
        <v>470</v>
      </c>
      <c r="B224" t="s">
        <v>471</v>
      </c>
      <c r="C224" t="s">
        <v>45</v>
      </c>
      <c r="D224" t="s">
        <v>61</v>
      </c>
      <c r="E224" t="s">
        <v>27</v>
      </c>
      <c r="F224" t="s">
        <v>28</v>
      </c>
      <c r="G224" s="2">
        <v>476900</v>
      </c>
      <c r="H224" s="1">
        <v>420391</v>
      </c>
      <c r="I224">
        <v>-56509</v>
      </c>
      <c r="J224" t="s">
        <v>37</v>
      </c>
      <c r="K224" t="s">
        <v>67</v>
      </c>
      <c r="L224" t="s">
        <v>68</v>
      </c>
      <c r="M224" t="s">
        <v>42</v>
      </c>
      <c r="N224" s="5">
        <f>Table4[[#This Row],[BudgetAmount]]/Table4[[#This Row],[Variance]]</f>
        <v>-8.4393636411898996</v>
      </c>
      <c r="O224" s="5" t="str">
        <f>TEXT(Table4[[#This Row],[Date]],"mmm")</f>
        <v>May</v>
      </c>
      <c r="P224" s="5">
        <f>ABS(Table4[[#This Row],[Variance]])</f>
        <v>56509</v>
      </c>
      <c r="Q224" s="5" t="str">
        <f>IF(Table4[[#This Row],[AB Variances ]]&gt;$P$2,"Anomaly","Normal")</f>
        <v>Anomaly</v>
      </c>
      <c r="R224" s="5">
        <f>SUMIFS(Table4[BudgetAmount],Table4[ActualExpense],"pending")</f>
        <v>0</v>
      </c>
    </row>
    <row r="225" spans="1:18">
      <c r="A225" t="s">
        <v>472</v>
      </c>
      <c r="B225" t="s">
        <v>473</v>
      </c>
      <c r="C225" t="s">
        <v>15</v>
      </c>
      <c r="D225" t="s">
        <v>40</v>
      </c>
      <c r="E225" t="s">
        <v>27</v>
      </c>
      <c r="F225" t="s">
        <v>28</v>
      </c>
      <c r="G225" s="2">
        <v>313006</v>
      </c>
      <c r="H225" s="1">
        <v>327112</v>
      </c>
      <c r="I225">
        <v>14106</v>
      </c>
      <c r="J225" t="s">
        <v>54</v>
      </c>
      <c r="K225" t="s">
        <v>29</v>
      </c>
      <c r="L225" t="s">
        <v>68</v>
      </c>
      <c r="M225" t="s">
        <v>42</v>
      </c>
      <c r="N225" s="5">
        <f>Table4[[#This Row],[BudgetAmount]]/Table4[[#This Row],[Variance]]</f>
        <v>22.189564724230824</v>
      </c>
      <c r="O225" s="5" t="str">
        <f>TEXT(Table4[[#This Row],[Date]],"mmm")</f>
        <v>Aug</v>
      </c>
      <c r="P225" s="5">
        <f>ABS(Table4[[#This Row],[Variance]])</f>
        <v>14106</v>
      </c>
      <c r="Q225" s="5" t="str">
        <f>IF(Table4[[#This Row],[AB Variances ]]&gt;$P$2,"Anomaly","Normal")</f>
        <v>Normal</v>
      </c>
      <c r="R225" s="5">
        <f>SUMIFS(Table4[BudgetAmount],Table4[ActualExpense],"pending")</f>
        <v>0</v>
      </c>
    </row>
    <row r="226" spans="1:18">
      <c r="A226" t="s">
        <v>474</v>
      </c>
      <c r="B226" t="s">
        <v>475</v>
      </c>
      <c r="C226" t="s">
        <v>33</v>
      </c>
      <c r="D226" t="s">
        <v>61</v>
      </c>
      <c r="E226" t="s">
        <v>27</v>
      </c>
      <c r="F226" t="s">
        <v>28</v>
      </c>
      <c r="G226" s="2">
        <v>117709</v>
      </c>
      <c r="H226" s="1">
        <v>87266</v>
      </c>
      <c r="I226">
        <v>-30443</v>
      </c>
      <c r="J226" t="s">
        <v>37</v>
      </c>
      <c r="K226" t="s">
        <v>29</v>
      </c>
      <c r="L226" t="s">
        <v>49</v>
      </c>
      <c r="M226" t="s">
        <v>42</v>
      </c>
      <c r="N226" s="5">
        <f>Table4[[#This Row],[BudgetAmount]]/Table4[[#This Row],[Variance]]</f>
        <v>-3.8665374634562952</v>
      </c>
      <c r="O226" s="5" t="str">
        <f>TEXT(Table4[[#This Row],[Date]],"mmm")</f>
        <v>Jun</v>
      </c>
      <c r="P226" s="5">
        <f>ABS(Table4[[#This Row],[Variance]])</f>
        <v>30443</v>
      </c>
      <c r="Q226" s="5" t="str">
        <f>IF(Table4[[#This Row],[AB Variances ]]&gt;$P$2,"Anomaly","Normal")</f>
        <v>Anomaly</v>
      </c>
      <c r="R226" s="5">
        <f>SUMIFS(Table4[BudgetAmount],Table4[ActualExpense],"pending")</f>
        <v>0</v>
      </c>
    </row>
    <row r="227" spans="1:18">
      <c r="A227" t="s">
        <v>476</v>
      </c>
      <c r="B227" t="s">
        <v>348</v>
      </c>
      <c r="C227" t="s">
        <v>64</v>
      </c>
      <c r="D227" t="s">
        <v>61</v>
      </c>
      <c r="E227" t="s">
        <v>71</v>
      </c>
      <c r="F227" t="s">
        <v>72</v>
      </c>
      <c r="G227" s="2">
        <v>57986</v>
      </c>
      <c r="H227" s="1">
        <v>54578</v>
      </c>
      <c r="I227">
        <v>-3408</v>
      </c>
      <c r="J227" t="s">
        <v>19</v>
      </c>
      <c r="K227" t="s">
        <v>48</v>
      </c>
      <c r="L227" t="s">
        <v>68</v>
      </c>
      <c r="M227" t="s">
        <v>42</v>
      </c>
      <c r="N227" s="5">
        <f>Table4[[#This Row],[BudgetAmount]]/Table4[[#This Row],[Variance]]</f>
        <v>-17.014671361502348</v>
      </c>
      <c r="O227" s="5" t="str">
        <f>TEXT(Table4[[#This Row],[Date]],"mmm")</f>
        <v>Apr</v>
      </c>
      <c r="P227" s="5">
        <f>ABS(Table4[[#This Row],[Variance]])</f>
        <v>3408</v>
      </c>
      <c r="Q227" s="5" t="str">
        <f>IF(Table4[[#This Row],[AB Variances ]]&gt;$P$2,"Anomaly","Normal")</f>
        <v>Normal</v>
      </c>
      <c r="R227" s="5">
        <f>SUMIFS(Table4[BudgetAmount],Table4[ActualExpense],"pending")</f>
        <v>0</v>
      </c>
    </row>
    <row r="228" spans="1:18">
      <c r="A228" t="s">
        <v>477</v>
      </c>
      <c r="B228" t="s">
        <v>337</v>
      </c>
      <c r="C228" t="s">
        <v>33</v>
      </c>
      <c r="D228" t="s">
        <v>34</v>
      </c>
      <c r="E228" t="s">
        <v>46</v>
      </c>
      <c r="F228" t="s">
        <v>47</v>
      </c>
      <c r="G228" s="2">
        <v>205144</v>
      </c>
      <c r="H228" s="1">
        <v>223225</v>
      </c>
      <c r="I228">
        <v>18081</v>
      </c>
      <c r="J228" t="s">
        <v>54</v>
      </c>
      <c r="K228" t="s">
        <v>67</v>
      </c>
      <c r="L228" t="s">
        <v>21</v>
      </c>
      <c r="M228" t="s">
        <v>22</v>
      </c>
      <c r="N228" s="5">
        <f>Table4[[#This Row],[BudgetAmount]]/Table4[[#This Row],[Variance]]</f>
        <v>11.345832641999889</v>
      </c>
      <c r="O228" s="5" t="str">
        <f>TEXT(Table4[[#This Row],[Date]],"mmm")</f>
        <v>Nov</v>
      </c>
      <c r="P228" s="5">
        <f>ABS(Table4[[#This Row],[Variance]])</f>
        <v>18081</v>
      </c>
      <c r="Q228" s="5" t="str">
        <f>IF(Table4[[#This Row],[AB Variances ]]&gt;$P$2,"Anomaly","Normal")</f>
        <v>Anomaly</v>
      </c>
      <c r="R228" s="5">
        <f>SUMIFS(Table4[BudgetAmount],Table4[ActualExpense],"pending")</f>
        <v>0</v>
      </c>
    </row>
    <row r="229" spans="1:18">
      <c r="A229" t="s">
        <v>478</v>
      </c>
      <c r="B229" t="s">
        <v>479</v>
      </c>
      <c r="C229" t="s">
        <v>45</v>
      </c>
      <c r="D229" t="s">
        <v>40</v>
      </c>
      <c r="E229" t="s">
        <v>35</v>
      </c>
      <c r="F229" t="s">
        <v>36</v>
      </c>
      <c r="G229" s="2">
        <v>241177</v>
      </c>
      <c r="H229" s="1">
        <v>333768</v>
      </c>
      <c r="I229">
        <v>92591</v>
      </c>
      <c r="J229" t="s">
        <v>54</v>
      </c>
      <c r="K229" t="s">
        <v>20</v>
      </c>
      <c r="L229" t="s">
        <v>49</v>
      </c>
      <c r="M229" t="s">
        <v>22</v>
      </c>
      <c r="N229" s="5">
        <f>Table4[[#This Row],[BudgetAmount]]/Table4[[#This Row],[Variance]]</f>
        <v>2.604756401810111</v>
      </c>
      <c r="O229" s="5" t="str">
        <f>TEXT(Table4[[#This Row],[Date]],"mmm")</f>
        <v>Sep</v>
      </c>
      <c r="P229" s="5">
        <f>ABS(Table4[[#This Row],[Variance]])</f>
        <v>92591</v>
      </c>
      <c r="Q229" s="5" t="str">
        <f>IF(Table4[[#This Row],[AB Variances ]]&gt;$P$2,"Anomaly","Normal")</f>
        <v>Anomaly</v>
      </c>
      <c r="R229" s="5">
        <f>SUMIFS(Table4[BudgetAmount],Table4[ActualExpense],"pending")</f>
        <v>0</v>
      </c>
    </row>
    <row r="230" spans="1:18">
      <c r="A230" t="s">
        <v>480</v>
      </c>
      <c r="B230" t="s">
        <v>481</v>
      </c>
      <c r="C230" t="s">
        <v>35</v>
      </c>
      <c r="D230" t="s">
        <v>26</v>
      </c>
      <c r="E230" t="s">
        <v>46</v>
      </c>
      <c r="F230" t="s">
        <v>47</v>
      </c>
      <c r="G230" s="2">
        <v>300138</v>
      </c>
      <c r="H230" s="1">
        <v>339723</v>
      </c>
      <c r="I230">
        <v>39585</v>
      </c>
      <c r="J230" t="s">
        <v>54</v>
      </c>
      <c r="K230" t="s">
        <v>48</v>
      </c>
      <c r="L230" t="s">
        <v>68</v>
      </c>
      <c r="M230" t="s">
        <v>42</v>
      </c>
      <c r="N230" s="5">
        <f>Table4[[#This Row],[BudgetAmount]]/Table4[[#This Row],[Variance]]</f>
        <v>7.582114437286851</v>
      </c>
      <c r="O230" s="5" t="str">
        <f>TEXT(Table4[[#This Row],[Date]],"mmm")</f>
        <v>Jan</v>
      </c>
      <c r="P230" s="5">
        <f>ABS(Table4[[#This Row],[Variance]])</f>
        <v>39585</v>
      </c>
      <c r="Q230" s="5" t="str">
        <f>IF(Table4[[#This Row],[AB Variances ]]&gt;$P$2,"Anomaly","Normal")</f>
        <v>Anomaly</v>
      </c>
      <c r="R230" s="5">
        <f>SUMIFS(Table4[BudgetAmount],Table4[ActualExpense],"pending")</f>
        <v>0</v>
      </c>
    </row>
    <row r="231" spans="1:18">
      <c r="A231" t="s">
        <v>482</v>
      </c>
      <c r="B231" t="s">
        <v>483</v>
      </c>
      <c r="C231" t="s">
        <v>33</v>
      </c>
      <c r="D231" t="s">
        <v>26</v>
      </c>
      <c r="E231" t="s">
        <v>17</v>
      </c>
      <c r="F231" t="s">
        <v>18</v>
      </c>
      <c r="G231" s="2">
        <v>320928</v>
      </c>
      <c r="H231" s="1">
        <v>288586</v>
      </c>
      <c r="I231">
        <v>-32342</v>
      </c>
      <c r="J231" t="s">
        <v>19</v>
      </c>
      <c r="K231" t="s">
        <v>29</v>
      </c>
      <c r="L231" t="s">
        <v>68</v>
      </c>
      <c r="M231" t="s">
        <v>22</v>
      </c>
      <c r="N231" s="5">
        <f>Table4[[#This Row],[BudgetAmount]]/Table4[[#This Row],[Variance]]</f>
        <v>-9.9229484880341357</v>
      </c>
      <c r="O231" s="5" t="str">
        <f>TEXT(Table4[[#This Row],[Date]],"mmm")</f>
        <v>Jun</v>
      </c>
      <c r="P231" s="5">
        <f>ABS(Table4[[#This Row],[Variance]])</f>
        <v>32342</v>
      </c>
      <c r="Q231" s="5" t="str">
        <f>IF(Table4[[#This Row],[AB Variances ]]&gt;$P$2,"Anomaly","Normal")</f>
        <v>Anomaly</v>
      </c>
      <c r="R231" s="5">
        <f>SUMIFS(Table4[BudgetAmount],Table4[ActualExpense],"pending")</f>
        <v>0</v>
      </c>
    </row>
    <row r="232" spans="1:18">
      <c r="A232" t="s">
        <v>484</v>
      </c>
      <c r="B232" t="s">
        <v>485</v>
      </c>
      <c r="C232" t="s">
        <v>35</v>
      </c>
      <c r="D232" t="s">
        <v>26</v>
      </c>
      <c r="E232" t="s">
        <v>35</v>
      </c>
      <c r="F232" t="s">
        <v>36</v>
      </c>
      <c r="G232" s="2">
        <v>53219</v>
      </c>
      <c r="H232" s="1">
        <v>74246</v>
      </c>
      <c r="I232">
        <v>21027</v>
      </c>
      <c r="J232" t="s">
        <v>54</v>
      </c>
      <c r="K232" t="s">
        <v>29</v>
      </c>
      <c r="L232" t="s">
        <v>49</v>
      </c>
      <c r="M232" t="s">
        <v>22</v>
      </c>
      <c r="N232" s="5">
        <f>Table4[[#This Row],[BudgetAmount]]/Table4[[#This Row],[Variance]]</f>
        <v>2.5309839729871118</v>
      </c>
      <c r="O232" s="5" t="str">
        <f>TEXT(Table4[[#This Row],[Date]],"mmm")</f>
        <v>Oct</v>
      </c>
      <c r="P232" s="5">
        <f>ABS(Table4[[#This Row],[Variance]])</f>
        <v>21027</v>
      </c>
      <c r="Q232" s="5" t="str">
        <f>IF(Table4[[#This Row],[AB Variances ]]&gt;$P$2,"Anomaly","Normal")</f>
        <v>Anomaly</v>
      </c>
      <c r="R232" s="5">
        <f>SUMIFS(Table4[BudgetAmount],Table4[ActualExpense],"pending")</f>
        <v>0</v>
      </c>
    </row>
    <row r="233" spans="1:18">
      <c r="A233" t="s">
        <v>486</v>
      </c>
      <c r="B233" t="s">
        <v>487</v>
      </c>
      <c r="C233" t="s">
        <v>45</v>
      </c>
      <c r="D233" t="s">
        <v>40</v>
      </c>
      <c r="E233" t="s">
        <v>17</v>
      </c>
      <c r="F233" t="s">
        <v>18</v>
      </c>
      <c r="G233" s="2">
        <v>457954</v>
      </c>
      <c r="H233" s="1">
        <v>619301</v>
      </c>
      <c r="I233">
        <v>161347</v>
      </c>
      <c r="J233" t="s">
        <v>37</v>
      </c>
      <c r="K233" t="s">
        <v>67</v>
      </c>
      <c r="L233" t="s">
        <v>49</v>
      </c>
      <c r="M233" t="s">
        <v>42</v>
      </c>
      <c r="N233" s="5">
        <f>Table4[[#This Row],[BudgetAmount]]/Table4[[#This Row],[Variance]]</f>
        <v>2.8383174152602777</v>
      </c>
      <c r="O233" s="5" t="str">
        <f>TEXT(Table4[[#This Row],[Date]],"mmm")</f>
        <v>Jul</v>
      </c>
      <c r="P233" s="5">
        <f>ABS(Table4[[#This Row],[Variance]])</f>
        <v>161347</v>
      </c>
      <c r="Q233" s="5" t="str">
        <f>IF(Table4[[#This Row],[AB Variances ]]&gt;$P$2,"Anomaly","Normal")</f>
        <v>Anomaly</v>
      </c>
      <c r="R233" s="5">
        <f>SUMIFS(Table4[BudgetAmount],Table4[ActualExpense],"pending")</f>
        <v>0</v>
      </c>
    </row>
    <row r="234" spans="1:18">
      <c r="A234" t="s">
        <v>488</v>
      </c>
      <c r="B234" t="s">
        <v>489</v>
      </c>
      <c r="C234" t="s">
        <v>33</v>
      </c>
      <c r="D234" t="s">
        <v>26</v>
      </c>
      <c r="E234" t="s">
        <v>46</v>
      </c>
      <c r="F234" t="s">
        <v>47</v>
      </c>
      <c r="G234" s="2">
        <v>419339</v>
      </c>
      <c r="H234" s="1">
        <v>362680</v>
      </c>
      <c r="I234">
        <v>-56659</v>
      </c>
      <c r="J234" t="s">
        <v>37</v>
      </c>
      <c r="K234" t="s">
        <v>48</v>
      </c>
      <c r="L234" t="s">
        <v>21</v>
      </c>
      <c r="M234" t="s">
        <v>22</v>
      </c>
      <c r="N234" s="5">
        <f>Table4[[#This Row],[BudgetAmount]]/Table4[[#This Row],[Variance]]</f>
        <v>-7.4011013254734461</v>
      </c>
      <c r="O234" s="5" t="str">
        <f>TEXT(Table4[[#This Row],[Date]],"mmm")</f>
        <v>Nov</v>
      </c>
      <c r="P234" s="5">
        <f>ABS(Table4[[#This Row],[Variance]])</f>
        <v>56659</v>
      </c>
      <c r="Q234" s="5" t="str">
        <f>IF(Table4[[#This Row],[AB Variances ]]&gt;$P$2,"Anomaly","Normal")</f>
        <v>Anomaly</v>
      </c>
      <c r="R234" s="5">
        <f>SUMIFS(Table4[BudgetAmount],Table4[ActualExpense],"pending")</f>
        <v>0</v>
      </c>
    </row>
    <row r="235" spans="1:18">
      <c r="A235" t="s">
        <v>490</v>
      </c>
      <c r="B235" t="s">
        <v>491</v>
      </c>
      <c r="C235" t="s">
        <v>33</v>
      </c>
      <c r="D235" t="s">
        <v>16</v>
      </c>
      <c r="E235" t="s">
        <v>71</v>
      </c>
      <c r="F235" t="s">
        <v>72</v>
      </c>
      <c r="G235" s="2">
        <v>456154</v>
      </c>
      <c r="H235" s="1">
        <v>363576</v>
      </c>
      <c r="I235">
        <v>-92578</v>
      </c>
      <c r="J235" t="s">
        <v>54</v>
      </c>
      <c r="K235" t="s">
        <v>20</v>
      </c>
      <c r="L235" t="s">
        <v>21</v>
      </c>
      <c r="M235" t="s">
        <v>42</v>
      </c>
      <c r="N235" s="5">
        <f>Table4[[#This Row],[BudgetAmount]]/Table4[[#This Row],[Variance]]</f>
        <v>-4.927239732981918</v>
      </c>
      <c r="O235" s="5" t="str">
        <f>TEXT(Table4[[#This Row],[Date]],"mmm")</f>
        <v>Nov</v>
      </c>
      <c r="P235" s="5">
        <f>ABS(Table4[[#This Row],[Variance]])</f>
        <v>92578</v>
      </c>
      <c r="Q235" s="5" t="str">
        <f>IF(Table4[[#This Row],[AB Variances ]]&gt;$P$2,"Anomaly","Normal")</f>
        <v>Anomaly</v>
      </c>
      <c r="R235" s="5">
        <f>SUMIFS(Table4[BudgetAmount],Table4[ActualExpense],"pending")</f>
        <v>0</v>
      </c>
    </row>
    <row r="236" spans="1:18">
      <c r="A236" t="s">
        <v>492</v>
      </c>
      <c r="B236" t="s">
        <v>493</v>
      </c>
      <c r="C236" t="s">
        <v>64</v>
      </c>
      <c r="D236" t="s">
        <v>34</v>
      </c>
      <c r="E236" t="s">
        <v>35</v>
      </c>
      <c r="F236" t="s">
        <v>36</v>
      </c>
      <c r="G236" s="2">
        <v>127544</v>
      </c>
      <c r="H236" s="1">
        <v>147704</v>
      </c>
      <c r="I236">
        <v>20160</v>
      </c>
      <c r="J236" t="s">
        <v>37</v>
      </c>
      <c r="K236" t="s">
        <v>20</v>
      </c>
      <c r="L236" t="s">
        <v>21</v>
      </c>
      <c r="M236" t="s">
        <v>42</v>
      </c>
      <c r="N236" s="5">
        <f>Table4[[#This Row],[BudgetAmount]]/Table4[[#This Row],[Variance]]</f>
        <v>6.3265873015873018</v>
      </c>
      <c r="O236" s="5" t="str">
        <f>TEXT(Table4[[#This Row],[Date]],"mmm")</f>
        <v>Dec</v>
      </c>
      <c r="P236" s="5">
        <f>ABS(Table4[[#This Row],[Variance]])</f>
        <v>20160</v>
      </c>
      <c r="Q236" s="5" t="str">
        <f>IF(Table4[[#This Row],[AB Variances ]]&gt;$P$2,"Anomaly","Normal")</f>
        <v>Anomaly</v>
      </c>
      <c r="R236" s="5">
        <f>SUMIFS(Table4[BudgetAmount],Table4[ActualExpense],"pending")</f>
        <v>0</v>
      </c>
    </row>
    <row r="237" spans="1:18">
      <c r="A237" t="s">
        <v>494</v>
      </c>
      <c r="B237" t="s">
        <v>495</v>
      </c>
      <c r="C237" t="s">
        <v>33</v>
      </c>
      <c r="D237" t="s">
        <v>16</v>
      </c>
      <c r="E237" t="s">
        <v>46</v>
      </c>
      <c r="F237" t="s">
        <v>47</v>
      </c>
      <c r="G237" s="2">
        <v>391439</v>
      </c>
      <c r="H237" s="1">
        <v>471204</v>
      </c>
      <c r="I237">
        <v>79765</v>
      </c>
      <c r="J237" t="s">
        <v>37</v>
      </c>
      <c r="K237" t="s">
        <v>29</v>
      </c>
      <c r="L237" t="s">
        <v>68</v>
      </c>
      <c r="M237" t="s">
        <v>22</v>
      </c>
      <c r="N237" s="5">
        <f>Table4[[#This Row],[BudgetAmount]]/Table4[[#This Row],[Variance]]</f>
        <v>4.9074029963016361</v>
      </c>
      <c r="O237" s="5" t="str">
        <f>TEXT(Table4[[#This Row],[Date]],"mmm")</f>
        <v>Feb</v>
      </c>
      <c r="P237" s="5">
        <f>ABS(Table4[[#This Row],[Variance]])</f>
        <v>79765</v>
      </c>
      <c r="Q237" s="5" t="str">
        <f>IF(Table4[[#This Row],[AB Variances ]]&gt;$P$2,"Anomaly","Normal")</f>
        <v>Anomaly</v>
      </c>
      <c r="R237" s="5">
        <f>SUMIFS(Table4[BudgetAmount],Table4[ActualExpense],"pending")</f>
        <v>0</v>
      </c>
    </row>
    <row r="238" spans="1:18">
      <c r="A238" t="s">
        <v>496</v>
      </c>
      <c r="B238" t="s">
        <v>497</v>
      </c>
      <c r="C238" t="s">
        <v>33</v>
      </c>
      <c r="D238" t="s">
        <v>34</v>
      </c>
      <c r="E238" t="s">
        <v>35</v>
      </c>
      <c r="F238" t="s">
        <v>36</v>
      </c>
      <c r="G238" s="2">
        <v>246208</v>
      </c>
      <c r="H238" s="1">
        <v>313577</v>
      </c>
      <c r="I238">
        <v>67369</v>
      </c>
      <c r="J238" t="s">
        <v>37</v>
      </c>
      <c r="K238" t="s">
        <v>67</v>
      </c>
      <c r="L238" t="s">
        <v>49</v>
      </c>
      <c r="M238" t="s">
        <v>22</v>
      </c>
      <c r="N238" s="5">
        <f>Table4[[#This Row],[BudgetAmount]]/Table4[[#This Row],[Variance]]</f>
        <v>3.6546185931214654</v>
      </c>
      <c r="O238" s="5" t="str">
        <f>TEXT(Table4[[#This Row],[Date]],"mmm")</f>
        <v>Apr</v>
      </c>
      <c r="P238" s="5">
        <f>ABS(Table4[[#This Row],[Variance]])</f>
        <v>67369</v>
      </c>
      <c r="Q238" s="5" t="str">
        <f>IF(Table4[[#This Row],[AB Variances ]]&gt;$P$2,"Anomaly","Normal")</f>
        <v>Anomaly</v>
      </c>
      <c r="R238" s="5">
        <f>SUMIFS(Table4[BudgetAmount],Table4[ActualExpense],"pending")</f>
        <v>0</v>
      </c>
    </row>
    <row r="239" spans="1:18">
      <c r="A239" t="s">
        <v>498</v>
      </c>
      <c r="B239" t="s">
        <v>499</v>
      </c>
      <c r="C239" t="s">
        <v>45</v>
      </c>
      <c r="D239" t="s">
        <v>16</v>
      </c>
      <c r="E239" t="s">
        <v>85</v>
      </c>
      <c r="F239" t="s">
        <v>86</v>
      </c>
      <c r="G239" s="2">
        <v>437240</v>
      </c>
      <c r="H239" s="1">
        <v>396241</v>
      </c>
      <c r="I239">
        <v>-40999</v>
      </c>
      <c r="J239" t="s">
        <v>19</v>
      </c>
      <c r="K239" t="s">
        <v>29</v>
      </c>
      <c r="L239" t="s">
        <v>49</v>
      </c>
      <c r="M239" t="s">
        <v>42</v>
      </c>
      <c r="N239" s="5">
        <f>Table4[[#This Row],[BudgetAmount]]/Table4[[#This Row],[Variance]]</f>
        <v>-10.664650357325788</v>
      </c>
      <c r="O239" s="5" t="str">
        <f>TEXT(Table4[[#This Row],[Date]],"mmm")</f>
        <v>Aug</v>
      </c>
      <c r="P239" s="5">
        <f>ABS(Table4[[#This Row],[Variance]])</f>
        <v>40999</v>
      </c>
      <c r="Q239" s="5" t="str">
        <f>IF(Table4[[#This Row],[AB Variances ]]&gt;$P$2,"Anomaly","Normal")</f>
        <v>Anomaly</v>
      </c>
      <c r="R239" s="5">
        <f>SUMIFS(Table4[BudgetAmount],Table4[ActualExpense],"pending")</f>
        <v>0</v>
      </c>
    </row>
    <row r="240" spans="1:18">
      <c r="A240" t="s">
        <v>500</v>
      </c>
      <c r="B240" t="s">
        <v>501</v>
      </c>
      <c r="C240" t="s">
        <v>25</v>
      </c>
      <c r="D240" t="s">
        <v>16</v>
      </c>
      <c r="E240" t="s">
        <v>17</v>
      </c>
      <c r="F240" t="s">
        <v>18</v>
      </c>
      <c r="G240" s="2">
        <v>383631</v>
      </c>
      <c r="H240" s="1">
        <v>358284</v>
      </c>
      <c r="I240">
        <v>-25347</v>
      </c>
      <c r="J240" t="s">
        <v>37</v>
      </c>
      <c r="K240" t="s">
        <v>67</v>
      </c>
      <c r="L240" t="s">
        <v>30</v>
      </c>
      <c r="M240" t="s">
        <v>22</v>
      </c>
      <c r="N240" s="5">
        <f>Table4[[#This Row],[BudgetAmount]]/Table4[[#This Row],[Variance]]</f>
        <v>-15.13516392472482</v>
      </c>
      <c r="O240" s="5" t="str">
        <f>TEXT(Table4[[#This Row],[Date]],"mmm")</f>
        <v>Jun</v>
      </c>
      <c r="P240" s="5">
        <f>ABS(Table4[[#This Row],[Variance]])</f>
        <v>25347</v>
      </c>
      <c r="Q240" s="5" t="str">
        <f>IF(Table4[[#This Row],[AB Variances ]]&gt;$P$2,"Anomaly","Normal")</f>
        <v>Anomaly</v>
      </c>
      <c r="R240" s="5">
        <f>SUMIFS(Table4[BudgetAmount],Table4[ActualExpense],"pending")</f>
        <v>0</v>
      </c>
    </row>
    <row r="241" spans="1:18">
      <c r="A241" t="s">
        <v>502</v>
      </c>
      <c r="B241" t="s">
        <v>503</v>
      </c>
      <c r="C241" t="s">
        <v>15</v>
      </c>
      <c r="D241" t="s">
        <v>26</v>
      </c>
      <c r="E241" t="s">
        <v>17</v>
      </c>
      <c r="F241" t="s">
        <v>18</v>
      </c>
      <c r="G241" s="2">
        <v>253118</v>
      </c>
      <c r="H241" s="1">
        <v>230197</v>
      </c>
      <c r="I241">
        <v>-22921</v>
      </c>
      <c r="J241" t="s">
        <v>37</v>
      </c>
      <c r="K241" t="s">
        <v>48</v>
      </c>
      <c r="L241" t="s">
        <v>68</v>
      </c>
      <c r="M241" t="s">
        <v>42</v>
      </c>
      <c r="N241" s="5">
        <f>Table4[[#This Row],[BudgetAmount]]/Table4[[#This Row],[Variance]]</f>
        <v>-11.043060948475198</v>
      </c>
      <c r="O241" s="5" t="str">
        <f>TEXT(Table4[[#This Row],[Date]],"mmm")</f>
        <v>Apr</v>
      </c>
      <c r="P241" s="5">
        <f>ABS(Table4[[#This Row],[Variance]])</f>
        <v>22921</v>
      </c>
      <c r="Q241" s="5" t="str">
        <f>IF(Table4[[#This Row],[AB Variances ]]&gt;$P$2,"Anomaly","Normal")</f>
        <v>Anomaly</v>
      </c>
      <c r="R241" s="5">
        <f>SUMIFS(Table4[BudgetAmount],Table4[ActualExpense],"pending")</f>
        <v>0</v>
      </c>
    </row>
    <row r="242" spans="1:18">
      <c r="A242" t="s">
        <v>504</v>
      </c>
      <c r="B242" t="s">
        <v>281</v>
      </c>
      <c r="C242" t="s">
        <v>35</v>
      </c>
      <c r="D242" t="s">
        <v>61</v>
      </c>
      <c r="E242" t="s">
        <v>85</v>
      </c>
      <c r="F242" t="s">
        <v>86</v>
      </c>
      <c r="G242" s="2">
        <v>289029</v>
      </c>
      <c r="H242" s="1">
        <v>260223</v>
      </c>
      <c r="I242">
        <v>-28806</v>
      </c>
      <c r="J242" t="s">
        <v>37</v>
      </c>
      <c r="K242" t="s">
        <v>48</v>
      </c>
      <c r="L242" t="s">
        <v>21</v>
      </c>
      <c r="M242" t="s">
        <v>22</v>
      </c>
      <c r="N242" s="5">
        <f>Table4[[#This Row],[BudgetAmount]]/Table4[[#This Row],[Variance]]</f>
        <v>-10.03363882524474</v>
      </c>
      <c r="O242" s="5" t="str">
        <f>TEXT(Table4[[#This Row],[Date]],"mmm")</f>
        <v>Aug</v>
      </c>
      <c r="P242" s="5">
        <f>ABS(Table4[[#This Row],[Variance]])</f>
        <v>28806</v>
      </c>
      <c r="Q242" s="5" t="str">
        <f>IF(Table4[[#This Row],[AB Variances ]]&gt;$P$2,"Anomaly","Normal")</f>
        <v>Anomaly</v>
      </c>
      <c r="R242" s="5">
        <f>SUMIFS(Table4[BudgetAmount],Table4[ActualExpense],"pending")</f>
        <v>0</v>
      </c>
    </row>
    <row r="243" spans="1:18">
      <c r="A243" t="s">
        <v>505</v>
      </c>
      <c r="B243" t="s">
        <v>506</v>
      </c>
      <c r="C243" t="s">
        <v>33</v>
      </c>
      <c r="D243" t="s">
        <v>26</v>
      </c>
      <c r="E243" t="s">
        <v>17</v>
      </c>
      <c r="F243" t="s">
        <v>18</v>
      </c>
      <c r="G243" s="2">
        <v>462689</v>
      </c>
      <c r="H243" s="1">
        <v>516610</v>
      </c>
      <c r="I243">
        <v>53921</v>
      </c>
      <c r="J243" t="s">
        <v>37</v>
      </c>
      <c r="K243" t="s">
        <v>20</v>
      </c>
      <c r="L243" t="s">
        <v>68</v>
      </c>
      <c r="M243" t="s">
        <v>42</v>
      </c>
      <c r="N243" s="5">
        <f>Table4[[#This Row],[BudgetAmount]]/Table4[[#This Row],[Variance]]</f>
        <v>8.5808683073385144</v>
      </c>
      <c r="O243" s="5" t="str">
        <f>TEXT(Table4[[#This Row],[Date]],"mmm")</f>
        <v>Nov</v>
      </c>
      <c r="P243" s="5">
        <f>ABS(Table4[[#This Row],[Variance]])</f>
        <v>53921</v>
      </c>
      <c r="Q243" s="5" t="str">
        <f>IF(Table4[[#This Row],[AB Variances ]]&gt;$P$2,"Anomaly","Normal")</f>
        <v>Anomaly</v>
      </c>
      <c r="R243" s="5">
        <f>SUMIFS(Table4[BudgetAmount],Table4[ActualExpense],"pending")</f>
        <v>0</v>
      </c>
    </row>
    <row r="244" spans="1:18">
      <c r="A244" t="s">
        <v>507</v>
      </c>
      <c r="B244" t="s">
        <v>508</v>
      </c>
      <c r="C244" t="s">
        <v>25</v>
      </c>
      <c r="D244" t="s">
        <v>16</v>
      </c>
      <c r="E244" t="s">
        <v>27</v>
      </c>
      <c r="F244" t="s">
        <v>28</v>
      </c>
      <c r="G244" s="2">
        <v>497987</v>
      </c>
      <c r="H244" s="1">
        <v>396679</v>
      </c>
      <c r="I244">
        <v>-101308</v>
      </c>
      <c r="J244" t="s">
        <v>37</v>
      </c>
      <c r="K244" t="s">
        <v>20</v>
      </c>
      <c r="L244" t="s">
        <v>68</v>
      </c>
      <c r="M244" t="s">
        <v>22</v>
      </c>
      <c r="N244" s="5">
        <f>Table4[[#This Row],[BudgetAmount]]/Table4[[#This Row],[Variance]]</f>
        <v>-4.9155742883089193</v>
      </c>
      <c r="O244" s="5" t="str">
        <f>TEXT(Table4[[#This Row],[Date]],"mmm")</f>
        <v>Jan</v>
      </c>
      <c r="P244" s="5">
        <f>ABS(Table4[[#This Row],[Variance]])</f>
        <v>101308</v>
      </c>
      <c r="Q244" s="5" t="str">
        <f>IF(Table4[[#This Row],[AB Variances ]]&gt;$P$2,"Anomaly","Normal")</f>
        <v>Anomaly</v>
      </c>
      <c r="R244" s="5">
        <f>SUMIFS(Table4[BudgetAmount],Table4[ActualExpense],"pending")</f>
        <v>0</v>
      </c>
    </row>
    <row r="245" spans="1:18">
      <c r="A245" t="s">
        <v>509</v>
      </c>
      <c r="B245" t="s">
        <v>510</v>
      </c>
      <c r="C245" t="s">
        <v>45</v>
      </c>
      <c r="D245" t="s">
        <v>26</v>
      </c>
      <c r="E245" t="s">
        <v>85</v>
      </c>
      <c r="F245" t="s">
        <v>86</v>
      </c>
      <c r="G245" s="2">
        <v>286833</v>
      </c>
      <c r="H245" s="1">
        <v>300260</v>
      </c>
      <c r="I245">
        <v>13427</v>
      </c>
      <c r="J245" t="s">
        <v>19</v>
      </c>
      <c r="K245" t="s">
        <v>67</v>
      </c>
      <c r="L245" t="s">
        <v>30</v>
      </c>
      <c r="M245" t="s">
        <v>42</v>
      </c>
      <c r="N245" s="5">
        <f>Table4[[#This Row],[BudgetAmount]]/Table4[[#This Row],[Variance]]</f>
        <v>21.362404111119385</v>
      </c>
      <c r="O245" s="5" t="str">
        <f>TEXT(Table4[[#This Row],[Date]],"mmm")</f>
        <v>Jun</v>
      </c>
      <c r="P245" s="5">
        <f>ABS(Table4[[#This Row],[Variance]])</f>
        <v>13427</v>
      </c>
      <c r="Q245" s="5" t="str">
        <f>IF(Table4[[#This Row],[AB Variances ]]&gt;$P$2,"Anomaly","Normal")</f>
        <v>Normal</v>
      </c>
      <c r="R245" s="5">
        <f>SUMIFS(Table4[BudgetAmount],Table4[ActualExpense],"pending")</f>
        <v>0</v>
      </c>
    </row>
    <row r="246" spans="1:18">
      <c r="A246" t="s">
        <v>511</v>
      </c>
      <c r="B246" t="s">
        <v>512</v>
      </c>
      <c r="C246" t="s">
        <v>45</v>
      </c>
      <c r="D246" t="s">
        <v>34</v>
      </c>
      <c r="E246" t="s">
        <v>46</v>
      </c>
      <c r="F246" t="s">
        <v>47</v>
      </c>
      <c r="G246" s="2">
        <v>372710</v>
      </c>
      <c r="H246" s="1">
        <v>376337</v>
      </c>
      <c r="I246">
        <v>3627</v>
      </c>
      <c r="J246" t="s">
        <v>54</v>
      </c>
      <c r="K246" t="s">
        <v>29</v>
      </c>
      <c r="L246" t="s">
        <v>68</v>
      </c>
      <c r="M246" t="s">
        <v>22</v>
      </c>
      <c r="N246" s="5">
        <f>Table4[[#This Row],[BudgetAmount]]/Table4[[#This Row],[Variance]]</f>
        <v>102.75985663082437</v>
      </c>
      <c r="O246" s="5" t="str">
        <f>TEXT(Table4[[#This Row],[Date]],"mmm")</f>
        <v>Mar</v>
      </c>
      <c r="P246" s="5">
        <f>ABS(Table4[[#This Row],[Variance]])</f>
        <v>3627</v>
      </c>
      <c r="Q246" s="5" t="str">
        <f>IF(Table4[[#This Row],[AB Variances ]]&gt;$P$2,"Anomaly","Normal")</f>
        <v>Normal</v>
      </c>
      <c r="R246" s="5">
        <f>SUMIFS(Table4[BudgetAmount],Table4[ActualExpense],"pending")</f>
        <v>0</v>
      </c>
    </row>
    <row r="247" spans="1:18">
      <c r="A247" t="s">
        <v>513</v>
      </c>
      <c r="B247" t="s">
        <v>501</v>
      </c>
      <c r="C247" t="s">
        <v>64</v>
      </c>
      <c r="D247" t="s">
        <v>61</v>
      </c>
      <c r="E247" t="s">
        <v>27</v>
      </c>
      <c r="F247" t="s">
        <v>28</v>
      </c>
      <c r="G247" s="2">
        <v>433919</v>
      </c>
      <c r="H247" s="1">
        <v>352252</v>
      </c>
      <c r="I247">
        <v>-81667</v>
      </c>
      <c r="J247" t="s">
        <v>19</v>
      </c>
      <c r="K247" t="s">
        <v>29</v>
      </c>
      <c r="L247" t="s">
        <v>21</v>
      </c>
      <c r="M247" t="s">
        <v>22</v>
      </c>
      <c r="N247" s="5">
        <f>Table4[[#This Row],[BudgetAmount]]/Table4[[#This Row],[Variance]]</f>
        <v>-5.3132721907257521</v>
      </c>
      <c r="O247" s="5" t="str">
        <f>TEXT(Table4[[#This Row],[Date]],"mmm")</f>
        <v>Jun</v>
      </c>
      <c r="P247" s="5">
        <f>ABS(Table4[[#This Row],[Variance]])</f>
        <v>81667</v>
      </c>
      <c r="Q247" s="5" t="str">
        <f>IF(Table4[[#This Row],[AB Variances ]]&gt;$P$2,"Anomaly","Normal")</f>
        <v>Anomaly</v>
      </c>
      <c r="R247" s="5">
        <f>SUMIFS(Table4[BudgetAmount],Table4[ActualExpense],"pending")</f>
        <v>0</v>
      </c>
    </row>
    <row r="248" spans="1:18">
      <c r="A248" t="s">
        <v>514</v>
      </c>
      <c r="B248" t="s">
        <v>515</v>
      </c>
      <c r="C248" t="s">
        <v>15</v>
      </c>
      <c r="D248" t="s">
        <v>26</v>
      </c>
      <c r="E248" t="s">
        <v>46</v>
      </c>
      <c r="F248" t="s">
        <v>47</v>
      </c>
      <c r="G248" s="2">
        <v>97113</v>
      </c>
      <c r="H248" s="1">
        <v>80802</v>
      </c>
      <c r="I248">
        <v>-16311</v>
      </c>
      <c r="J248" t="s">
        <v>37</v>
      </c>
      <c r="K248" t="s">
        <v>48</v>
      </c>
      <c r="L248" t="s">
        <v>49</v>
      </c>
      <c r="M248" t="s">
        <v>22</v>
      </c>
      <c r="N248" s="5">
        <f>Table4[[#This Row],[BudgetAmount]]/Table4[[#This Row],[Variance]]</f>
        <v>-5.9538348353871617</v>
      </c>
      <c r="O248" s="5" t="str">
        <f>TEXT(Table4[[#This Row],[Date]],"mmm")</f>
        <v>May</v>
      </c>
      <c r="P248" s="5">
        <f>ABS(Table4[[#This Row],[Variance]])</f>
        <v>16311</v>
      </c>
      <c r="Q248" s="5" t="str">
        <f>IF(Table4[[#This Row],[AB Variances ]]&gt;$P$2,"Anomaly","Normal")</f>
        <v>Normal</v>
      </c>
      <c r="R248" s="5">
        <f>SUMIFS(Table4[BudgetAmount],Table4[ActualExpense],"pending")</f>
        <v>0</v>
      </c>
    </row>
    <row r="249" spans="1:18">
      <c r="A249" t="s">
        <v>516</v>
      </c>
      <c r="B249" t="s">
        <v>517</v>
      </c>
      <c r="C249" t="s">
        <v>45</v>
      </c>
      <c r="D249" t="s">
        <v>26</v>
      </c>
      <c r="E249" t="s">
        <v>46</v>
      </c>
      <c r="F249" t="s">
        <v>47</v>
      </c>
      <c r="G249" s="2">
        <v>435538</v>
      </c>
      <c r="H249" s="1">
        <v>598007</v>
      </c>
      <c r="I249">
        <v>162469</v>
      </c>
      <c r="J249" t="s">
        <v>54</v>
      </c>
      <c r="K249" t="s">
        <v>67</v>
      </c>
      <c r="L249" t="s">
        <v>21</v>
      </c>
      <c r="M249" t="s">
        <v>42</v>
      </c>
      <c r="N249" s="5">
        <f>Table4[[#This Row],[BudgetAmount]]/Table4[[#This Row],[Variance]]</f>
        <v>2.6807452498630506</v>
      </c>
      <c r="O249" s="5" t="str">
        <f>TEXT(Table4[[#This Row],[Date]],"mmm")</f>
        <v>Jan</v>
      </c>
      <c r="P249" s="5">
        <f>ABS(Table4[[#This Row],[Variance]])</f>
        <v>162469</v>
      </c>
      <c r="Q249" s="5" t="str">
        <f>IF(Table4[[#This Row],[AB Variances ]]&gt;$P$2,"Anomaly","Normal")</f>
        <v>Anomaly</v>
      </c>
      <c r="R249" s="5">
        <f>SUMIFS(Table4[BudgetAmount],Table4[ActualExpense],"pending")</f>
        <v>0</v>
      </c>
    </row>
    <row r="250" spans="1:18">
      <c r="A250" t="s">
        <v>518</v>
      </c>
      <c r="B250" t="s">
        <v>519</v>
      </c>
      <c r="C250" t="s">
        <v>45</v>
      </c>
      <c r="D250" t="s">
        <v>16</v>
      </c>
      <c r="E250" t="s">
        <v>35</v>
      </c>
      <c r="F250" t="s">
        <v>36</v>
      </c>
      <c r="G250" s="2">
        <v>225494</v>
      </c>
      <c r="H250" s="1">
        <v>297837</v>
      </c>
      <c r="I250">
        <v>72343</v>
      </c>
      <c r="J250" t="s">
        <v>37</v>
      </c>
      <c r="K250" t="s">
        <v>48</v>
      </c>
      <c r="L250" t="s">
        <v>49</v>
      </c>
      <c r="M250" t="s">
        <v>22</v>
      </c>
      <c r="N250" s="5">
        <f>Table4[[#This Row],[BudgetAmount]]/Table4[[#This Row],[Variance]]</f>
        <v>3.1170120122195653</v>
      </c>
      <c r="O250" s="5" t="str">
        <f>TEXT(Table4[[#This Row],[Date]],"mmm")</f>
        <v>Sep</v>
      </c>
      <c r="P250" s="5">
        <f>ABS(Table4[[#This Row],[Variance]])</f>
        <v>72343</v>
      </c>
      <c r="Q250" s="5" t="str">
        <f>IF(Table4[[#This Row],[AB Variances ]]&gt;$P$2,"Anomaly","Normal")</f>
        <v>Anomaly</v>
      </c>
      <c r="R250" s="5">
        <f>SUMIFS(Table4[BudgetAmount],Table4[ActualExpense],"pending")</f>
        <v>0</v>
      </c>
    </row>
    <row r="251" spans="1:18">
      <c r="A251" t="s">
        <v>520</v>
      </c>
      <c r="B251" t="s">
        <v>521</v>
      </c>
      <c r="C251" t="s">
        <v>15</v>
      </c>
      <c r="D251" t="s">
        <v>61</v>
      </c>
      <c r="E251" t="s">
        <v>71</v>
      </c>
      <c r="F251" t="s">
        <v>72</v>
      </c>
      <c r="G251" s="2">
        <v>356410</v>
      </c>
      <c r="H251" s="1">
        <v>263648</v>
      </c>
      <c r="I251">
        <v>-92762</v>
      </c>
      <c r="J251" t="s">
        <v>54</v>
      </c>
      <c r="K251" t="s">
        <v>20</v>
      </c>
      <c r="L251" t="s">
        <v>49</v>
      </c>
      <c r="M251" t="s">
        <v>22</v>
      </c>
      <c r="N251" s="5">
        <f>Table4[[#This Row],[BudgetAmount]]/Table4[[#This Row],[Variance]]</f>
        <v>-3.84219831396477</v>
      </c>
      <c r="O251" s="5" t="str">
        <f>TEXT(Table4[[#This Row],[Date]],"mmm")</f>
        <v>Apr</v>
      </c>
      <c r="P251" s="5">
        <f>ABS(Table4[[#This Row],[Variance]])</f>
        <v>92762</v>
      </c>
      <c r="Q251" s="5" t="str">
        <f>IF(Table4[[#This Row],[AB Variances ]]&gt;$P$2,"Anomaly","Normal")</f>
        <v>Anomaly</v>
      </c>
      <c r="R251" s="5">
        <f>SUMIFS(Table4[BudgetAmount],Table4[ActualExpense],"pending")</f>
        <v>0</v>
      </c>
    </row>
    <row r="252" spans="1:18">
      <c r="A252" t="s">
        <v>522</v>
      </c>
      <c r="B252" t="s">
        <v>523</v>
      </c>
      <c r="C252" t="s">
        <v>45</v>
      </c>
      <c r="D252" t="s">
        <v>34</v>
      </c>
      <c r="E252" t="s">
        <v>17</v>
      </c>
      <c r="F252" t="s">
        <v>18</v>
      </c>
      <c r="G252" s="2">
        <v>499089</v>
      </c>
      <c r="H252" s="1">
        <v>498451</v>
      </c>
      <c r="I252">
        <v>-638</v>
      </c>
      <c r="J252" t="s">
        <v>19</v>
      </c>
      <c r="K252" t="s">
        <v>67</v>
      </c>
      <c r="L252" t="s">
        <v>30</v>
      </c>
      <c r="M252" t="s">
        <v>42</v>
      </c>
      <c r="N252" s="5">
        <f>Table4[[#This Row],[BudgetAmount]]/Table4[[#This Row],[Variance]]</f>
        <v>-782.2711598746082</v>
      </c>
      <c r="O252" s="5" t="str">
        <f>TEXT(Table4[[#This Row],[Date]],"mmm")</f>
        <v>Apr</v>
      </c>
      <c r="P252" s="5">
        <f>ABS(Table4[[#This Row],[Variance]])</f>
        <v>638</v>
      </c>
      <c r="Q252" s="5" t="str">
        <f>IF(Table4[[#This Row],[AB Variances ]]&gt;$P$2,"Anomaly","Normal")</f>
        <v>Normal</v>
      </c>
      <c r="R252" s="5">
        <f>SUMIFS(Table4[BudgetAmount],Table4[ActualExpense],"pending")</f>
        <v>0</v>
      </c>
    </row>
    <row r="253" spans="1:18">
      <c r="A253" t="s">
        <v>524</v>
      </c>
      <c r="B253" t="s">
        <v>98</v>
      </c>
      <c r="C253" t="s">
        <v>35</v>
      </c>
      <c r="D253" t="s">
        <v>16</v>
      </c>
      <c r="E253" t="s">
        <v>17</v>
      </c>
      <c r="F253" t="s">
        <v>18</v>
      </c>
      <c r="G253" s="2">
        <v>130501</v>
      </c>
      <c r="H253" s="1">
        <v>160266</v>
      </c>
      <c r="I253">
        <v>29765</v>
      </c>
      <c r="J253" t="s">
        <v>37</v>
      </c>
      <c r="K253" t="s">
        <v>20</v>
      </c>
      <c r="L253" t="s">
        <v>49</v>
      </c>
      <c r="M253" t="s">
        <v>42</v>
      </c>
      <c r="N253" s="5">
        <f>Table4[[#This Row],[BudgetAmount]]/Table4[[#This Row],[Variance]]</f>
        <v>4.3843776247270281</v>
      </c>
      <c r="O253" s="5" t="str">
        <f>TEXT(Table4[[#This Row],[Date]],"mmm")</f>
        <v>May</v>
      </c>
      <c r="P253" s="5">
        <f>ABS(Table4[[#This Row],[Variance]])</f>
        <v>29765</v>
      </c>
      <c r="Q253" s="5" t="str">
        <f>IF(Table4[[#This Row],[AB Variances ]]&gt;$P$2,"Anomaly","Normal")</f>
        <v>Anomaly</v>
      </c>
      <c r="R253" s="5">
        <f>SUMIFS(Table4[BudgetAmount],Table4[ActualExpense],"pending")</f>
        <v>0</v>
      </c>
    </row>
    <row r="254" spans="1:18">
      <c r="A254" t="s">
        <v>525</v>
      </c>
      <c r="B254" t="s">
        <v>526</v>
      </c>
      <c r="C254" t="s">
        <v>25</v>
      </c>
      <c r="D254" t="s">
        <v>40</v>
      </c>
      <c r="E254" t="s">
        <v>17</v>
      </c>
      <c r="F254" t="s">
        <v>18</v>
      </c>
      <c r="G254" s="2">
        <v>183627</v>
      </c>
      <c r="H254" s="1">
        <v>194767</v>
      </c>
      <c r="I254">
        <v>11140</v>
      </c>
      <c r="J254" t="s">
        <v>19</v>
      </c>
      <c r="K254" t="s">
        <v>20</v>
      </c>
      <c r="L254" t="s">
        <v>68</v>
      </c>
      <c r="M254" t="s">
        <v>22</v>
      </c>
      <c r="N254" s="5">
        <f>Table4[[#This Row],[BudgetAmount]]/Table4[[#This Row],[Variance]]</f>
        <v>16.483572710951528</v>
      </c>
      <c r="O254" s="5" t="str">
        <f>TEXT(Table4[[#This Row],[Date]],"mmm")</f>
        <v>Jul</v>
      </c>
      <c r="P254" s="5">
        <f>ABS(Table4[[#This Row],[Variance]])</f>
        <v>11140</v>
      </c>
      <c r="Q254" s="5" t="str">
        <f>IF(Table4[[#This Row],[AB Variances ]]&gt;$P$2,"Anomaly","Normal")</f>
        <v>Normal</v>
      </c>
      <c r="R254" s="5">
        <f>SUMIFS(Table4[BudgetAmount],Table4[ActualExpense],"pending")</f>
        <v>0</v>
      </c>
    </row>
    <row r="255" spans="1:18">
      <c r="A255" t="s">
        <v>527</v>
      </c>
      <c r="B255" t="s">
        <v>528</v>
      </c>
      <c r="C255" t="s">
        <v>33</v>
      </c>
      <c r="D255" t="s">
        <v>61</v>
      </c>
      <c r="E255" t="s">
        <v>27</v>
      </c>
      <c r="F255" t="s">
        <v>28</v>
      </c>
      <c r="G255" s="2">
        <v>98720</v>
      </c>
      <c r="H255" s="1">
        <v>109960</v>
      </c>
      <c r="I255">
        <v>11240</v>
      </c>
      <c r="J255" t="s">
        <v>19</v>
      </c>
      <c r="K255" t="s">
        <v>67</v>
      </c>
      <c r="L255" t="s">
        <v>21</v>
      </c>
      <c r="M255" t="s">
        <v>22</v>
      </c>
      <c r="N255" s="5">
        <f>Table4[[#This Row],[BudgetAmount]]/Table4[[#This Row],[Variance]]</f>
        <v>8.7829181494661928</v>
      </c>
      <c r="O255" s="5" t="str">
        <f>TEXT(Table4[[#This Row],[Date]],"mmm")</f>
        <v>Feb</v>
      </c>
      <c r="P255" s="5">
        <f>ABS(Table4[[#This Row],[Variance]])</f>
        <v>11240</v>
      </c>
      <c r="Q255" s="5" t="str">
        <f>IF(Table4[[#This Row],[AB Variances ]]&gt;$P$2,"Anomaly","Normal")</f>
        <v>Normal</v>
      </c>
      <c r="R255" s="5">
        <f>SUMIFS(Table4[BudgetAmount],Table4[ActualExpense],"pending")</f>
        <v>0</v>
      </c>
    </row>
    <row r="256" spans="1:18">
      <c r="A256" t="s">
        <v>529</v>
      </c>
      <c r="B256" t="s">
        <v>308</v>
      </c>
      <c r="C256" t="s">
        <v>64</v>
      </c>
      <c r="D256" t="s">
        <v>26</v>
      </c>
      <c r="E256" t="s">
        <v>71</v>
      </c>
      <c r="F256" t="s">
        <v>72</v>
      </c>
      <c r="G256" s="2">
        <v>269791</v>
      </c>
      <c r="H256" s="1">
        <v>225567</v>
      </c>
      <c r="I256">
        <v>-44224</v>
      </c>
      <c r="J256" t="s">
        <v>54</v>
      </c>
      <c r="K256" t="s">
        <v>67</v>
      </c>
      <c r="L256" t="s">
        <v>49</v>
      </c>
      <c r="M256" t="s">
        <v>42</v>
      </c>
      <c r="N256" s="5">
        <f>Table4[[#This Row],[BudgetAmount]]/Table4[[#This Row],[Variance]]</f>
        <v>-6.1005562590448621</v>
      </c>
      <c r="O256" s="5" t="str">
        <f>TEXT(Table4[[#This Row],[Date]],"mmm")</f>
        <v>Jun</v>
      </c>
      <c r="P256" s="5">
        <f>ABS(Table4[[#This Row],[Variance]])</f>
        <v>44224</v>
      </c>
      <c r="Q256" s="5" t="str">
        <f>IF(Table4[[#This Row],[AB Variances ]]&gt;$P$2,"Anomaly","Normal")</f>
        <v>Anomaly</v>
      </c>
      <c r="R256" s="5">
        <f>SUMIFS(Table4[BudgetAmount],Table4[ActualExpense],"pending")</f>
        <v>0</v>
      </c>
    </row>
    <row r="257" spans="1:18">
      <c r="A257" t="s">
        <v>530</v>
      </c>
      <c r="B257" t="s">
        <v>531</v>
      </c>
      <c r="C257" t="s">
        <v>15</v>
      </c>
      <c r="D257" t="s">
        <v>61</v>
      </c>
      <c r="E257" t="s">
        <v>85</v>
      </c>
      <c r="F257" t="s">
        <v>86</v>
      </c>
      <c r="G257" s="2">
        <v>428169</v>
      </c>
      <c r="H257" s="1">
        <v>342077</v>
      </c>
      <c r="I257">
        <v>-86092</v>
      </c>
      <c r="J257" t="s">
        <v>19</v>
      </c>
      <c r="K257" t="s">
        <v>29</v>
      </c>
      <c r="L257" t="s">
        <v>21</v>
      </c>
      <c r="M257" t="s">
        <v>42</v>
      </c>
      <c r="N257" s="5">
        <f>Table4[[#This Row],[BudgetAmount]]/Table4[[#This Row],[Variance]]</f>
        <v>-4.9733889327695957</v>
      </c>
      <c r="O257" s="5" t="str">
        <f>TEXT(Table4[[#This Row],[Date]],"mmm")</f>
        <v>Sep</v>
      </c>
      <c r="P257" s="5">
        <f>ABS(Table4[[#This Row],[Variance]])</f>
        <v>86092</v>
      </c>
      <c r="Q257" s="5" t="str">
        <f>IF(Table4[[#This Row],[AB Variances ]]&gt;$P$2,"Anomaly","Normal")</f>
        <v>Anomaly</v>
      </c>
      <c r="R257" s="5">
        <f>SUMIFS(Table4[BudgetAmount],Table4[ActualExpense],"pending")</f>
        <v>0</v>
      </c>
    </row>
    <row r="258" spans="1:18">
      <c r="A258" t="s">
        <v>532</v>
      </c>
      <c r="B258" t="s">
        <v>533</v>
      </c>
      <c r="C258" t="s">
        <v>64</v>
      </c>
      <c r="D258" t="s">
        <v>34</v>
      </c>
      <c r="E258" t="s">
        <v>27</v>
      </c>
      <c r="F258" t="s">
        <v>28</v>
      </c>
      <c r="G258" s="2">
        <v>189915</v>
      </c>
      <c r="H258" s="1">
        <v>198982</v>
      </c>
      <c r="I258">
        <v>9067</v>
      </c>
      <c r="J258" t="s">
        <v>19</v>
      </c>
      <c r="K258" t="s">
        <v>67</v>
      </c>
      <c r="L258" t="s">
        <v>21</v>
      </c>
      <c r="M258" t="s">
        <v>42</v>
      </c>
      <c r="N258" s="5">
        <f>Table4[[#This Row],[BudgetAmount]]/Table4[[#This Row],[Variance]]</f>
        <v>20.945737289070255</v>
      </c>
      <c r="O258" s="5" t="str">
        <f>TEXT(Table4[[#This Row],[Date]],"mmm")</f>
        <v>Apr</v>
      </c>
      <c r="P258" s="5">
        <f>ABS(Table4[[#This Row],[Variance]])</f>
        <v>9067</v>
      </c>
      <c r="Q258" s="5" t="str">
        <f>IF(Table4[[#This Row],[AB Variances ]]&gt;$P$2,"Anomaly","Normal")</f>
        <v>Normal</v>
      </c>
      <c r="R258" s="5">
        <f>SUMIFS(Table4[BudgetAmount],Table4[ActualExpense],"pending")</f>
        <v>0</v>
      </c>
    </row>
    <row r="259" spans="1:18">
      <c r="A259" t="s">
        <v>534</v>
      </c>
      <c r="B259" t="s">
        <v>391</v>
      </c>
      <c r="C259" t="s">
        <v>35</v>
      </c>
      <c r="D259" t="s">
        <v>61</v>
      </c>
      <c r="E259" t="s">
        <v>46</v>
      </c>
      <c r="F259" t="s">
        <v>47</v>
      </c>
      <c r="G259" s="2">
        <v>168260</v>
      </c>
      <c r="H259" s="1">
        <v>176620</v>
      </c>
      <c r="I259">
        <v>8360</v>
      </c>
      <c r="J259" t="s">
        <v>37</v>
      </c>
      <c r="K259" t="s">
        <v>29</v>
      </c>
      <c r="L259" t="s">
        <v>49</v>
      </c>
      <c r="M259" t="s">
        <v>22</v>
      </c>
      <c r="N259" s="5">
        <f>Table4[[#This Row],[BudgetAmount]]/Table4[[#This Row],[Variance]]</f>
        <v>20.126794258373206</v>
      </c>
      <c r="O259" s="5" t="str">
        <f>TEXT(Table4[[#This Row],[Date]],"mmm")</f>
        <v>Aug</v>
      </c>
      <c r="P259" s="5">
        <f>ABS(Table4[[#This Row],[Variance]])</f>
        <v>8360</v>
      </c>
      <c r="Q259" s="5" t="str">
        <f>IF(Table4[[#This Row],[AB Variances ]]&gt;$P$2,"Anomaly","Normal")</f>
        <v>Normal</v>
      </c>
      <c r="R259" s="5">
        <f>SUMIFS(Table4[BudgetAmount],Table4[ActualExpense],"pending")</f>
        <v>0</v>
      </c>
    </row>
    <row r="260" spans="1:18">
      <c r="A260" t="s">
        <v>535</v>
      </c>
      <c r="B260" t="s">
        <v>536</v>
      </c>
      <c r="C260" t="s">
        <v>33</v>
      </c>
      <c r="D260" t="s">
        <v>26</v>
      </c>
      <c r="E260" t="s">
        <v>46</v>
      </c>
      <c r="F260" t="s">
        <v>47</v>
      </c>
      <c r="G260" s="2">
        <v>101953</v>
      </c>
      <c r="H260" s="1">
        <v>116659</v>
      </c>
      <c r="I260">
        <v>14706</v>
      </c>
      <c r="J260" t="s">
        <v>54</v>
      </c>
      <c r="K260" t="s">
        <v>41</v>
      </c>
      <c r="L260" t="s">
        <v>49</v>
      </c>
      <c r="M260" t="s">
        <v>22</v>
      </c>
      <c r="N260" s="5">
        <f>Table4[[#This Row],[BudgetAmount]]/Table4[[#This Row],[Variance]]</f>
        <v>6.9327485380116958</v>
      </c>
      <c r="O260" s="5" t="str">
        <f>TEXT(Table4[[#This Row],[Date]],"mmm")</f>
        <v>May</v>
      </c>
      <c r="P260" s="5">
        <f>ABS(Table4[[#This Row],[Variance]])</f>
        <v>14706</v>
      </c>
      <c r="Q260" s="5" t="str">
        <f>IF(Table4[[#This Row],[AB Variances ]]&gt;$P$2,"Anomaly","Normal")</f>
        <v>Normal</v>
      </c>
      <c r="R260" s="5">
        <f>SUMIFS(Table4[BudgetAmount],Table4[ActualExpense],"pending")</f>
        <v>0</v>
      </c>
    </row>
    <row r="261" spans="1:18">
      <c r="A261" t="s">
        <v>537</v>
      </c>
      <c r="B261" t="s">
        <v>538</v>
      </c>
      <c r="C261" t="s">
        <v>33</v>
      </c>
      <c r="D261" t="s">
        <v>40</v>
      </c>
      <c r="E261" t="s">
        <v>17</v>
      </c>
      <c r="F261" t="s">
        <v>18</v>
      </c>
      <c r="G261" s="2">
        <v>238394</v>
      </c>
      <c r="H261" s="1">
        <v>193466</v>
      </c>
      <c r="I261">
        <v>-44928</v>
      </c>
      <c r="J261" t="s">
        <v>19</v>
      </c>
      <c r="K261" t="s">
        <v>41</v>
      </c>
      <c r="L261" t="s">
        <v>30</v>
      </c>
      <c r="M261" t="s">
        <v>22</v>
      </c>
      <c r="N261" s="5">
        <f>Table4[[#This Row],[BudgetAmount]]/Table4[[#This Row],[Variance]]</f>
        <v>-5.3061342592592595</v>
      </c>
      <c r="O261" s="5" t="str">
        <f>TEXT(Table4[[#This Row],[Date]],"mmm")</f>
        <v>Oct</v>
      </c>
      <c r="P261" s="5">
        <f>ABS(Table4[[#This Row],[Variance]])</f>
        <v>44928</v>
      </c>
      <c r="Q261" s="5" t="str">
        <f>IF(Table4[[#This Row],[AB Variances ]]&gt;$P$2,"Anomaly","Normal")</f>
        <v>Anomaly</v>
      </c>
      <c r="R261" s="5">
        <f>SUMIFS(Table4[BudgetAmount],Table4[ActualExpense],"pending")</f>
        <v>0</v>
      </c>
    </row>
    <row r="262" spans="1:18">
      <c r="A262" t="s">
        <v>539</v>
      </c>
      <c r="B262" t="s">
        <v>540</v>
      </c>
      <c r="C262" t="s">
        <v>33</v>
      </c>
      <c r="D262" t="s">
        <v>40</v>
      </c>
      <c r="E262" t="s">
        <v>27</v>
      </c>
      <c r="F262" t="s">
        <v>28</v>
      </c>
      <c r="G262" s="2">
        <v>238516</v>
      </c>
      <c r="H262" s="1">
        <v>230833</v>
      </c>
      <c r="I262">
        <v>-7683</v>
      </c>
      <c r="J262" t="s">
        <v>37</v>
      </c>
      <c r="K262" t="s">
        <v>41</v>
      </c>
      <c r="L262" t="s">
        <v>21</v>
      </c>
      <c r="M262" t="s">
        <v>42</v>
      </c>
      <c r="N262" s="5">
        <f>Table4[[#This Row],[BudgetAmount]]/Table4[[#This Row],[Variance]]</f>
        <v>-31.044644019263309</v>
      </c>
      <c r="O262" s="5" t="str">
        <f>TEXT(Table4[[#This Row],[Date]],"mmm")</f>
        <v>Feb</v>
      </c>
      <c r="P262" s="5">
        <f>ABS(Table4[[#This Row],[Variance]])</f>
        <v>7683</v>
      </c>
      <c r="Q262" s="5" t="str">
        <f>IF(Table4[[#This Row],[AB Variances ]]&gt;$P$2,"Anomaly","Normal")</f>
        <v>Normal</v>
      </c>
      <c r="R262" s="5">
        <f>SUMIFS(Table4[BudgetAmount],Table4[ActualExpense],"pending")</f>
        <v>0</v>
      </c>
    </row>
    <row r="263" spans="1:18">
      <c r="A263" t="s">
        <v>541</v>
      </c>
      <c r="B263" t="s">
        <v>542</v>
      </c>
      <c r="C263" t="s">
        <v>64</v>
      </c>
      <c r="D263" t="s">
        <v>16</v>
      </c>
      <c r="E263" t="s">
        <v>85</v>
      </c>
      <c r="F263" t="s">
        <v>86</v>
      </c>
      <c r="G263" s="2">
        <v>230904</v>
      </c>
      <c r="H263" s="1">
        <v>175100</v>
      </c>
      <c r="I263">
        <v>-55804</v>
      </c>
      <c r="J263" t="s">
        <v>37</v>
      </c>
      <c r="K263" t="s">
        <v>41</v>
      </c>
      <c r="L263" t="s">
        <v>68</v>
      </c>
      <c r="M263" t="s">
        <v>42</v>
      </c>
      <c r="N263" s="5">
        <f>Table4[[#This Row],[BudgetAmount]]/Table4[[#This Row],[Variance]]</f>
        <v>-4.1377679019425129</v>
      </c>
      <c r="O263" s="5" t="str">
        <f>TEXT(Table4[[#This Row],[Date]],"mmm")</f>
        <v>Mar</v>
      </c>
      <c r="P263" s="5">
        <f>ABS(Table4[[#This Row],[Variance]])</f>
        <v>55804</v>
      </c>
      <c r="Q263" s="5" t="str">
        <f>IF(Table4[[#This Row],[AB Variances ]]&gt;$P$2,"Anomaly","Normal")</f>
        <v>Anomaly</v>
      </c>
      <c r="R263" s="5">
        <f>SUMIFS(Table4[BudgetAmount],Table4[ActualExpense],"pending")</f>
        <v>0</v>
      </c>
    </row>
    <row r="264" spans="1:18">
      <c r="A264" t="s">
        <v>543</v>
      </c>
      <c r="B264" t="s">
        <v>544</v>
      </c>
      <c r="C264" t="s">
        <v>35</v>
      </c>
      <c r="D264" t="s">
        <v>26</v>
      </c>
      <c r="E264" t="s">
        <v>71</v>
      </c>
      <c r="F264" t="s">
        <v>72</v>
      </c>
      <c r="G264" s="2">
        <v>68288</v>
      </c>
      <c r="H264" s="1">
        <v>51042</v>
      </c>
      <c r="I264">
        <v>-17246</v>
      </c>
      <c r="J264" t="s">
        <v>19</v>
      </c>
      <c r="K264" t="s">
        <v>67</v>
      </c>
      <c r="L264" t="s">
        <v>68</v>
      </c>
      <c r="M264" t="s">
        <v>22</v>
      </c>
      <c r="N264" s="5">
        <f>Table4[[#This Row],[BudgetAmount]]/Table4[[#This Row],[Variance]]</f>
        <v>-3.9596428157253856</v>
      </c>
      <c r="O264" s="5" t="str">
        <f>TEXT(Table4[[#This Row],[Date]],"mmm")</f>
        <v>Sep</v>
      </c>
      <c r="P264" s="5">
        <f>ABS(Table4[[#This Row],[Variance]])</f>
        <v>17246</v>
      </c>
      <c r="Q264" s="5" t="str">
        <f>IF(Table4[[#This Row],[AB Variances ]]&gt;$P$2,"Anomaly","Normal")</f>
        <v>Anomaly</v>
      </c>
      <c r="R264" s="5">
        <f>SUMIFS(Table4[BudgetAmount],Table4[ActualExpense],"pending")</f>
        <v>0</v>
      </c>
    </row>
    <row r="265" spans="1:18">
      <c r="A265" t="s">
        <v>545</v>
      </c>
      <c r="B265" t="s">
        <v>546</v>
      </c>
      <c r="C265" t="s">
        <v>25</v>
      </c>
      <c r="D265" t="s">
        <v>26</v>
      </c>
      <c r="E265" t="s">
        <v>85</v>
      </c>
      <c r="F265" t="s">
        <v>86</v>
      </c>
      <c r="G265" s="2">
        <v>53897</v>
      </c>
      <c r="H265" s="1">
        <v>66142</v>
      </c>
      <c r="I265">
        <v>12245</v>
      </c>
      <c r="J265" t="s">
        <v>19</v>
      </c>
      <c r="K265" t="s">
        <v>20</v>
      </c>
      <c r="L265" t="s">
        <v>68</v>
      </c>
      <c r="M265" t="s">
        <v>42</v>
      </c>
      <c r="N265" s="5">
        <f>Table4[[#This Row],[BudgetAmount]]/Table4[[#This Row],[Variance]]</f>
        <v>4.4015516537362185</v>
      </c>
      <c r="O265" s="5" t="str">
        <f>TEXT(Table4[[#This Row],[Date]],"mmm")</f>
        <v>Mar</v>
      </c>
      <c r="P265" s="5">
        <f>ABS(Table4[[#This Row],[Variance]])</f>
        <v>12245</v>
      </c>
      <c r="Q265" s="5" t="str">
        <f>IF(Table4[[#This Row],[AB Variances ]]&gt;$P$2,"Anomaly","Normal")</f>
        <v>Normal</v>
      </c>
      <c r="R265" s="5">
        <f>SUMIFS(Table4[BudgetAmount],Table4[ActualExpense],"pending")</f>
        <v>0</v>
      </c>
    </row>
    <row r="266" spans="1:18">
      <c r="A266" t="s">
        <v>547</v>
      </c>
      <c r="B266" t="s">
        <v>548</v>
      </c>
      <c r="C266" t="s">
        <v>25</v>
      </c>
      <c r="D266" t="s">
        <v>34</v>
      </c>
      <c r="E266" t="s">
        <v>46</v>
      </c>
      <c r="F266" t="s">
        <v>47</v>
      </c>
      <c r="G266" s="2">
        <v>123460</v>
      </c>
      <c r="H266" s="1">
        <v>109423</v>
      </c>
      <c r="I266">
        <v>-14037</v>
      </c>
      <c r="J266" t="s">
        <v>37</v>
      </c>
      <c r="K266" t="s">
        <v>48</v>
      </c>
      <c r="L266" t="s">
        <v>68</v>
      </c>
      <c r="M266" t="s">
        <v>22</v>
      </c>
      <c r="N266" s="5">
        <f>Table4[[#This Row],[BudgetAmount]]/Table4[[#This Row],[Variance]]</f>
        <v>-8.7953266367457434</v>
      </c>
      <c r="O266" s="5" t="str">
        <f>TEXT(Table4[[#This Row],[Date]],"mmm")</f>
        <v>Mar</v>
      </c>
      <c r="P266" s="5">
        <f>ABS(Table4[[#This Row],[Variance]])</f>
        <v>14037</v>
      </c>
      <c r="Q266" s="5" t="str">
        <f>IF(Table4[[#This Row],[AB Variances ]]&gt;$P$2,"Anomaly","Normal")</f>
        <v>Normal</v>
      </c>
      <c r="R266" s="5">
        <f>SUMIFS(Table4[BudgetAmount],Table4[ActualExpense],"pending")</f>
        <v>0</v>
      </c>
    </row>
    <row r="267" spans="1:18">
      <c r="A267" t="s">
        <v>549</v>
      </c>
      <c r="B267" t="s">
        <v>550</v>
      </c>
      <c r="C267" t="s">
        <v>45</v>
      </c>
      <c r="D267" t="s">
        <v>16</v>
      </c>
      <c r="E267" t="s">
        <v>85</v>
      </c>
      <c r="F267" t="s">
        <v>86</v>
      </c>
      <c r="G267" s="2">
        <v>70812</v>
      </c>
      <c r="H267" s="1">
        <v>94327</v>
      </c>
      <c r="I267">
        <v>23515</v>
      </c>
      <c r="J267" t="s">
        <v>37</v>
      </c>
      <c r="K267" t="s">
        <v>29</v>
      </c>
      <c r="L267" t="s">
        <v>68</v>
      </c>
      <c r="M267" t="s">
        <v>22</v>
      </c>
      <c r="N267" s="5">
        <f>Table4[[#This Row],[BudgetAmount]]/Table4[[#This Row],[Variance]]</f>
        <v>3.0113544546034445</v>
      </c>
      <c r="O267" s="5" t="str">
        <f>TEXT(Table4[[#This Row],[Date]],"mmm")</f>
        <v>Feb</v>
      </c>
      <c r="P267" s="5">
        <f>ABS(Table4[[#This Row],[Variance]])</f>
        <v>23515</v>
      </c>
      <c r="Q267" s="5" t="str">
        <f>IF(Table4[[#This Row],[AB Variances ]]&gt;$P$2,"Anomaly","Normal")</f>
        <v>Anomaly</v>
      </c>
      <c r="R267" s="5">
        <f>SUMIFS(Table4[BudgetAmount],Table4[ActualExpense],"pending")</f>
        <v>0</v>
      </c>
    </row>
    <row r="268" spans="1:18">
      <c r="A268" t="s">
        <v>551</v>
      </c>
      <c r="B268" t="s">
        <v>552</v>
      </c>
      <c r="C268" t="s">
        <v>35</v>
      </c>
      <c r="D268" t="s">
        <v>26</v>
      </c>
      <c r="E268" t="s">
        <v>27</v>
      </c>
      <c r="F268" t="s">
        <v>28</v>
      </c>
      <c r="G268" s="2">
        <v>328844</v>
      </c>
      <c r="H268" s="1">
        <v>295162</v>
      </c>
      <c r="I268">
        <v>-33682</v>
      </c>
      <c r="J268" t="s">
        <v>54</v>
      </c>
      <c r="K268" t="s">
        <v>29</v>
      </c>
      <c r="L268" t="s">
        <v>49</v>
      </c>
      <c r="M268" t="s">
        <v>42</v>
      </c>
      <c r="N268" s="5">
        <f>Table4[[#This Row],[BudgetAmount]]/Table4[[#This Row],[Variance]]</f>
        <v>-9.7631969598004869</v>
      </c>
      <c r="O268" s="5" t="str">
        <f>TEXT(Table4[[#This Row],[Date]],"mmm")</f>
        <v>Jan</v>
      </c>
      <c r="P268" s="5">
        <f>ABS(Table4[[#This Row],[Variance]])</f>
        <v>33682</v>
      </c>
      <c r="Q268" s="5" t="str">
        <f>IF(Table4[[#This Row],[AB Variances ]]&gt;$P$2,"Anomaly","Normal")</f>
        <v>Anomaly</v>
      </c>
      <c r="R268" s="5">
        <f>SUMIFS(Table4[BudgetAmount],Table4[ActualExpense],"pending")</f>
        <v>0</v>
      </c>
    </row>
    <row r="269" spans="1:18">
      <c r="A269" t="s">
        <v>553</v>
      </c>
      <c r="B269" t="s">
        <v>554</v>
      </c>
      <c r="C269" t="s">
        <v>15</v>
      </c>
      <c r="D269" t="s">
        <v>16</v>
      </c>
      <c r="E269" t="s">
        <v>27</v>
      </c>
      <c r="F269" t="s">
        <v>28</v>
      </c>
      <c r="G269" s="2">
        <v>429345</v>
      </c>
      <c r="H269" s="1">
        <v>473758</v>
      </c>
      <c r="I269">
        <v>44413</v>
      </c>
      <c r="J269" t="s">
        <v>37</v>
      </c>
      <c r="K269" t="s">
        <v>20</v>
      </c>
      <c r="L269" t="s">
        <v>21</v>
      </c>
      <c r="M269" t="s">
        <v>42</v>
      </c>
      <c r="N269" s="5">
        <f>Table4[[#This Row],[BudgetAmount]]/Table4[[#This Row],[Variance]]</f>
        <v>9.6671019746470623</v>
      </c>
      <c r="O269" s="5" t="str">
        <f>TEXT(Table4[[#This Row],[Date]],"mmm")</f>
        <v>Apr</v>
      </c>
      <c r="P269" s="5">
        <f>ABS(Table4[[#This Row],[Variance]])</f>
        <v>44413</v>
      </c>
      <c r="Q269" s="5" t="str">
        <f>IF(Table4[[#This Row],[AB Variances ]]&gt;$P$2,"Anomaly","Normal")</f>
        <v>Anomaly</v>
      </c>
      <c r="R269" s="5">
        <f>SUMIFS(Table4[BudgetAmount],Table4[ActualExpense],"pending")</f>
        <v>0</v>
      </c>
    </row>
    <row r="270" spans="1:18">
      <c r="A270" t="s">
        <v>555</v>
      </c>
      <c r="B270" t="s">
        <v>556</v>
      </c>
      <c r="C270" t="s">
        <v>64</v>
      </c>
      <c r="D270" t="s">
        <v>40</v>
      </c>
      <c r="E270" t="s">
        <v>71</v>
      </c>
      <c r="F270" t="s">
        <v>72</v>
      </c>
      <c r="G270" s="2">
        <v>477480</v>
      </c>
      <c r="H270" s="1">
        <v>353267</v>
      </c>
      <c r="I270">
        <v>-124213</v>
      </c>
      <c r="J270" t="s">
        <v>54</v>
      </c>
      <c r="K270" t="s">
        <v>20</v>
      </c>
      <c r="L270" t="s">
        <v>21</v>
      </c>
      <c r="M270" t="s">
        <v>42</v>
      </c>
      <c r="N270" s="5">
        <f>Table4[[#This Row],[BudgetAmount]]/Table4[[#This Row],[Variance]]</f>
        <v>-3.8440420889922957</v>
      </c>
      <c r="O270" s="5" t="str">
        <f>TEXT(Table4[[#This Row],[Date]],"mmm")</f>
        <v>Apr</v>
      </c>
      <c r="P270" s="5">
        <f>ABS(Table4[[#This Row],[Variance]])</f>
        <v>124213</v>
      </c>
      <c r="Q270" s="5" t="str">
        <f>IF(Table4[[#This Row],[AB Variances ]]&gt;$P$2,"Anomaly","Normal")</f>
        <v>Anomaly</v>
      </c>
      <c r="R270" s="5">
        <f>SUMIFS(Table4[BudgetAmount],Table4[ActualExpense],"pending")</f>
        <v>0</v>
      </c>
    </row>
    <row r="271" spans="1:18">
      <c r="A271" t="s">
        <v>557</v>
      </c>
      <c r="B271" t="s">
        <v>202</v>
      </c>
      <c r="C271" t="s">
        <v>15</v>
      </c>
      <c r="D271" t="s">
        <v>34</v>
      </c>
      <c r="E271" t="s">
        <v>17</v>
      </c>
      <c r="F271" t="s">
        <v>18</v>
      </c>
      <c r="G271" s="2">
        <v>214750</v>
      </c>
      <c r="H271" s="1">
        <v>242031</v>
      </c>
      <c r="I271">
        <v>27281</v>
      </c>
      <c r="J271" t="s">
        <v>37</v>
      </c>
      <c r="K271" t="s">
        <v>29</v>
      </c>
      <c r="L271" t="s">
        <v>21</v>
      </c>
      <c r="M271" t="s">
        <v>22</v>
      </c>
      <c r="N271" s="5">
        <f>Table4[[#This Row],[BudgetAmount]]/Table4[[#This Row],[Variance]]</f>
        <v>7.8717788937355673</v>
      </c>
      <c r="O271" s="5" t="str">
        <f>TEXT(Table4[[#This Row],[Date]],"mmm")</f>
        <v>Sep</v>
      </c>
      <c r="P271" s="5">
        <f>ABS(Table4[[#This Row],[Variance]])</f>
        <v>27281</v>
      </c>
      <c r="Q271" s="5" t="str">
        <f>IF(Table4[[#This Row],[AB Variances ]]&gt;$P$2,"Anomaly","Normal")</f>
        <v>Anomaly</v>
      </c>
      <c r="R271" s="5">
        <f>SUMIFS(Table4[BudgetAmount],Table4[ActualExpense],"pending")</f>
        <v>0</v>
      </c>
    </row>
    <row r="272" spans="1:18">
      <c r="A272" t="s">
        <v>558</v>
      </c>
      <c r="B272" t="s">
        <v>559</v>
      </c>
      <c r="C272" t="s">
        <v>15</v>
      </c>
      <c r="D272" t="s">
        <v>34</v>
      </c>
      <c r="E272" t="s">
        <v>46</v>
      </c>
      <c r="F272" t="s">
        <v>47</v>
      </c>
      <c r="G272" s="2">
        <v>470286</v>
      </c>
      <c r="H272" s="1">
        <v>451211</v>
      </c>
      <c r="I272">
        <v>-19075</v>
      </c>
      <c r="J272" t="s">
        <v>54</v>
      </c>
      <c r="K272" t="s">
        <v>48</v>
      </c>
      <c r="L272" t="s">
        <v>30</v>
      </c>
      <c r="M272" t="s">
        <v>42</v>
      </c>
      <c r="N272" s="5">
        <f>Table4[[#This Row],[BudgetAmount]]/Table4[[#This Row],[Variance]]</f>
        <v>-24.654574049803408</v>
      </c>
      <c r="O272" s="5" t="str">
        <f>TEXT(Table4[[#This Row],[Date]],"mmm")</f>
        <v>Jun</v>
      </c>
      <c r="P272" s="5">
        <f>ABS(Table4[[#This Row],[Variance]])</f>
        <v>19075</v>
      </c>
      <c r="Q272" s="5" t="str">
        <f>IF(Table4[[#This Row],[AB Variances ]]&gt;$P$2,"Anomaly","Normal")</f>
        <v>Anomaly</v>
      </c>
      <c r="R272" s="5">
        <f>SUMIFS(Table4[BudgetAmount],Table4[ActualExpense],"pending")</f>
        <v>0</v>
      </c>
    </row>
    <row r="273" spans="1:18">
      <c r="A273" t="s">
        <v>560</v>
      </c>
      <c r="B273" t="s">
        <v>561</v>
      </c>
      <c r="C273" t="s">
        <v>25</v>
      </c>
      <c r="D273" t="s">
        <v>34</v>
      </c>
      <c r="E273" t="s">
        <v>27</v>
      </c>
      <c r="F273" t="s">
        <v>28</v>
      </c>
      <c r="G273" s="2">
        <v>226019</v>
      </c>
      <c r="H273" s="1">
        <v>193969</v>
      </c>
      <c r="I273">
        <v>-32050</v>
      </c>
      <c r="J273" t="s">
        <v>19</v>
      </c>
      <c r="K273" t="s">
        <v>67</v>
      </c>
      <c r="L273" t="s">
        <v>49</v>
      </c>
      <c r="M273" t="s">
        <v>22</v>
      </c>
      <c r="N273" s="5">
        <f>Table4[[#This Row],[BudgetAmount]]/Table4[[#This Row],[Variance]]</f>
        <v>-7.0520748829953197</v>
      </c>
      <c r="O273" s="5" t="str">
        <f>TEXT(Table4[[#This Row],[Date]],"mmm")</f>
        <v>Feb</v>
      </c>
      <c r="P273" s="5">
        <f>ABS(Table4[[#This Row],[Variance]])</f>
        <v>32050</v>
      </c>
      <c r="Q273" s="5" t="str">
        <f>IF(Table4[[#This Row],[AB Variances ]]&gt;$P$2,"Anomaly","Normal")</f>
        <v>Anomaly</v>
      </c>
      <c r="R273" s="5">
        <f>SUMIFS(Table4[BudgetAmount],Table4[ActualExpense],"pending")</f>
        <v>0</v>
      </c>
    </row>
    <row r="274" spans="1:18">
      <c r="A274" t="s">
        <v>562</v>
      </c>
      <c r="B274" t="s">
        <v>473</v>
      </c>
      <c r="C274" t="s">
        <v>64</v>
      </c>
      <c r="D274" t="s">
        <v>26</v>
      </c>
      <c r="E274" t="s">
        <v>27</v>
      </c>
      <c r="F274" t="s">
        <v>28</v>
      </c>
      <c r="G274" s="2">
        <v>391070</v>
      </c>
      <c r="H274" s="1">
        <v>364508</v>
      </c>
      <c r="I274">
        <v>-26562</v>
      </c>
      <c r="J274" t="s">
        <v>19</v>
      </c>
      <c r="K274" t="s">
        <v>29</v>
      </c>
      <c r="L274" t="s">
        <v>68</v>
      </c>
      <c r="M274" t="s">
        <v>22</v>
      </c>
      <c r="N274" s="5">
        <f>Table4[[#This Row],[BudgetAmount]]/Table4[[#This Row],[Variance]]</f>
        <v>-14.722912431292825</v>
      </c>
      <c r="O274" s="5" t="str">
        <f>TEXT(Table4[[#This Row],[Date]],"mmm")</f>
        <v>Aug</v>
      </c>
      <c r="P274" s="5">
        <f>ABS(Table4[[#This Row],[Variance]])</f>
        <v>26562</v>
      </c>
      <c r="Q274" s="5" t="str">
        <f>IF(Table4[[#This Row],[AB Variances ]]&gt;$P$2,"Anomaly","Normal")</f>
        <v>Anomaly</v>
      </c>
      <c r="R274" s="5">
        <f>SUMIFS(Table4[BudgetAmount],Table4[ActualExpense],"pending")</f>
        <v>0</v>
      </c>
    </row>
    <row r="275" spans="1:18">
      <c r="A275" t="s">
        <v>563</v>
      </c>
      <c r="B275" t="s">
        <v>564</v>
      </c>
      <c r="C275" t="s">
        <v>64</v>
      </c>
      <c r="D275" t="s">
        <v>16</v>
      </c>
      <c r="E275" t="s">
        <v>17</v>
      </c>
      <c r="F275" t="s">
        <v>18</v>
      </c>
      <c r="G275" s="2">
        <v>60719</v>
      </c>
      <c r="H275" s="1">
        <v>77160</v>
      </c>
      <c r="I275">
        <v>16441</v>
      </c>
      <c r="J275" t="s">
        <v>54</v>
      </c>
      <c r="K275" t="s">
        <v>41</v>
      </c>
      <c r="L275" t="s">
        <v>21</v>
      </c>
      <c r="M275" t="s">
        <v>22</v>
      </c>
      <c r="N275" s="5">
        <f>Table4[[#This Row],[BudgetAmount]]/Table4[[#This Row],[Variance]]</f>
        <v>3.6931451858159479</v>
      </c>
      <c r="O275" s="5" t="str">
        <f>TEXT(Table4[[#This Row],[Date]],"mmm")</f>
        <v>Jun</v>
      </c>
      <c r="P275" s="5">
        <f>ABS(Table4[[#This Row],[Variance]])</f>
        <v>16441</v>
      </c>
      <c r="Q275" s="5" t="str">
        <f>IF(Table4[[#This Row],[AB Variances ]]&gt;$P$2,"Anomaly","Normal")</f>
        <v>Normal</v>
      </c>
      <c r="R275" s="5">
        <f>SUMIFS(Table4[BudgetAmount],Table4[ActualExpense],"pending")</f>
        <v>0</v>
      </c>
    </row>
    <row r="276" spans="1:18">
      <c r="A276" t="s">
        <v>565</v>
      </c>
      <c r="B276" t="s">
        <v>566</v>
      </c>
      <c r="C276" t="s">
        <v>33</v>
      </c>
      <c r="D276" t="s">
        <v>26</v>
      </c>
      <c r="E276" t="s">
        <v>27</v>
      </c>
      <c r="F276" t="s">
        <v>28</v>
      </c>
      <c r="G276" s="2">
        <v>186234</v>
      </c>
      <c r="H276" s="1">
        <v>138393</v>
      </c>
      <c r="I276">
        <v>-47841</v>
      </c>
      <c r="J276" t="s">
        <v>54</v>
      </c>
      <c r="K276" t="s">
        <v>48</v>
      </c>
      <c r="L276" t="s">
        <v>49</v>
      </c>
      <c r="M276" t="s">
        <v>42</v>
      </c>
      <c r="N276" s="5">
        <f>Table4[[#This Row],[BudgetAmount]]/Table4[[#This Row],[Variance]]</f>
        <v>-3.8927697999623754</v>
      </c>
      <c r="O276" s="5" t="str">
        <f>TEXT(Table4[[#This Row],[Date]],"mmm")</f>
        <v>Dec</v>
      </c>
      <c r="P276" s="5">
        <f>ABS(Table4[[#This Row],[Variance]])</f>
        <v>47841</v>
      </c>
      <c r="Q276" s="5" t="str">
        <f>IF(Table4[[#This Row],[AB Variances ]]&gt;$P$2,"Anomaly","Normal")</f>
        <v>Anomaly</v>
      </c>
      <c r="R276" s="5">
        <f>SUMIFS(Table4[BudgetAmount],Table4[ActualExpense],"pending")</f>
        <v>0</v>
      </c>
    </row>
    <row r="277" spans="1:18">
      <c r="A277" t="s">
        <v>567</v>
      </c>
      <c r="B277" t="s">
        <v>568</v>
      </c>
      <c r="C277" t="s">
        <v>25</v>
      </c>
      <c r="D277" t="s">
        <v>61</v>
      </c>
      <c r="E277" t="s">
        <v>85</v>
      </c>
      <c r="F277" t="s">
        <v>86</v>
      </c>
      <c r="G277" s="2">
        <v>478091</v>
      </c>
      <c r="H277" s="1">
        <v>505039</v>
      </c>
      <c r="I277">
        <v>26948</v>
      </c>
      <c r="J277" t="s">
        <v>19</v>
      </c>
      <c r="K277" t="s">
        <v>48</v>
      </c>
      <c r="L277" t="s">
        <v>30</v>
      </c>
      <c r="M277" t="s">
        <v>42</v>
      </c>
      <c r="N277" s="5">
        <f>Table4[[#This Row],[BudgetAmount]]/Table4[[#This Row],[Variance]]</f>
        <v>17.741242392756419</v>
      </c>
      <c r="O277" s="5" t="str">
        <f>TEXT(Table4[[#This Row],[Date]],"mmm")</f>
        <v>Nov</v>
      </c>
      <c r="P277" s="5">
        <f>ABS(Table4[[#This Row],[Variance]])</f>
        <v>26948</v>
      </c>
      <c r="Q277" s="5" t="str">
        <f>IF(Table4[[#This Row],[AB Variances ]]&gt;$P$2,"Anomaly","Normal")</f>
        <v>Anomaly</v>
      </c>
      <c r="R277" s="5">
        <f>SUMIFS(Table4[BudgetAmount],Table4[ActualExpense],"pending")</f>
        <v>0</v>
      </c>
    </row>
    <row r="278" spans="1:18">
      <c r="A278" t="s">
        <v>569</v>
      </c>
      <c r="B278" t="s">
        <v>570</v>
      </c>
      <c r="C278" t="s">
        <v>64</v>
      </c>
      <c r="D278" t="s">
        <v>61</v>
      </c>
      <c r="E278" t="s">
        <v>85</v>
      </c>
      <c r="F278" t="s">
        <v>86</v>
      </c>
      <c r="G278" s="2">
        <v>367318</v>
      </c>
      <c r="H278" s="1">
        <v>310288</v>
      </c>
      <c r="I278">
        <v>-57030</v>
      </c>
      <c r="J278" t="s">
        <v>19</v>
      </c>
      <c r="K278" t="s">
        <v>29</v>
      </c>
      <c r="L278" t="s">
        <v>30</v>
      </c>
      <c r="M278" t="s">
        <v>42</v>
      </c>
      <c r="N278" s="5">
        <f>Table4[[#This Row],[BudgetAmount]]/Table4[[#This Row],[Variance]]</f>
        <v>-6.4407855514641419</v>
      </c>
      <c r="O278" s="5" t="str">
        <f>TEXT(Table4[[#This Row],[Date]],"mmm")</f>
        <v>May</v>
      </c>
      <c r="P278" s="5">
        <f>ABS(Table4[[#This Row],[Variance]])</f>
        <v>57030</v>
      </c>
      <c r="Q278" s="5" t="str">
        <f>IF(Table4[[#This Row],[AB Variances ]]&gt;$P$2,"Anomaly","Normal")</f>
        <v>Anomaly</v>
      </c>
      <c r="R278" s="5">
        <f>SUMIFS(Table4[BudgetAmount],Table4[ActualExpense],"pending")</f>
        <v>0</v>
      </c>
    </row>
    <row r="279" spans="1:18">
      <c r="A279" t="s">
        <v>571</v>
      </c>
      <c r="B279" t="s">
        <v>572</v>
      </c>
      <c r="C279" t="s">
        <v>33</v>
      </c>
      <c r="D279" t="s">
        <v>40</v>
      </c>
      <c r="E279" t="s">
        <v>46</v>
      </c>
      <c r="F279" t="s">
        <v>47</v>
      </c>
      <c r="G279" s="2">
        <v>104174</v>
      </c>
      <c r="H279" s="1">
        <v>89689</v>
      </c>
      <c r="I279">
        <v>-14485</v>
      </c>
      <c r="J279" t="s">
        <v>54</v>
      </c>
      <c r="K279" t="s">
        <v>41</v>
      </c>
      <c r="L279" t="s">
        <v>49</v>
      </c>
      <c r="M279" t="s">
        <v>22</v>
      </c>
      <c r="N279" s="5">
        <f>Table4[[#This Row],[BudgetAmount]]/Table4[[#This Row],[Variance]]</f>
        <v>-7.1918536416983088</v>
      </c>
      <c r="O279" s="5" t="str">
        <f>TEXT(Table4[[#This Row],[Date]],"mmm")</f>
        <v>Jun</v>
      </c>
      <c r="P279" s="5">
        <f>ABS(Table4[[#This Row],[Variance]])</f>
        <v>14485</v>
      </c>
      <c r="Q279" s="5" t="str">
        <f>IF(Table4[[#This Row],[AB Variances ]]&gt;$P$2,"Anomaly","Normal")</f>
        <v>Normal</v>
      </c>
      <c r="R279" s="5">
        <f>SUMIFS(Table4[BudgetAmount],Table4[ActualExpense],"pending")</f>
        <v>0</v>
      </c>
    </row>
    <row r="280" spans="1:18">
      <c r="A280" t="s">
        <v>573</v>
      </c>
      <c r="B280" t="s">
        <v>574</v>
      </c>
      <c r="C280" t="s">
        <v>45</v>
      </c>
      <c r="D280" t="s">
        <v>26</v>
      </c>
      <c r="E280" t="s">
        <v>71</v>
      </c>
      <c r="F280" t="s">
        <v>72</v>
      </c>
      <c r="G280" s="2">
        <v>269466</v>
      </c>
      <c r="H280" s="1">
        <v>291434</v>
      </c>
      <c r="I280">
        <v>21968</v>
      </c>
      <c r="J280" t="s">
        <v>37</v>
      </c>
      <c r="K280" t="s">
        <v>48</v>
      </c>
      <c r="L280" t="s">
        <v>30</v>
      </c>
      <c r="M280" t="s">
        <v>42</v>
      </c>
      <c r="N280" s="5">
        <f>Table4[[#This Row],[BudgetAmount]]/Table4[[#This Row],[Variance]]</f>
        <v>12.266296431172615</v>
      </c>
      <c r="O280" s="5" t="str">
        <f>TEXT(Table4[[#This Row],[Date]],"mmm")</f>
        <v>Apr</v>
      </c>
      <c r="P280" s="5">
        <f>ABS(Table4[[#This Row],[Variance]])</f>
        <v>21968</v>
      </c>
      <c r="Q280" s="5" t="str">
        <f>IF(Table4[[#This Row],[AB Variances ]]&gt;$P$2,"Anomaly","Normal")</f>
        <v>Anomaly</v>
      </c>
      <c r="R280" s="5">
        <f>SUMIFS(Table4[BudgetAmount],Table4[ActualExpense],"pending")</f>
        <v>0</v>
      </c>
    </row>
    <row r="281" spans="1:18">
      <c r="A281" t="s">
        <v>575</v>
      </c>
      <c r="B281" t="s">
        <v>320</v>
      </c>
      <c r="C281" t="s">
        <v>45</v>
      </c>
      <c r="D281" t="s">
        <v>61</v>
      </c>
      <c r="E281" t="s">
        <v>85</v>
      </c>
      <c r="F281" t="s">
        <v>86</v>
      </c>
      <c r="G281" s="2">
        <v>339684</v>
      </c>
      <c r="H281" s="1">
        <v>278733</v>
      </c>
      <c r="I281">
        <v>-60951</v>
      </c>
      <c r="J281" t="s">
        <v>37</v>
      </c>
      <c r="K281" t="s">
        <v>48</v>
      </c>
      <c r="L281" t="s">
        <v>30</v>
      </c>
      <c r="M281" t="s">
        <v>22</v>
      </c>
      <c r="N281" s="5">
        <f>Table4[[#This Row],[BudgetAmount]]/Table4[[#This Row],[Variance]]</f>
        <v>-5.5730668897967224</v>
      </c>
      <c r="O281" s="5" t="str">
        <f>TEXT(Table4[[#This Row],[Date]],"mmm")</f>
        <v>Sep</v>
      </c>
      <c r="P281" s="5">
        <f>ABS(Table4[[#This Row],[Variance]])</f>
        <v>60951</v>
      </c>
      <c r="Q281" s="5" t="str">
        <f>IF(Table4[[#This Row],[AB Variances ]]&gt;$P$2,"Anomaly","Normal")</f>
        <v>Anomaly</v>
      </c>
      <c r="R281" s="5">
        <f>SUMIFS(Table4[BudgetAmount],Table4[ActualExpense],"pending")</f>
        <v>0</v>
      </c>
    </row>
    <row r="282" spans="1:18">
      <c r="A282" t="s">
        <v>576</v>
      </c>
      <c r="B282" t="s">
        <v>272</v>
      </c>
      <c r="C282" t="s">
        <v>15</v>
      </c>
      <c r="D282" t="s">
        <v>34</v>
      </c>
      <c r="E282" t="s">
        <v>85</v>
      </c>
      <c r="F282" t="s">
        <v>86</v>
      </c>
      <c r="G282" s="2">
        <v>155732</v>
      </c>
      <c r="H282" s="1">
        <v>181421</v>
      </c>
      <c r="I282">
        <v>25689</v>
      </c>
      <c r="J282" t="s">
        <v>54</v>
      </c>
      <c r="K282" t="s">
        <v>67</v>
      </c>
      <c r="L282" t="s">
        <v>49</v>
      </c>
      <c r="M282" t="s">
        <v>22</v>
      </c>
      <c r="N282" s="5">
        <f>Table4[[#This Row],[BudgetAmount]]/Table4[[#This Row],[Variance]]</f>
        <v>6.0622056132975199</v>
      </c>
      <c r="O282" s="5" t="str">
        <f>TEXT(Table4[[#This Row],[Date]],"mmm")</f>
        <v>Sep</v>
      </c>
      <c r="P282" s="5">
        <f>ABS(Table4[[#This Row],[Variance]])</f>
        <v>25689</v>
      </c>
      <c r="Q282" s="5" t="str">
        <f>IF(Table4[[#This Row],[AB Variances ]]&gt;$P$2,"Anomaly","Normal")</f>
        <v>Anomaly</v>
      </c>
      <c r="R282" s="5">
        <f>SUMIFS(Table4[BudgetAmount],Table4[ActualExpense],"pending")</f>
        <v>0</v>
      </c>
    </row>
    <row r="283" spans="1:18">
      <c r="A283" t="s">
        <v>577</v>
      </c>
      <c r="B283" t="s">
        <v>578</v>
      </c>
      <c r="C283" t="s">
        <v>33</v>
      </c>
      <c r="D283" t="s">
        <v>26</v>
      </c>
      <c r="E283" t="s">
        <v>35</v>
      </c>
      <c r="F283" t="s">
        <v>36</v>
      </c>
      <c r="G283" s="2">
        <v>79700</v>
      </c>
      <c r="H283" s="1">
        <v>98225</v>
      </c>
      <c r="I283">
        <v>18525</v>
      </c>
      <c r="J283" t="s">
        <v>19</v>
      </c>
      <c r="K283" t="s">
        <v>29</v>
      </c>
      <c r="L283" t="s">
        <v>49</v>
      </c>
      <c r="M283" t="s">
        <v>22</v>
      </c>
      <c r="N283" s="5">
        <f>Table4[[#This Row],[BudgetAmount]]/Table4[[#This Row],[Variance]]</f>
        <v>4.3022941970310393</v>
      </c>
      <c r="O283" s="5" t="str">
        <f>TEXT(Table4[[#This Row],[Date]],"mmm")</f>
        <v>Jun</v>
      </c>
      <c r="P283" s="5">
        <f>ABS(Table4[[#This Row],[Variance]])</f>
        <v>18525</v>
      </c>
      <c r="Q283" s="5" t="str">
        <f>IF(Table4[[#This Row],[AB Variances ]]&gt;$P$2,"Anomaly","Normal")</f>
        <v>Anomaly</v>
      </c>
      <c r="R283" s="5">
        <f>SUMIFS(Table4[BudgetAmount],Table4[ActualExpense],"pending")</f>
        <v>0</v>
      </c>
    </row>
    <row r="284" spans="1:18">
      <c r="A284" t="s">
        <v>579</v>
      </c>
      <c r="B284" t="s">
        <v>580</v>
      </c>
      <c r="C284" t="s">
        <v>35</v>
      </c>
      <c r="D284" t="s">
        <v>16</v>
      </c>
      <c r="E284" t="s">
        <v>17</v>
      </c>
      <c r="F284" t="s">
        <v>18</v>
      </c>
      <c r="G284" s="2">
        <v>116426</v>
      </c>
      <c r="H284" s="1">
        <v>125336</v>
      </c>
      <c r="I284">
        <v>8910</v>
      </c>
      <c r="J284" t="s">
        <v>19</v>
      </c>
      <c r="K284" t="s">
        <v>20</v>
      </c>
      <c r="L284" t="s">
        <v>49</v>
      </c>
      <c r="M284" t="s">
        <v>22</v>
      </c>
      <c r="N284" s="5">
        <f>Table4[[#This Row],[BudgetAmount]]/Table4[[#This Row],[Variance]]</f>
        <v>13.0668911335578</v>
      </c>
      <c r="O284" s="5" t="str">
        <f>TEXT(Table4[[#This Row],[Date]],"mmm")</f>
        <v>Jul</v>
      </c>
      <c r="P284" s="5">
        <f>ABS(Table4[[#This Row],[Variance]])</f>
        <v>8910</v>
      </c>
      <c r="Q284" s="5" t="str">
        <f>IF(Table4[[#This Row],[AB Variances ]]&gt;$P$2,"Anomaly","Normal")</f>
        <v>Normal</v>
      </c>
      <c r="R284" s="5">
        <f>SUMIFS(Table4[BudgetAmount],Table4[ActualExpense],"pending")</f>
        <v>0</v>
      </c>
    </row>
    <row r="285" spans="1:18">
      <c r="A285" t="s">
        <v>581</v>
      </c>
      <c r="B285" t="s">
        <v>582</v>
      </c>
      <c r="C285" t="s">
        <v>64</v>
      </c>
      <c r="D285" t="s">
        <v>40</v>
      </c>
      <c r="E285" t="s">
        <v>27</v>
      </c>
      <c r="F285" t="s">
        <v>28</v>
      </c>
      <c r="G285" s="2">
        <v>493828</v>
      </c>
      <c r="H285" s="1">
        <v>485458</v>
      </c>
      <c r="I285">
        <v>-8370</v>
      </c>
      <c r="J285" t="s">
        <v>19</v>
      </c>
      <c r="K285" t="s">
        <v>29</v>
      </c>
      <c r="L285" t="s">
        <v>21</v>
      </c>
      <c r="M285" t="s">
        <v>42</v>
      </c>
      <c r="N285" s="5">
        <f>Table4[[#This Row],[BudgetAmount]]/Table4[[#This Row],[Variance]]</f>
        <v>-58.999761051373952</v>
      </c>
      <c r="O285" s="5" t="str">
        <f>TEXT(Table4[[#This Row],[Date]],"mmm")</f>
        <v>Nov</v>
      </c>
      <c r="P285" s="5">
        <f>ABS(Table4[[#This Row],[Variance]])</f>
        <v>8370</v>
      </c>
      <c r="Q285" s="5" t="str">
        <f>IF(Table4[[#This Row],[AB Variances ]]&gt;$P$2,"Anomaly","Normal")</f>
        <v>Normal</v>
      </c>
      <c r="R285" s="5">
        <f>SUMIFS(Table4[BudgetAmount],Table4[ActualExpense],"pending")</f>
        <v>0</v>
      </c>
    </row>
    <row r="286" spans="1:18">
      <c r="A286" t="s">
        <v>583</v>
      </c>
      <c r="B286" t="s">
        <v>584</v>
      </c>
      <c r="C286" t="s">
        <v>33</v>
      </c>
      <c r="D286" t="s">
        <v>40</v>
      </c>
      <c r="E286" t="s">
        <v>17</v>
      </c>
      <c r="F286" t="s">
        <v>18</v>
      </c>
      <c r="G286" s="2">
        <v>284024</v>
      </c>
      <c r="H286" s="1">
        <v>280683</v>
      </c>
      <c r="I286">
        <v>-3341</v>
      </c>
      <c r="J286" t="s">
        <v>54</v>
      </c>
      <c r="K286" t="s">
        <v>29</v>
      </c>
      <c r="L286" t="s">
        <v>49</v>
      </c>
      <c r="M286" t="s">
        <v>42</v>
      </c>
      <c r="N286" s="5">
        <f>Table4[[#This Row],[BudgetAmount]]/Table4[[#This Row],[Variance]]</f>
        <v>-85.011673151750969</v>
      </c>
      <c r="O286" s="5" t="str">
        <f>TEXT(Table4[[#This Row],[Date]],"mmm")</f>
        <v>Oct</v>
      </c>
      <c r="P286" s="5">
        <f>ABS(Table4[[#This Row],[Variance]])</f>
        <v>3341</v>
      </c>
      <c r="Q286" s="5" t="str">
        <f>IF(Table4[[#This Row],[AB Variances ]]&gt;$P$2,"Anomaly","Normal")</f>
        <v>Normal</v>
      </c>
      <c r="R286" s="5">
        <f>SUMIFS(Table4[BudgetAmount],Table4[ActualExpense],"pending")</f>
        <v>0</v>
      </c>
    </row>
    <row r="287" spans="1:18">
      <c r="A287" t="s">
        <v>585</v>
      </c>
      <c r="B287" t="s">
        <v>586</v>
      </c>
      <c r="C287" t="s">
        <v>15</v>
      </c>
      <c r="D287" t="s">
        <v>34</v>
      </c>
      <c r="E287" t="s">
        <v>85</v>
      </c>
      <c r="F287" t="s">
        <v>86</v>
      </c>
      <c r="G287" s="2">
        <v>444896</v>
      </c>
      <c r="H287" s="1">
        <v>509996</v>
      </c>
      <c r="I287">
        <v>65100</v>
      </c>
      <c r="J287" t="s">
        <v>54</v>
      </c>
      <c r="K287" t="s">
        <v>41</v>
      </c>
      <c r="L287" t="s">
        <v>68</v>
      </c>
      <c r="M287" t="s">
        <v>22</v>
      </c>
      <c r="N287" s="5">
        <f>Table4[[#This Row],[BudgetAmount]]/Table4[[#This Row],[Variance]]</f>
        <v>6.8340399385560673</v>
      </c>
      <c r="O287" s="5" t="str">
        <f>TEXT(Table4[[#This Row],[Date]],"mmm")</f>
        <v>Mar</v>
      </c>
      <c r="P287" s="5">
        <f>ABS(Table4[[#This Row],[Variance]])</f>
        <v>65100</v>
      </c>
      <c r="Q287" s="5" t="str">
        <f>IF(Table4[[#This Row],[AB Variances ]]&gt;$P$2,"Anomaly","Normal")</f>
        <v>Anomaly</v>
      </c>
      <c r="R287" s="5">
        <f>SUMIFS(Table4[BudgetAmount],Table4[ActualExpense],"pending")</f>
        <v>0</v>
      </c>
    </row>
    <row r="288" spans="1:18">
      <c r="A288" t="s">
        <v>587</v>
      </c>
      <c r="B288" t="s">
        <v>588</v>
      </c>
      <c r="C288" t="s">
        <v>33</v>
      </c>
      <c r="D288" t="s">
        <v>16</v>
      </c>
      <c r="E288" t="s">
        <v>46</v>
      </c>
      <c r="F288" t="s">
        <v>47</v>
      </c>
      <c r="G288" s="2">
        <v>337591</v>
      </c>
      <c r="H288" s="1">
        <v>355609</v>
      </c>
      <c r="I288">
        <v>18018</v>
      </c>
      <c r="J288" t="s">
        <v>54</v>
      </c>
      <c r="K288" t="s">
        <v>29</v>
      </c>
      <c r="L288" t="s">
        <v>30</v>
      </c>
      <c r="M288" t="s">
        <v>22</v>
      </c>
      <c r="N288" s="5">
        <f>Table4[[#This Row],[BudgetAmount]]/Table4[[#This Row],[Variance]]</f>
        <v>18.736319236319236</v>
      </c>
      <c r="O288" s="5" t="str">
        <f>TEXT(Table4[[#This Row],[Date]],"mmm")</f>
        <v>Nov</v>
      </c>
      <c r="P288" s="5">
        <f>ABS(Table4[[#This Row],[Variance]])</f>
        <v>18018</v>
      </c>
      <c r="Q288" s="5" t="str">
        <f>IF(Table4[[#This Row],[AB Variances ]]&gt;$P$2,"Anomaly","Normal")</f>
        <v>Anomaly</v>
      </c>
      <c r="R288" s="5">
        <f>SUMIFS(Table4[BudgetAmount],Table4[ActualExpense],"pending")</f>
        <v>0</v>
      </c>
    </row>
    <row r="289" spans="1:18">
      <c r="A289" t="s">
        <v>589</v>
      </c>
      <c r="B289" t="s">
        <v>590</v>
      </c>
      <c r="C289" t="s">
        <v>64</v>
      </c>
      <c r="D289" t="s">
        <v>16</v>
      </c>
      <c r="E289" t="s">
        <v>85</v>
      </c>
      <c r="F289" t="s">
        <v>86</v>
      </c>
      <c r="G289" s="2">
        <v>193180</v>
      </c>
      <c r="H289" s="1">
        <v>166524</v>
      </c>
      <c r="I289">
        <v>-26656</v>
      </c>
      <c r="J289" t="s">
        <v>19</v>
      </c>
      <c r="K289" t="s">
        <v>48</v>
      </c>
      <c r="L289" t="s">
        <v>30</v>
      </c>
      <c r="M289" t="s">
        <v>22</v>
      </c>
      <c r="N289" s="5">
        <f>Table4[[#This Row],[BudgetAmount]]/Table4[[#This Row],[Variance]]</f>
        <v>-7.2471488595438176</v>
      </c>
      <c r="O289" s="5" t="str">
        <f>TEXT(Table4[[#This Row],[Date]],"mmm")</f>
        <v>Oct</v>
      </c>
      <c r="P289" s="5">
        <f>ABS(Table4[[#This Row],[Variance]])</f>
        <v>26656</v>
      </c>
      <c r="Q289" s="5" t="str">
        <f>IF(Table4[[#This Row],[AB Variances ]]&gt;$P$2,"Anomaly","Normal")</f>
        <v>Anomaly</v>
      </c>
      <c r="R289" s="5">
        <f>SUMIFS(Table4[BudgetAmount],Table4[ActualExpense],"pending")</f>
        <v>0</v>
      </c>
    </row>
    <row r="290" spans="1:18">
      <c r="A290" t="s">
        <v>591</v>
      </c>
      <c r="B290" t="s">
        <v>568</v>
      </c>
      <c r="C290" t="s">
        <v>15</v>
      </c>
      <c r="D290" t="s">
        <v>34</v>
      </c>
      <c r="E290" t="s">
        <v>46</v>
      </c>
      <c r="F290" t="s">
        <v>47</v>
      </c>
      <c r="G290" s="2">
        <v>163071</v>
      </c>
      <c r="H290" s="1">
        <v>177133</v>
      </c>
      <c r="I290">
        <v>14062</v>
      </c>
      <c r="J290" t="s">
        <v>19</v>
      </c>
      <c r="K290" t="s">
        <v>29</v>
      </c>
      <c r="L290" t="s">
        <v>30</v>
      </c>
      <c r="M290" t="s">
        <v>42</v>
      </c>
      <c r="N290" s="5">
        <f>Table4[[#This Row],[BudgetAmount]]/Table4[[#This Row],[Variance]]</f>
        <v>11.59657232257147</v>
      </c>
      <c r="O290" s="5" t="str">
        <f>TEXT(Table4[[#This Row],[Date]],"mmm")</f>
        <v>Nov</v>
      </c>
      <c r="P290" s="5">
        <f>ABS(Table4[[#This Row],[Variance]])</f>
        <v>14062</v>
      </c>
      <c r="Q290" s="5" t="str">
        <f>IF(Table4[[#This Row],[AB Variances ]]&gt;$P$2,"Anomaly","Normal")</f>
        <v>Normal</v>
      </c>
      <c r="R290" s="5">
        <f>SUMIFS(Table4[BudgetAmount],Table4[ActualExpense],"pending")</f>
        <v>0</v>
      </c>
    </row>
    <row r="291" spans="1:18">
      <c r="A291" t="s">
        <v>592</v>
      </c>
      <c r="B291" t="s">
        <v>593</v>
      </c>
      <c r="C291" t="s">
        <v>35</v>
      </c>
      <c r="D291" t="s">
        <v>40</v>
      </c>
      <c r="E291" t="s">
        <v>71</v>
      </c>
      <c r="F291" t="s">
        <v>72</v>
      </c>
      <c r="G291" s="2">
        <v>217764</v>
      </c>
      <c r="H291" s="1">
        <v>176308</v>
      </c>
      <c r="I291">
        <v>-41456</v>
      </c>
      <c r="J291" t="s">
        <v>19</v>
      </c>
      <c r="K291" t="s">
        <v>67</v>
      </c>
      <c r="L291" t="s">
        <v>21</v>
      </c>
      <c r="M291" t="s">
        <v>42</v>
      </c>
      <c r="N291" s="5">
        <f>Table4[[#This Row],[BudgetAmount]]/Table4[[#This Row],[Variance]]</f>
        <v>-5.2528946352759549</v>
      </c>
      <c r="O291" s="5" t="str">
        <f>TEXT(Table4[[#This Row],[Date]],"mmm")</f>
        <v>May</v>
      </c>
      <c r="P291" s="5">
        <f>ABS(Table4[[#This Row],[Variance]])</f>
        <v>41456</v>
      </c>
      <c r="Q291" s="5" t="str">
        <f>IF(Table4[[#This Row],[AB Variances ]]&gt;$P$2,"Anomaly","Normal")</f>
        <v>Anomaly</v>
      </c>
      <c r="R291" s="5">
        <f>SUMIFS(Table4[BudgetAmount],Table4[ActualExpense],"pending")</f>
        <v>0</v>
      </c>
    </row>
    <row r="292" spans="1:18">
      <c r="A292" t="s">
        <v>594</v>
      </c>
      <c r="B292" t="s">
        <v>595</v>
      </c>
      <c r="C292" t="s">
        <v>45</v>
      </c>
      <c r="D292" t="s">
        <v>26</v>
      </c>
      <c r="E292" t="s">
        <v>85</v>
      </c>
      <c r="F292" t="s">
        <v>86</v>
      </c>
      <c r="G292" s="2">
        <v>287991</v>
      </c>
      <c r="H292" s="1">
        <v>338417</v>
      </c>
      <c r="I292">
        <v>50426</v>
      </c>
      <c r="J292" t="s">
        <v>37</v>
      </c>
      <c r="K292" t="s">
        <v>48</v>
      </c>
      <c r="L292" t="s">
        <v>30</v>
      </c>
      <c r="M292" t="s">
        <v>42</v>
      </c>
      <c r="N292" s="5">
        <f>Table4[[#This Row],[BudgetAmount]]/Table4[[#This Row],[Variance]]</f>
        <v>5.7111609090548523</v>
      </c>
      <c r="O292" s="5" t="str">
        <f>TEXT(Table4[[#This Row],[Date]],"mmm")</f>
        <v>Dec</v>
      </c>
      <c r="P292" s="5">
        <f>ABS(Table4[[#This Row],[Variance]])</f>
        <v>50426</v>
      </c>
      <c r="Q292" s="5" t="str">
        <f>IF(Table4[[#This Row],[AB Variances ]]&gt;$P$2,"Anomaly","Normal")</f>
        <v>Anomaly</v>
      </c>
      <c r="R292" s="5">
        <f>SUMIFS(Table4[BudgetAmount],Table4[ActualExpense],"pending")</f>
        <v>0</v>
      </c>
    </row>
    <row r="293" spans="1:18">
      <c r="A293" t="s">
        <v>596</v>
      </c>
      <c r="B293" t="s">
        <v>597</v>
      </c>
      <c r="C293" t="s">
        <v>33</v>
      </c>
      <c r="D293" t="s">
        <v>26</v>
      </c>
      <c r="E293" t="s">
        <v>85</v>
      </c>
      <c r="F293" t="s">
        <v>86</v>
      </c>
      <c r="G293" s="2">
        <v>245052</v>
      </c>
      <c r="H293" s="1">
        <v>182490</v>
      </c>
      <c r="I293">
        <v>-62562</v>
      </c>
      <c r="J293" t="s">
        <v>37</v>
      </c>
      <c r="K293" t="s">
        <v>48</v>
      </c>
      <c r="L293" t="s">
        <v>68</v>
      </c>
      <c r="M293" t="s">
        <v>42</v>
      </c>
      <c r="N293" s="5">
        <f>Table4[[#This Row],[BudgetAmount]]/Table4[[#This Row],[Variance]]</f>
        <v>-3.9169463891819314</v>
      </c>
      <c r="O293" s="5" t="str">
        <f>TEXT(Table4[[#This Row],[Date]],"mmm")</f>
        <v>Jan</v>
      </c>
      <c r="P293" s="5">
        <f>ABS(Table4[[#This Row],[Variance]])</f>
        <v>62562</v>
      </c>
      <c r="Q293" s="5" t="str">
        <f>IF(Table4[[#This Row],[AB Variances ]]&gt;$P$2,"Anomaly","Normal")</f>
        <v>Anomaly</v>
      </c>
      <c r="R293" s="5">
        <f>SUMIFS(Table4[BudgetAmount],Table4[ActualExpense],"pending")</f>
        <v>0</v>
      </c>
    </row>
    <row r="294" spans="1:18">
      <c r="A294" t="s">
        <v>598</v>
      </c>
      <c r="B294" t="s">
        <v>599</v>
      </c>
      <c r="C294" t="s">
        <v>35</v>
      </c>
      <c r="D294" t="s">
        <v>61</v>
      </c>
      <c r="E294" t="s">
        <v>71</v>
      </c>
      <c r="F294" t="s">
        <v>72</v>
      </c>
      <c r="G294" s="2">
        <v>390508</v>
      </c>
      <c r="H294" s="1">
        <v>544224</v>
      </c>
      <c r="I294">
        <v>153716</v>
      </c>
      <c r="J294" t="s">
        <v>54</v>
      </c>
      <c r="K294" t="s">
        <v>48</v>
      </c>
      <c r="L294" t="s">
        <v>21</v>
      </c>
      <c r="M294" t="s">
        <v>42</v>
      </c>
      <c r="N294" s="5">
        <f>Table4[[#This Row],[BudgetAmount]]/Table4[[#This Row],[Variance]]</f>
        <v>2.5404512217335866</v>
      </c>
      <c r="O294" s="5" t="str">
        <f>TEXT(Table4[[#This Row],[Date]],"mmm")</f>
        <v>Jun</v>
      </c>
      <c r="P294" s="5">
        <f>ABS(Table4[[#This Row],[Variance]])</f>
        <v>153716</v>
      </c>
      <c r="Q294" s="5" t="str">
        <f>IF(Table4[[#This Row],[AB Variances ]]&gt;$P$2,"Anomaly","Normal")</f>
        <v>Anomaly</v>
      </c>
      <c r="R294" s="5">
        <f>SUMIFS(Table4[BudgetAmount],Table4[ActualExpense],"pending")</f>
        <v>0</v>
      </c>
    </row>
    <row r="295" spans="1:18">
      <c r="A295" t="s">
        <v>600</v>
      </c>
      <c r="B295" t="s">
        <v>601</v>
      </c>
      <c r="C295" t="s">
        <v>15</v>
      </c>
      <c r="D295" t="s">
        <v>16</v>
      </c>
      <c r="E295" t="s">
        <v>71</v>
      </c>
      <c r="F295" t="s">
        <v>72</v>
      </c>
      <c r="G295" s="2">
        <v>281047</v>
      </c>
      <c r="H295" s="1">
        <v>377489</v>
      </c>
      <c r="I295">
        <v>96442</v>
      </c>
      <c r="J295" t="s">
        <v>19</v>
      </c>
      <c r="K295" t="s">
        <v>20</v>
      </c>
      <c r="L295" t="s">
        <v>49</v>
      </c>
      <c r="M295" t="s">
        <v>22</v>
      </c>
      <c r="N295" s="5">
        <f>Table4[[#This Row],[BudgetAmount]]/Table4[[#This Row],[Variance]]</f>
        <v>2.9141556583231374</v>
      </c>
      <c r="O295" s="5" t="str">
        <f>TEXT(Table4[[#This Row],[Date]],"mmm")</f>
        <v>Sep</v>
      </c>
      <c r="P295" s="5">
        <f>ABS(Table4[[#This Row],[Variance]])</f>
        <v>96442</v>
      </c>
      <c r="Q295" s="5" t="str">
        <f>IF(Table4[[#This Row],[AB Variances ]]&gt;$P$2,"Anomaly","Normal")</f>
        <v>Anomaly</v>
      </c>
      <c r="R295" s="5">
        <f>SUMIFS(Table4[BudgetAmount],Table4[ActualExpense],"pending")</f>
        <v>0</v>
      </c>
    </row>
    <row r="296" spans="1:18">
      <c r="A296" t="s">
        <v>602</v>
      </c>
      <c r="B296" t="s">
        <v>603</v>
      </c>
      <c r="C296" t="s">
        <v>35</v>
      </c>
      <c r="D296" t="s">
        <v>40</v>
      </c>
      <c r="E296" t="s">
        <v>85</v>
      </c>
      <c r="F296" t="s">
        <v>86</v>
      </c>
      <c r="G296" s="2">
        <v>201558</v>
      </c>
      <c r="H296" s="1">
        <v>201073</v>
      </c>
      <c r="I296">
        <v>-485</v>
      </c>
      <c r="J296" t="s">
        <v>54</v>
      </c>
      <c r="K296" t="s">
        <v>48</v>
      </c>
      <c r="L296" t="s">
        <v>49</v>
      </c>
      <c r="M296" t="s">
        <v>22</v>
      </c>
      <c r="N296" s="5">
        <f>Table4[[#This Row],[BudgetAmount]]/Table4[[#This Row],[Variance]]</f>
        <v>-415.58350515463917</v>
      </c>
      <c r="O296" s="5" t="str">
        <f>TEXT(Table4[[#This Row],[Date]],"mmm")</f>
        <v>Sep</v>
      </c>
      <c r="P296" s="5">
        <f>ABS(Table4[[#This Row],[Variance]])</f>
        <v>485</v>
      </c>
      <c r="Q296" s="5" t="str">
        <f>IF(Table4[[#This Row],[AB Variances ]]&gt;$P$2,"Anomaly","Normal")</f>
        <v>Normal</v>
      </c>
      <c r="R296" s="5">
        <f>SUMIFS(Table4[BudgetAmount],Table4[ActualExpense],"pending")</f>
        <v>0</v>
      </c>
    </row>
    <row r="297" spans="1:18">
      <c r="A297" t="s">
        <v>604</v>
      </c>
      <c r="B297" t="s">
        <v>605</v>
      </c>
      <c r="C297" t="s">
        <v>64</v>
      </c>
      <c r="D297" t="s">
        <v>16</v>
      </c>
      <c r="E297" t="s">
        <v>85</v>
      </c>
      <c r="F297" t="s">
        <v>86</v>
      </c>
      <c r="G297" s="2">
        <v>422192</v>
      </c>
      <c r="H297" s="1">
        <v>394991</v>
      </c>
      <c r="I297">
        <v>-27201</v>
      </c>
      <c r="J297" t="s">
        <v>54</v>
      </c>
      <c r="K297" t="s">
        <v>29</v>
      </c>
      <c r="L297" t="s">
        <v>30</v>
      </c>
      <c r="M297" t="s">
        <v>42</v>
      </c>
      <c r="N297" s="5">
        <f>Table4[[#This Row],[BudgetAmount]]/Table4[[#This Row],[Variance]]</f>
        <v>-15.521194073747289</v>
      </c>
      <c r="O297" s="5" t="str">
        <f>TEXT(Table4[[#This Row],[Date]],"mmm")</f>
        <v>Jan</v>
      </c>
      <c r="P297" s="5">
        <f>ABS(Table4[[#This Row],[Variance]])</f>
        <v>27201</v>
      </c>
      <c r="Q297" s="5" t="str">
        <f>IF(Table4[[#This Row],[AB Variances ]]&gt;$P$2,"Anomaly","Normal")</f>
        <v>Anomaly</v>
      </c>
      <c r="R297" s="5">
        <f>SUMIFS(Table4[BudgetAmount],Table4[ActualExpense],"pending")</f>
        <v>0</v>
      </c>
    </row>
    <row r="298" spans="1:18">
      <c r="A298" t="s">
        <v>606</v>
      </c>
      <c r="B298" t="s">
        <v>607</v>
      </c>
      <c r="C298" t="s">
        <v>33</v>
      </c>
      <c r="D298" t="s">
        <v>26</v>
      </c>
      <c r="E298" t="s">
        <v>71</v>
      </c>
      <c r="F298" t="s">
        <v>72</v>
      </c>
      <c r="G298" s="2">
        <v>149354</v>
      </c>
      <c r="H298" s="1">
        <v>163058</v>
      </c>
      <c r="I298">
        <v>13704</v>
      </c>
      <c r="J298" t="s">
        <v>54</v>
      </c>
      <c r="K298" t="s">
        <v>41</v>
      </c>
      <c r="L298" t="s">
        <v>21</v>
      </c>
      <c r="M298" t="s">
        <v>42</v>
      </c>
      <c r="N298" s="5">
        <f>Table4[[#This Row],[BudgetAmount]]/Table4[[#This Row],[Variance]]</f>
        <v>10.898569760653825</v>
      </c>
      <c r="O298" s="5" t="str">
        <f>TEXT(Table4[[#This Row],[Date]],"mmm")</f>
        <v>Feb</v>
      </c>
      <c r="P298" s="5">
        <f>ABS(Table4[[#This Row],[Variance]])</f>
        <v>13704</v>
      </c>
      <c r="Q298" s="5" t="str">
        <f>IF(Table4[[#This Row],[AB Variances ]]&gt;$P$2,"Anomaly","Normal")</f>
        <v>Normal</v>
      </c>
      <c r="R298" s="5">
        <f>SUMIFS(Table4[BudgetAmount],Table4[ActualExpense],"pending")</f>
        <v>0</v>
      </c>
    </row>
    <row r="299" spans="1:18">
      <c r="A299" t="s">
        <v>608</v>
      </c>
      <c r="B299" t="s">
        <v>609</v>
      </c>
      <c r="C299" t="s">
        <v>33</v>
      </c>
      <c r="D299" t="s">
        <v>61</v>
      </c>
      <c r="E299" t="s">
        <v>46</v>
      </c>
      <c r="F299" t="s">
        <v>47</v>
      </c>
      <c r="G299" s="2">
        <v>134500</v>
      </c>
      <c r="H299" s="1">
        <v>96167</v>
      </c>
      <c r="I299">
        <v>-38333</v>
      </c>
      <c r="J299" t="s">
        <v>37</v>
      </c>
      <c r="K299" t="s">
        <v>29</v>
      </c>
      <c r="L299" t="s">
        <v>49</v>
      </c>
      <c r="M299" t="s">
        <v>22</v>
      </c>
      <c r="N299" s="5">
        <f>Table4[[#This Row],[BudgetAmount]]/Table4[[#This Row],[Variance]]</f>
        <v>-3.5087261628361985</v>
      </c>
      <c r="O299" s="5" t="str">
        <f>TEXT(Table4[[#This Row],[Date]],"mmm")</f>
        <v>Jun</v>
      </c>
      <c r="P299" s="5">
        <f>ABS(Table4[[#This Row],[Variance]])</f>
        <v>38333</v>
      </c>
      <c r="Q299" s="5" t="str">
        <f>IF(Table4[[#This Row],[AB Variances ]]&gt;$P$2,"Anomaly","Normal")</f>
        <v>Anomaly</v>
      </c>
      <c r="R299" s="5">
        <f>SUMIFS(Table4[BudgetAmount],Table4[ActualExpense],"pending")</f>
        <v>0</v>
      </c>
    </row>
    <row r="300" spans="1:18">
      <c r="A300" t="s">
        <v>610</v>
      </c>
      <c r="B300" t="s">
        <v>406</v>
      </c>
      <c r="C300" t="s">
        <v>25</v>
      </c>
      <c r="D300" t="s">
        <v>26</v>
      </c>
      <c r="E300" t="s">
        <v>35</v>
      </c>
      <c r="F300" t="s">
        <v>36</v>
      </c>
      <c r="G300" s="2">
        <v>364770</v>
      </c>
      <c r="H300" s="1">
        <v>336906</v>
      </c>
      <c r="I300">
        <v>-27864</v>
      </c>
      <c r="J300" t="s">
        <v>37</v>
      </c>
      <c r="K300" t="s">
        <v>41</v>
      </c>
      <c r="L300" t="s">
        <v>21</v>
      </c>
      <c r="M300" t="s">
        <v>22</v>
      </c>
      <c r="N300" s="5">
        <f>Table4[[#This Row],[BudgetAmount]]/Table4[[#This Row],[Variance]]</f>
        <v>-13.09108527131783</v>
      </c>
      <c r="O300" s="5" t="str">
        <f>TEXT(Table4[[#This Row],[Date]],"mmm")</f>
        <v>May</v>
      </c>
      <c r="P300" s="5">
        <f>ABS(Table4[[#This Row],[Variance]])</f>
        <v>27864</v>
      </c>
      <c r="Q300" s="5" t="str">
        <f>IF(Table4[[#This Row],[AB Variances ]]&gt;$P$2,"Anomaly","Normal")</f>
        <v>Anomaly</v>
      </c>
      <c r="R300" s="5">
        <f>SUMIFS(Table4[BudgetAmount],Table4[ActualExpense],"pending")</f>
        <v>0</v>
      </c>
    </row>
    <row r="301" spans="1:18">
      <c r="A301" t="s">
        <v>611</v>
      </c>
      <c r="B301" t="s">
        <v>289</v>
      </c>
      <c r="C301" t="s">
        <v>33</v>
      </c>
      <c r="D301" t="s">
        <v>40</v>
      </c>
      <c r="E301" t="s">
        <v>35</v>
      </c>
      <c r="F301" t="s">
        <v>36</v>
      </c>
      <c r="G301" s="2">
        <v>350159</v>
      </c>
      <c r="H301" s="1">
        <v>277827</v>
      </c>
      <c r="I301">
        <v>-72332</v>
      </c>
      <c r="J301" t="s">
        <v>54</v>
      </c>
      <c r="K301" t="s">
        <v>48</v>
      </c>
      <c r="L301" t="s">
        <v>68</v>
      </c>
      <c r="M301" t="s">
        <v>42</v>
      </c>
      <c r="N301" s="5">
        <f>Table4[[#This Row],[BudgetAmount]]/Table4[[#This Row],[Variance]]</f>
        <v>-4.8409970690703972</v>
      </c>
      <c r="O301" s="5" t="str">
        <f>TEXT(Table4[[#This Row],[Date]],"mmm")</f>
        <v>May</v>
      </c>
      <c r="P301" s="5">
        <f>ABS(Table4[[#This Row],[Variance]])</f>
        <v>72332</v>
      </c>
      <c r="Q301" s="5" t="str">
        <f>IF(Table4[[#This Row],[AB Variances ]]&gt;$P$2,"Anomaly","Normal")</f>
        <v>Anomaly</v>
      </c>
      <c r="R301" s="5">
        <f>SUMIFS(Table4[BudgetAmount],Table4[ActualExpense],"pending")</f>
        <v>0</v>
      </c>
    </row>
    <row r="302" spans="1:18">
      <c r="A302" t="s">
        <v>612</v>
      </c>
      <c r="B302" t="s">
        <v>613</v>
      </c>
      <c r="C302" t="s">
        <v>25</v>
      </c>
      <c r="D302" t="s">
        <v>16</v>
      </c>
      <c r="E302" t="s">
        <v>17</v>
      </c>
      <c r="F302" t="s">
        <v>18</v>
      </c>
      <c r="G302" s="2">
        <v>319402</v>
      </c>
      <c r="H302" s="1">
        <v>310264</v>
      </c>
      <c r="I302">
        <v>-9138</v>
      </c>
      <c r="J302" t="s">
        <v>54</v>
      </c>
      <c r="K302" t="s">
        <v>41</v>
      </c>
      <c r="L302" t="s">
        <v>49</v>
      </c>
      <c r="M302" t="s">
        <v>22</v>
      </c>
      <c r="N302" s="5">
        <f>Table4[[#This Row],[BudgetAmount]]/Table4[[#This Row],[Variance]]</f>
        <v>-34.953162617640622</v>
      </c>
      <c r="O302" s="5" t="str">
        <f>TEXT(Table4[[#This Row],[Date]],"mmm")</f>
        <v>Feb</v>
      </c>
      <c r="P302" s="5">
        <f>ABS(Table4[[#This Row],[Variance]])</f>
        <v>9138</v>
      </c>
      <c r="Q302" s="5" t="str">
        <f>IF(Table4[[#This Row],[AB Variances ]]&gt;$P$2,"Anomaly","Normal")</f>
        <v>Normal</v>
      </c>
      <c r="R302" s="5">
        <f>SUMIFS(Table4[BudgetAmount],Table4[ActualExpense],"pending")</f>
        <v>0</v>
      </c>
    </row>
    <row r="303" spans="1:18">
      <c r="A303" t="s">
        <v>614</v>
      </c>
      <c r="B303" t="s">
        <v>615</v>
      </c>
      <c r="C303" t="s">
        <v>33</v>
      </c>
      <c r="D303" t="s">
        <v>16</v>
      </c>
      <c r="E303" t="s">
        <v>71</v>
      </c>
      <c r="F303" t="s">
        <v>72</v>
      </c>
      <c r="G303" s="2">
        <v>162692</v>
      </c>
      <c r="H303" s="1">
        <v>139371</v>
      </c>
      <c r="I303">
        <v>-23321</v>
      </c>
      <c r="J303" t="s">
        <v>37</v>
      </c>
      <c r="K303" t="s">
        <v>67</v>
      </c>
      <c r="L303" t="s">
        <v>21</v>
      </c>
      <c r="M303" t="s">
        <v>42</v>
      </c>
      <c r="N303" s="5">
        <f>Table4[[#This Row],[BudgetAmount]]/Table4[[#This Row],[Variance]]</f>
        <v>-6.9762017066163544</v>
      </c>
      <c r="O303" s="5" t="str">
        <f>TEXT(Table4[[#This Row],[Date]],"mmm")</f>
        <v>Jul</v>
      </c>
      <c r="P303" s="5">
        <f>ABS(Table4[[#This Row],[Variance]])</f>
        <v>23321</v>
      </c>
      <c r="Q303" s="5" t="str">
        <f>IF(Table4[[#This Row],[AB Variances ]]&gt;$P$2,"Anomaly","Normal")</f>
        <v>Anomaly</v>
      </c>
      <c r="R303" s="5">
        <f>SUMIFS(Table4[BudgetAmount],Table4[ActualExpense],"pending")</f>
        <v>0</v>
      </c>
    </row>
    <row r="304" spans="1:18">
      <c r="A304" t="s">
        <v>616</v>
      </c>
      <c r="B304" t="s">
        <v>588</v>
      </c>
      <c r="C304" t="s">
        <v>25</v>
      </c>
      <c r="D304" t="s">
        <v>26</v>
      </c>
      <c r="E304" t="s">
        <v>85</v>
      </c>
      <c r="F304" t="s">
        <v>86</v>
      </c>
      <c r="G304" s="2">
        <v>462453</v>
      </c>
      <c r="H304" s="1">
        <v>454510</v>
      </c>
      <c r="I304">
        <v>-7943</v>
      </c>
      <c r="J304" t="s">
        <v>19</v>
      </c>
      <c r="K304" t="s">
        <v>20</v>
      </c>
      <c r="L304" t="s">
        <v>21</v>
      </c>
      <c r="M304" t="s">
        <v>42</v>
      </c>
      <c r="N304" s="5">
        <f>Table4[[#This Row],[BudgetAmount]]/Table4[[#This Row],[Variance]]</f>
        <v>-58.22145285156742</v>
      </c>
      <c r="O304" s="5" t="str">
        <f>TEXT(Table4[[#This Row],[Date]],"mmm")</f>
        <v>Nov</v>
      </c>
      <c r="P304" s="5">
        <f>ABS(Table4[[#This Row],[Variance]])</f>
        <v>7943</v>
      </c>
      <c r="Q304" s="5" t="str">
        <f>IF(Table4[[#This Row],[AB Variances ]]&gt;$P$2,"Anomaly","Normal")</f>
        <v>Normal</v>
      </c>
      <c r="R304" s="5">
        <f>SUMIFS(Table4[BudgetAmount],Table4[ActualExpense],"pending")</f>
        <v>0</v>
      </c>
    </row>
    <row r="305" spans="1:18">
      <c r="A305" t="s">
        <v>617</v>
      </c>
      <c r="B305" t="s">
        <v>618</v>
      </c>
      <c r="C305" t="s">
        <v>25</v>
      </c>
      <c r="D305" t="s">
        <v>16</v>
      </c>
      <c r="E305" t="s">
        <v>35</v>
      </c>
      <c r="F305" t="s">
        <v>36</v>
      </c>
      <c r="G305" s="2">
        <v>471905</v>
      </c>
      <c r="H305" s="1">
        <v>537409</v>
      </c>
      <c r="I305">
        <v>65504</v>
      </c>
      <c r="J305" t="s">
        <v>37</v>
      </c>
      <c r="K305" t="s">
        <v>29</v>
      </c>
      <c r="L305" t="s">
        <v>30</v>
      </c>
      <c r="M305" t="s">
        <v>22</v>
      </c>
      <c r="N305" s="5">
        <f>Table4[[#This Row],[BudgetAmount]]/Table4[[#This Row],[Variance]]</f>
        <v>7.2042165363947239</v>
      </c>
      <c r="O305" s="5" t="str">
        <f>TEXT(Table4[[#This Row],[Date]],"mmm")</f>
        <v>Jun</v>
      </c>
      <c r="P305" s="5">
        <f>ABS(Table4[[#This Row],[Variance]])</f>
        <v>65504</v>
      </c>
      <c r="Q305" s="5" t="str">
        <f>IF(Table4[[#This Row],[AB Variances ]]&gt;$P$2,"Anomaly","Normal")</f>
        <v>Anomaly</v>
      </c>
      <c r="R305" s="5">
        <f>SUMIFS(Table4[BudgetAmount],Table4[ActualExpense],"pending")</f>
        <v>0</v>
      </c>
    </row>
    <row r="306" spans="1:18">
      <c r="A306" t="s">
        <v>619</v>
      </c>
      <c r="B306" t="s">
        <v>620</v>
      </c>
      <c r="C306" t="s">
        <v>15</v>
      </c>
      <c r="D306" t="s">
        <v>34</v>
      </c>
      <c r="E306" t="s">
        <v>27</v>
      </c>
      <c r="F306" t="s">
        <v>28</v>
      </c>
      <c r="G306" s="2">
        <v>259761</v>
      </c>
      <c r="H306" s="1">
        <v>243779</v>
      </c>
      <c r="I306">
        <v>-15982</v>
      </c>
      <c r="J306" t="s">
        <v>37</v>
      </c>
      <c r="K306" t="s">
        <v>48</v>
      </c>
      <c r="L306" t="s">
        <v>49</v>
      </c>
      <c r="M306" t="s">
        <v>22</v>
      </c>
      <c r="N306" s="5">
        <f>Table4[[#This Row],[BudgetAmount]]/Table4[[#This Row],[Variance]]</f>
        <v>-16.253347515955451</v>
      </c>
      <c r="O306" s="5" t="str">
        <f>TEXT(Table4[[#This Row],[Date]],"mmm")</f>
        <v>Mar</v>
      </c>
      <c r="P306" s="5">
        <f>ABS(Table4[[#This Row],[Variance]])</f>
        <v>15982</v>
      </c>
      <c r="Q306" s="5" t="str">
        <f>IF(Table4[[#This Row],[AB Variances ]]&gt;$P$2,"Anomaly","Normal")</f>
        <v>Normal</v>
      </c>
      <c r="R306" s="5">
        <f>SUMIFS(Table4[BudgetAmount],Table4[ActualExpense],"pending")</f>
        <v>0</v>
      </c>
    </row>
    <row r="307" spans="1:18">
      <c r="A307" t="s">
        <v>621</v>
      </c>
      <c r="B307" t="s">
        <v>622</v>
      </c>
      <c r="C307" t="s">
        <v>64</v>
      </c>
      <c r="D307" t="s">
        <v>26</v>
      </c>
      <c r="E307" t="s">
        <v>71</v>
      </c>
      <c r="F307" t="s">
        <v>72</v>
      </c>
      <c r="G307" s="2">
        <v>281862</v>
      </c>
      <c r="H307" s="1">
        <v>369224</v>
      </c>
      <c r="I307">
        <v>87362</v>
      </c>
      <c r="J307" t="s">
        <v>19</v>
      </c>
      <c r="K307" t="s">
        <v>29</v>
      </c>
      <c r="L307" t="s">
        <v>21</v>
      </c>
      <c r="M307" t="s">
        <v>22</v>
      </c>
      <c r="N307" s="5">
        <f>Table4[[#This Row],[BudgetAmount]]/Table4[[#This Row],[Variance]]</f>
        <v>3.2263684439458804</v>
      </c>
      <c r="O307" s="5" t="str">
        <f>TEXT(Table4[[#This Row],[Date]],"mmm")</f>
        <v>Sep</v>
      </c>
      <c r="P307" s="5">
        <f>ABS(Table4[[#This Row],[Variance]])</f>
        <v>87362</v>
      </c>
      <c r="Q307" s="5" t="str">
        <f>IF(Table4[[#This Row],[AB Variances ]]&gt;$P$2,"Anomaly","Normal")</f>
        <v>Anomaly</v>
      </c>
      <c r="R307" s="5">
        <f>SUMIFS(Table4[BudgetAmount],Table4[ActualExpense],"pending")</f>
        <v>0</v>
      </c>
    </row>
    <row r="308" spans="1:18">
      <c r="A308" t="s">
        <v>623</v>
      </c>
      <c r="B308" t="s">
        <v>624</v>
      </c>
      <c r="C308" t="s">
        <v>45</v>
      </c>
      <c r="D308" t="s">
        <v>26</v>
      </c>
      <c r="E308" t="s">
        <v>71</v>
      </c>
      <c r="F308" t="s">
        <v>72</v>
      </c>
      <c r="G308" s="2">
        <v>113251</v>
      </c>
      <c r="H308" s="1">
        <v>111150</v>
      </c>
      <c r="I308">
        <v>-2101</v>
      </c>
      <c r="J308" t="s">
        <v>19</v>
      </c>
      <c r="K308" t="s">
        <v>48</v>
      </c>
      <c r="L308" t="s">
        <v>68</v>
      </c>
      <c r="M308" t="s">
        <v>42</v>
      </c>
      <c r="N308" s="5">
        <f>Table4[[#This Row],[BudgetAmount]]/Table4[[#This Row],[Variance]]</f>
        <v>-53.903379343169917</v>
      </c>
      <c r="O308" s="5" t="str">
        <f>TEXT(Table4[[#This Row],[Date]],"mmm")</f>
        <v>Dec</v>
      </c>
      <c r="P308" s="5">
        <f>ABS(Table4[[#This Row],[Variance]])</f>
        <v>2101</v>
      </c>
      <c r="Q308" s="5" t="str">
        <f>IF(Table4[[#This Row],[AB Variances ]]&gt;$P$2,"Anomaly","Normal")</f>
        <v>Normal</v>
      </c>
      <c r="R308" s="5">
        <f>SUMIFS(Table4[BudgetAmount],Table4[ActualExpense],"pending")</f>
        <v>0</v>
      </c>
    </row>
    <row r="309" spans="1:18">
      <c r="A309" t="s">
        <v>625</v>
      </c>
      <c r="B309" t="s">
        <v>626</v>
      </c>
      <c r="C309" t="s">
        <v>33</v>
      </c>
      <c r="D309" t="s">
        <v>40</v>
      </c>
      <c r="E309" t="s">
        <v>85</v>
      </c>
      <c r="F309" t="s">
        <v>86</v>
      </c>
      <c r="G309" s="2">
        <v>429180</v>
      </c>
      <c r="H309" s="1">
        <v>408516</v>
      </c>
      <c r="I309">
        <v>-20664</v>
      </c>
      <c r="J309" t="s">
        <v>54</v>
      </c>
      <c r="K309" t="s">
        <v>48</v>
      </c>
      <c r="L309" t="s">
        <v>68</v>
      </c>
      <c r="M309" t="s">
        <v>42</v>
      </c>
      <c r="N309" s="5">
        <f>Table4[[#This Row],[BudgetAmount]]/Table4[[#This Row],[Variance]]</f>
        <v>-20.769454123112659</v>
      </c>
      <c r="O309" s="5" t="str">
        <f>TEXT(Table4[[#This Row],[Date]],"mmm")</f>
        <v>May</v>
      </c>
      <c r="P309" s="5">
        <f>ABS(Table4[[#This Row],[Variance]])</f>
        <v>20664</v>
      </c>
      <c r="Q309" s="5" t="str">
        <f>IF(Table4[[#This Row],[AB Variances ]]&gt;$P$2,"Anomaly","Normal")</f>
        <v>Anomaly</v>
      </c>
      <c r="R309" s="5">
        <f>SUMIFS(Table4[BudgetAmount],Table4[ActualExpense],"pending")</f>
        <v>0</v>
      </c>
    </row>
    <row r="310" spans="1:18">
      <c r="A310" t="s">
        <v>627</v>
      </c>
      <c r="B310" t="s">
        <v>597</v>
      </c>
      <c r="C310" t="s">
        <v>33</v>
      </c>
      <c r="D310" t="s">
        <v>26</v>
      </c>
      <c r="E310" t="s">
        <v>27</v>
      </c>
      <c r="F310" t="s">
        <v>28</v>
      </c>
      <c r="G310" s="2">
        <v>180333</v>
      </c>
      <c r="H310" s="1">
        <v>136810</v>
      </c>
      <c r="I310">
        <v>-43523</v>
      </c>
      <c r="J310" t="s">
        <v>54</v>
      </c>
      <c r="K310" t="s">
        <v>41</v>
      </c>
      <c r="L310" t="s">
        <v>30</v>
      </c>
      <c r="M310" t="s">
        <v>22</v>
      </c>
      <c r="N310" s="5">
        <f>Table4[[#This Row],[BudgetAmount]]/Table4[[#This Row],[Variance]]</f>
        <v>-4.1433954460859779</v>
      </c>
      <c r="O310" s="5" t="str">
        <f>TEXT(Table4[[#This Row],[Date]],"mmm")</f>
        <v>Jan</v>
      </c>
      <c r="P310" s="5">
        <f>ABS(Table4[[#This Row],[Variance]])</f>
        <v>43523</v>
      </c>
      <c r="Q310" s="5" t="str">
        <f>IF(Table4[[#This Row],[AB Variances ]]&gt;$P$2,"Anomaly","Normal")</f>
        <v>Anomaly</v>
      </c>
      <c r="R310" s="5">
        <f>SUMIFS(Table4[BudgetAmount],Table4[ActualExpense],"pending")</f>
        <v>0</v>
      </c>
    </row>
    <row r="311" spans="1:18">
      <c r="A311" t="s">
        <v>628</v>
      </c>
      <c r="B311" t="s">
        <v>629</v>
      </c>
      <c r="C311" t="s">
        <v>45</v>
      </c>
      <c r="D311" t="s">
        <v>16</v>
      </c>
      <c r="E311" t="s">
        <v>46</v>
      </c>
      <c r="F311" t="s">
        <v>47</v>
      </c>
      <c r="G311" s="2">
        <v>436966</v>
      </c>
      <c r="H311" s="1">
        <v>314990</v>
      </c>
      <c r="I311">
        <v>-121976</v>
      </c>
      <c r="J311" t="s">
        <v>54</v>
      </c>
      <c r="K311" t="s">
        <v>41</v>
      </c>
      <c r="L311" t="s">
        <v>21</v>
      </c>
      <c r="M311" t="s">
        <v>22</v>
      </c>
      <c r="N311" s="5">
        <f>Table4[[#This Row],[BudgetAmount]]/Table4[[#This Row],[Variance]]</f>
        <v>-3.5823932576900375</v>
      </c>
      <c r="O311" s="5" t="str">
        <f>TEXT(Table4[[#This Row],[Date]],"mmm")</f>
        <v>Jun</v>
      </c>
      <c r="P311" s="5">
        <f>ABS(Table4[[#This Row],[Variance]])</f>
        <v>121976</v>
      </c>
      <c r="Q311" s="5" t="str">
        <f>IF(Table4[[#This Row],[AB Variances ]]&gt;$P$2,"Anomaly","Normal")</f>
        <v>Anomaly</v>
      </c>
      <c r="R311" s="5">
        <f>SUMIFS(Table4[BudgetAmount],Table4[ActualExpense],"pending")</f>
        <v>0</v>
      </c>
    </row>
    <row r="312" spans="1:18">
      <c r="A312" t="s">
        <v>630</v>
      </c>
      <c r="B312" t="s">
        <v>631</v>
      </c>
      <c r="C312" t="s">
        <v>64</v>
      </c>
      <c r="D312" t="s">
        <v>26</v>
      </c>
      <c r="E312" t="s">
        <v>17</v>
      </c>
      <c r="F312" t="s">
        <v>18</v>
      </c>
      <c r="G312" s="2">
        <v>483414</v>
      </c>
      <c r="H312" s="1">
        <v>544500</v>
      </c>
      <c r="I312">
        <v>61086</v>
      </c>
      <c r="J312" t="s">
        <v>37</v>
      </c>
      <c r="K312" t="s">
        <v>48</v>
      </c>
      <c r="L312" t="s">
        <v>30</v>
      </c>
      <c r="M312" t="s">
        <v>42</v>
      </c>
      <c r="N312" s="5">
        <f>Table4[[#This Row],[BudgetAmount]]/Table4[[#This Row],[Variance]]</f>
        <v>7.9136627050387975</v>
      </c>
      <c r="O312" s="5" t="str">
        <f>TEXT(Table4[[#This Row],[Date]],"mmm")</f>
        <v>Dec</v>
      </c>
      <c r="P312" s="5">
        <f>ABS(Table4[[#This Row],[Variance]])</f>
        <v>61086</v>
      </c>
      <c r="Q312" s="5" t="str">
        <f>IF(Table4[[#This Row],[AB Variances ]]&gt;$P$2,"Anomaly","Normal")</f>
        <v>Anomaly</v>
      </c>
      <c r="R312" s="5">
        <f>SUMIFS(Table4[BudgetAmount],Table4[ActualExpense],"pending")</f>
        <v>0</v>
      </c>
    </row>
    <row r="313" spans="1:18">
      <c r="A313" t="s">
        <v>632</v>
      </c>
      <c r="B313" t="s">
        <v>633</v>
      </c>
      <c r="C313" t="s">
        <v>35</v>
      </c>
      <c r="D313" t="s">
        <v>61</v>
      </c>
      <c r="E313" t="s">
        <v>17</v>
      </c>
      <c r="F313" t="s">
        <v>18</v>
      </c>
      <c r="G313" s="2">
        <v>354576</v>
      </c>
      <c r="H313" s="1">
        <v>345696</v>
      </c>
      <c r="I313">
        <v>-8880</v>
      </c>
      <c r="J313" t="s">
        <v>54</v>
      </c>
      <c r="K313" t="s">
        <v>41</v>
      </c>
      <c r="L313" t="s">
        <v>68</v>
      </c>
      <c r="M313" t="s">
        <v>22</v>
      </c>
      <c r="N313" s="5">
        <f>Table4[[#This Row],[BudgetAmount]]/Table4[[#This Row],[Variance]]</f>
        <v>-39.929729729729729</v>
      </c>
      <c r="O313" s="5" t="str">
        <f>TEXT(Table4[[#This Row],[Date]],"mmm")</f>
        <v>Dec</v>
      </c>
      <c r="P313" s="5">
        <f>ABS(Table4[[#This Row],[Variance]])</f>
        <v>8880</v>
      </c>
      <c r="Q313" s="5" t="str">
        <f>IF(Table4[[#This Row],[AB Variances ]]&gt;$P$2,"Anomaly","Normal")</f>
        <v>Normal</v>
      </c>
      <c r="R313" s="5">
        <f>SUMIFS(Table4[BudgetAmount],Table4[ActualExpense],"pending")</f>
        <v>0</v>
      </c>
    </row>
    <row r="314" spans="1:18">
      <c r="A314" t="s">
        <v>634</v>
      </c>
      <c r="B314" t="s">
        <v>170</v>
      </c>
      <c r="C314" t="s">
        <v>35</v>
      </c>
      <c r="D314" t="s">
        <v>16</v>
      </c>
      <c r="E314" t="s">
        <v>27</v>
      </c>
      <c r="F314" t="s">
        <v>28</v>
      </c>
      <c r="G314" s="2">
        <v>394239</v>
      </c>
      <c r="H314" s="1">
        <v>401347</v>
      </c>
      <c r="I314">
        <v>7108</v>
      </c>
      <c r="J314" t="s">
        <v>19</v>
      </c>
      <c r="K314" t="s">
        <v>20</v>
      </c>
      <c r="L314" t="s">
        <v>68</v>
      </c>
      <c r="M314" t="s">
        <v>22</v>
      </c>
      <c r="N314" s="5">
        <f>Table4[[#This Row],[BudgetAmount]]/Table4[[#This Row],[Variance]]</f>
        <v>55.464124929656727</v>
      </c>
      <c r="O314" s="5" t="str">
        <f>TEXT(Table4[[#This Row],[Date]],"mmm")</f>
        <v>Jan</v>
      </c>
      <c r="P314" s="5">
        <f>ABS(Table4[[#This Row],[Variance]])</f>
        <v>7108</v>
      </c>
      <c r="Q314" s="5" t="str">
        <f>IF(Table4[[#This Row],[AB Variances ]]&gt;$P$2,"Anomaly","Normal")</f>
        <v>Normal</v>
      </c>
      <c r="R314" s="5">
        <f>SUMIFS(Table4[BudgetAmount],Table4[ActualExpense],"pending")</f>
        <v>0</v>
      </c>
    </row>
    <row r="315" spans="1:18">
      <c r="A315" t="s">
        <v>635</v>
      </c>
      <c r="B315" t="s">
        <v>636</v>
      </c>
      <c r="C315" t="s">
        <v>25</v>
      </c>
      <c r="D315" t="s">
        <v>16</v>
      </c>
      <c r="E315" t="s">
        <v>46</v>
      </c>
      <c r="F315" t="s">
        <v>47</v>
      </c>
      <c r="G315" s="2">
        <v>287123</v>
      </c>
      <c r="H315" s="1">
        <v>329720</v>
      </c>
      <c r="I315">
        <v>42597</v>
      </c>
      <c r="J315" t="s">
        <v>37</v>
      </c>
      <c r="K315" t="s">
        <v>48</v>
      </c>
      <c r="L315" t="s">
        <v>30</v>
      </c>
      <c r="M315" t="s">
        <v>22</v>
      </c>
      <c r="N315" s="5">
        <f>Table4[[#This Row],[BudgetAmount]]/Table4[[#This Row],[Variance]]</f>
        <v>6.7404512054839545</v>
      </c>
      <c r="O315" s="5" t="str">
        <f>TEXT(Table4[[#This Row],[Date]],"mmm")</f>
        <v>Mar</v>
      </c>
      <c r="P315" s="5">
        <f>ABS(Table4[[#This Row],[Variance]])</f>
        <v>42597</v>
      </c>
      <c r="Q315" s="5" t="str">
        <f>IF(Table4[[#This Row],[AB Variances ]]&gt;$P$2,"Anomaly","Normal")</f>
        <v>Anomaly</v>
      </c>
      <c r="R315" s="5">
        <f>SUMIFS(Table4[BudgetAmount],Table4[ActualExpense],"pending")</f>
        <v>0</v>
      </c>
    </row>
    <row r="316" spans="1:18">
      <c r="A316" t="s">
        <v>637</v>
      </c>
      <c r="B316" t="s">
        <v>638</v>
      </c>
      <c r="C316" t="s">
        <v>35</v>
      </c>
      <c r="D316" t="s">
        <v>61</v>
      </c>
      <c r="E316" t="s">
        <v>27</v>
      </c>
      <c r="F316" t="s">
        <v>28</v>
      </c>
      <c r="G316" s="2">
        <v>96376</v>
      </c>
      <c r="H316" s="1">
        <v>85989</v>
      </c>
      <c r="I316">
        <v>-10387</v>
      </c>
      <c r="J316" t="s">
        <v>54</v>
      </c>
      <c r="K316" t="s">
        <v>20</v>
      </c>
      <c r="L316" t="s">
        <v>68</v>
      </c>
      <c r="M316" t="s">
        <v>22</v>
      </c>
      <c r="N316" s="5">
        <f>Table4[[#This Row],[BudgetAmount]]/Table4[[#This Row],[Variance]]</f>
        <v>-9.2785212284586507</v>
      </c>
      <c r="O316" s="5" t="str">
        <f>TEXT(Table4[[#This Row],[Date]],"mmm")</f>
        <v>Sep</v>
      </c>
      <c r="P316" s="5">
        <f>ABS(Table4[[#This Row],[Variance]])</f>
        <v>10387</v>
      </c>
      <c r="Q316" s="5" t="str">
        <f>IF(Table4[[#This Row],[AB Variances ]]&gt;$P$2,"Anomaly","Normal")</f>
        <v>Normal</v>
      </c>
      <c r="R316" s="5">
        <f>SUMIFS(Table4[BudgetAmount],Table4[ActualExpense],"pending")</f>
        <v>0</v>
      </c>
    </row>
    <row r="317" spans="1:18">
      <c r="A317" t="s">
        <v>639</v>
      </c>
      <c r="B317" t="s">
        <v>640</v>
      </c>
      <c r="C317" t="s">
        <v>45</v>
      </c>
      <c r="D317" t="s">
        <v>26</v>
      </c>
      <c r="E317" t="s">
        <v>46</v>
      </c>
      <c r="F317" t="s">
        <v>47</v>
      </c>
      <c r="G317" s="2">
        <v>323909</v>
      </c>
      <c r="H317" s="1">
        <v>315658</v>
      </c>
      <c r="I317">
        <v>-8251</v>
      </c>
      <c r="J317" t="s">
        <v>19</v>
      </c>
      <c r="K317" t="s">
        <v>41</v>
      </c>
      <c r="L317" t="s">
        <v>49</v>
      </c>
      <c r="M317" t="s">
        <v>22</v>
      </c>
      <c r="N317" s="5">
        <f>Table4[[#This Row],[BudgetAmount]]/Table4[[#This Row],[Variance]]</f>
        <v>-39.256938552902682</v>
      </c>
      <c r="O317" s="5" t="str">
        <f>TEXT(Table4[[#This Row],[Date]],"mmm")</f>
        <v>Dec</v>
      </c>
      <c r="P317" s="5">
        <f>ABS(Table4[[#This Row],[Variance]])</f>
        <v>8251</v>
      </c>
      <c r="Q317" s="5" t="str">
        <f>IF(Table4[[#This Row],[AB Variances ]]&gt;$P$2,"Anomaly","Normal")</f>
        <v>Normal</v>
      </c>
      <c r="R317" s="5">
        <f>SUMIFS(Table4[BudgetAmount],Table4[ActualExpense],"pending")</f>
        <v>0</v>
      </c>
    </row>
    <row r="318" spans="1:18">
      <c r="A318" t="s">
        <v>641</v>
      </c>
      <c r="B318" t="s">
        <v>146</v>
      </c>
      <c r="C318" t="s">
        <v>25</v>
      </c>
      <c r="D318" t="s">
        <v>40</v>
      </c>
      <c r="E318" t="s">
        <v>17</v>
      </c>
      <c r="F318" t="s">
        <v>18</v>
      </c>
      <c r="G318" s="2">
        <v>485954</v>
      </c>
      <c r="H318" s="1">
        <v>609932</v>
      </c>
      <c r="I318">
        <v>123978</v>
      </c>
      <c r="J318" t="s">
        <v>37</v>
      </c>
      <c r="K318" t="s">
        <v>48</v>
      </c>
      <c r="L318" t="s">
        <v>21</v>
      </c>
      <c r="M318" t="s">
        <v>42</v>
      </c>
      <c r="N318" s="5">
        <f>Table4[[#This Row],[BudgetAmount]]/Table4[[#This Row],[Variance]]</f>
        <v>3.9196792979399571</v>
      </c>
      <c r="O318" s="5" t="str">
        <f>TEXT(Table4[[#This Row],[Date]],"mmm")</f>
        <v>Nov</v>
      </c>
      <c r="P318" s="5">
        <f>ABS(Table4[[#This Row],[Variance]])</f>
        <v>123978</v>
      </c>
      <c r="Q318" s="5" t="str">
        <f>IF(Table4[[#This Row],[AB Variances ]]&gt;$P$2,"Anomaly","Normal")</f>
        <v>Anomaly</v>
      </c>
      <c r="R318" s="5">
        <f>SUMIFS(Table4[BudgetAmount],Table4[ActualExpense],"pending")</f>
        <v>0</v>
      </c>
    </row>
    <row r="319" spans="1:18">
      <c r="A319" t="s">
        <v>642</v>
      </c>
      <c r="B319" t="s">
        <v>643</v>
      </c>
      <c r="C319" t="s">
        <v>64</v>
      </c>
      <c r="D319" t="s">
        <v>61</v>
      </c>
      <c r="E319" t="s">
        <v>35</v>
      </c>
      <c r="F319" t="s">
        <v>36</v>
      </c>
      <c r="G319" s="2">
        <v>127954</v>
      </c>
      <c r="H319" s="1">
        <v>139538</v>
      </c>
      <c r="I319">
        <v>11584</v>
      </c>
      <c r="J319" t="s">
        <v>54</v>
      </c>
      <c r="K319" t="s">
        <v>20</v>
      </c>
      <c r="L319" t="s">
        <v>49</v>
      </c>
      <c r="M319" t="s">
        <v>22</v>
      </c>
      <c r="N319" s="5">
        <f>Table4[[#This Row],[BudgetAmount]]/Table4[[#This Row],[Variance]]</f>
        <v>11.04575276243094</v>
      </c>
      <c r="O319" s="5" t="str">
        <f>TEXT(Table4[[#This Row],[Date]],"mmm")</f>
        <v>Jan</v>
      </c>
      <c r="P319" s="5">
        <f>ABS(Table4[[#This Row],[Variance]])</f>
        <v>11584</v>
      </c>
      <c r="Q319" s="5" t="str">
        <f>IF(Table4[[#This Row],[AB Variances ]]&gt;$P$2,"Anomaly","Normal")</f>
        <v>Normal</v>
      </c>
      <c r="R319" s="5">
        <f>SUMIFS(Table4[BudgetAmount],Table4[ActualExpense],"pending")</f>
        <v>0</v>
      </c>
    </row>
    <row r="320" spans="1:18">
      <c r="A320" t="s">
        <v>644</v>
      </c>
      <c r="B320" t="s">
        <v>251</v>
      </c>
      <c r="C320" t="s">
        <v>35</v>
      </c>
      <c r="D320" t="s">
        <v>34</v>
      </c>
      <c r="E320" t="s">
        <v>46</v>
      </c>
      <c r="F320" t="s">
        <v>47</v>
      </c>
      <c r="G320" s="2">
        <v>63780</v>
      </c>
      <c r="H320" s="1">
        <v>45901</v>
      </c>
      <c r="I320">
        <v>-17879</v>
      </c>
      <c r="J320" t="s">
        <v>54</v>
      </c>
      <c r="K320" t="s">
        <v>48</v>
      </c>
      <c r="L320" t="s">
        <v>30</v>
      </c>
      <c r="M320" t="s">
        <v>42</v>
      </c>
      <c r="N320" s="5">
        <f>Table4[[#This Row],[BudgetAmount]]/Table4[[#This Row],[Variance]]</f>
        <v>-3.5673136081436323</v>
      </c>
      <c r="O320" s="5" t="str">
        <f>TEXT(Table4[[#This Row],[Date]],"mmm")</f>
        <v>Sep</v>
      </c>
      <c r="P320" s="5">
        <f>ABS(Table4[[#This Row],[Variance]])</f>
        <v>17879</v>
      </c>
      <c r="Q320" s="5" t="str">
        <f>IF(Table4[[#This Row],[AB Variances ]]&gt;$P$2,"Anomaly","Normal")</f>
        <v>Anomaly</v>
      </c>
      <c r="R320" s="5">
        <f>SUMIFS(Table4[BudgetAmount],Table4[ActualExpense],"pending")</f>
        <v>0</v>
      </c>
    </row>
    <row r="321" spans="1:18">
      <c r="A321" t="s">
        <v>645</v>
      </c>
      <c r="B321" t="s">
        <v>646</v>
      </c>
      <c r="C321" t="s">
        <v>45</v>
      </c>
      <c r="D321" t="s">
        <v>40</v>
      </c>
      <c r="E321" t="s">
        <v>27</v>
      </c>
      <c r="F321" t="s">
        <v>28</v>
      </c>
      <c r="G321" s="2">
        <v>277845</v>
      </c>
      <c r="H321" s="1">
        <v>241398</v>
      </c>
      <c r="I321">
        <v>-36447</v>
      </c>
      <c r="J321" t="s">
        <v>37</v>
      </c>
      <c r="K321" t="s">
        <v>41</v>
      </c>
      <c r="L321" t="s">
        <v>68</v>
      </c>
      <c r="M321" t="s">
        <v>42</v>
      </c>
      <c r="N321" s="5">
        <f>Table4[[#This Row],[BudgetAmount]]/Table4[[#This Row],[Variance]]</f>
        <v>-7.6232611737591576</v>
      </c>
      <c r="O321" s="5" t="str">
        <f>TEXT(Table4[[#This Row],[Date]],"mmm")</f>
        <v>Nov</v>
      </c>
      <c r="P321" s="5">
        <f>ABS(Table4[[#This Row],[Variance]])</f>
        <v>36447</v>
      </c>
      <c r="Q321" s="5" t="str">
        <f>IF(Table4[[#This Row],[AB Variances ]]&gt;$P$2,"Anomaly","Normal")</f>
        <v>Anomaly</v>
      </c>
      <c r="R321" s="5">
        <f>SUMIFS(Table4[BudgetAmount],Table4[ActualExpense],"pending")</f>
        <v>0</v>
      </c>
    </row>
    <row r="322" spans="1:18">
      <c r="A322" t="s">
        <v>647</v>
      </c>
      <c r="B322" t="s">
        <v>648</v>
      </c>
      <c r="C322" t="s">
        <v>25</v>
      </c>
      <c r="D322" t="s">
        <v>34</v>
      </c>
      <c r="E322" t="s">
        <v>46</v>
      </c>
      <c r="F322" t="s">
        <v>47</v>
      </c>
      <c r="G322" s="2">
        <v>162875</v>
      </c>
      <c r="H322" s="1">
        <v>196018</v>
      </c>
      <c r="I322">
        <v>33143</v>
      </c>
      <c r="J322" t="s">
        <v>54</v>
      </c>
      <c r="K322" t="s">
        <v>41</v>
      </c>
      <c r="L322" t="s">
        <v>68</v>
      </c>
      <c r="M322" t="s">
        <v>42</v>
      </c>
      <c r="N322" s="5">
        <f>Table4[[#This Row],[BudgetAmount]]/Table4[[#This Row],[Variance]]</f>
        <v>4.9143107141779563</v>
      </c>
      <c r="O322" s="5" t="str">
        <f>TEXT(Table4[[#This Row],[Date]],"mmm")</f>
        <v>Mar</v>
      </c>
      <c r="P322" s="5">
        <f>ABS(Table4[[#This Row],[Variance]])</f>
        <v>33143</v>
      </c>
      <c r="Q322" s="5" t="str">
        <f>IF(Table4[[#This Row],[AB Variances ]]&gt;$P$2,"Anomaly","Normal")</f>
        <v>Anomaly</v>
      </c>
      <c r="R322" s="5">
        <f>SUMIFS(Table4[BudgetAmount],Table4[ActualExpense],"pending")</f>
        <v>0</v>
      </c>
    </row>
    <row r="323" spans="1:18">
      <c r="A323" t="s">
        <v>649</v>
      </c>
      <c r="B323" t="s">
        <v>650</v>
      </c>
      <c r="C323" t="s">
        <v>35</v>
      </c>
      <c r="D323" t="s">
        <v>40</v>
      </c>
      <c r="E323" t="s">
        <v>71</v>
      </c>
      <c r="F323" t="s">
        <v>72</v>
      </c>
      <c r="G323" s="2">
        <v>317318</v>
      </c>
      <c r="H323" s="1">
        <v>262303</v>
      </c>
      <c r="I323">
        <v>-55015</v>
      </c>
      <c r="J323" t="s">
        <v>37</v>
      </c>
      <c r="K323" t="s">
        <v>67</v>
      </c>
      <c r="L323" t="s">
        <v>21</v>
      </c>
      <c r="M323" t="s">
        <v>42</v>
      </c>
      <c r="N323" s="5">
        <f>Table4[[#This Row],[BudgetAmount]]/Table4[[#This Row],[Variance]]</f>
        <v>-5.7678451331455056</v>
      </c>
      <c r="O323" s="5" t="str">
        <f>TEXT(Table4[[#This Row],[Date]],"mmm")</f>
        <v>Dec</v>
      </c>
      <c r="P323" s="5">
        <f>ABS(Table4[[#This Row],[Variance]])</f>
        <v>55015</v>
      </c>
      <c r="Q323" s="5" t="str">
        <f>IF(Table4[[#This Row],[AB Variances ]]&gt;$P$2,"Anomaly","Normal")</f>
        <v>Anomaly</v>
      </c>
      <c r="R323" s="5">
        <f>SUMIFS(Table4[BudgetAmount],Table4[ActualExpense],"pending")</f>
        <v>0</v>
      </c>
    </row>
    <row r="324" spans="1:18">
      <c r="A324" t="s">
        <v>651</v>
      </c>
      <c r="B324" t="s">
        <v>652</v>
      </c>
      <c r="C324" t="s">
        <v>35</v>
      </c>
      <c r="D324" t="s">
        <v>61</v>
      </c>
      <c r="E324" t="s">
        <v>46</v>
      </c>
      <c r="F324" t="s">
        <v>47</v>
      </c>
      <c r="G324" s="2">
        <v>161420</v>
      </c>
      <c r="H324" s="1">
        <v>181698</v>
      </c>
      <c r="I324">
        <v>20278</v>
      </c>
      <c r="J324" t="s">
        <v>37</v>
      </c>
      <c r="K324" t="s">
        <v>67</v>
      </c>
      <c r="L324" t="s">
        <v>49</v>
      </c>
      <c r="M324" t="s">
        <v>42</v>
      </c>
      <c r="N324" s="5">
        <f>Table4[[#This Row],[BudgetAmount]]/Table4[[#This Row],[Variance]]</f>
        <v>7.9603511194397871</v>
      </c>
      <c r="O324" s="5" t="str">
        <f>TEXT(Table4[[#This Row],[Date]],"mmm")</f>
        <v>Mar</v>
      </c>
      <c r="P324" s="5">
        <f>ABS(Table4[[#This Row],[Variance]])</f>
        <v>20278</v>
      </c>
      <c r="Q324" s="5" t="str">
        <f>IF(Table4[[#This Row],[AB Variances ]]&gt;$P$2,"Anomaly","Normal")</f>
        <v>Anomaly</v>
      </c>
      <c r="R324" s="5">
        <f>SUMIFS(Table4[BudgetAmount],Table4[ActualExpense],"pending")</f>
        <v>0</v>
      </c>
    </row>
    <row r="325" spans="1:18">
      <c r="A325" t="s">
        <v>653</v>
      </c>
      <c r="B325" t="s">
        <v>654</v>
      </c>
      <c r="C325" t="s">
        <v>25</v>
      </c>
      <c r="D325" t="s">
        <v>40</v>
      </c>
      <c r="E325" t="s">
        <v>71</v>
      </c>
      <c r="F325" t="s">
        <v>72</v>
      </c>
      <c r="G325" s="2">
        <v>255513</v>
      </c>
      <c r="H325" s="1">
        <v>263163</v>
      </c>
      <c r="I325">
        <v>7650</v>
      </c>
      <c r="J325" t="s">
        <v>19</v>
      </c>
      <c r="K325" t="s">
        <v>20</v>
      </c>
      <c r="L325" t="s">
        <v>68</v>
      </c>
      <c r="M325" t="s">
        <v>22</v>
      </c>
      <c r="N325" s="5">
        <f>Table4[[#This Row],[BudgetAmount]]/Table4[[#This Row],[Variance]]</f>
        <v>33.400392156862743</v>
      </c>
      <c r="O325" s="5" t="str">
        <f>TEXT(Table4[[#This Row],[Date]],"mmm")</f>
        <v>Jul</v>
      </c>
      <c r="P325" s="5">
        <f>ABS(Table4[[#This Row],[Variance]])</f>
        <v>7650</v>
      </c>
      <c r="Q325" s="5" t="str">
        <f>IF(Table4[[#This Row],[AB Variances ]]&gt;$P$2,"Anomaly","Normal")</f>
        <v>Normal</v>
      </c>
      <c r="R325" s="5">
        <f>SUMIFS(Table4[BudgetAmount],Table4[ActualExpense],"pending")</f>
        <v>0</v>
      </c>
    </row>
    <row r="326" spans="1:18">
      <c r="A326" t="s">
        <v>655</v>
      </c>
      <c r="B326" t="s">
        <v>656</v>
      </c>
      <c r="C326" t="s">
        <v>33</v>
      </c>
      <c r="D326" t="s">
        <v>40</v>
      </c>
      <c r="E326" t="s">
        <v>71</v>
      </c>
      <c r="F326" t="s">
        <v>72</v>
      </c>
      <c r="G326" s="2">
        <v>458804</v>
      </c>
      <c r="H326" s="1">
        <v>452955</v>
      </c>
      <c r="I326">
        <v>-5849</v>
      </c>
      <c r="J326" t="s">
        <v>19</v>
      </c>
      <c r="K326" t="s">
        <v>48</v>
      </c>
      <c r="L326" t="s">
        <v>21</v>
      </c>
      <c r="M326" t="s">
        <v>42</v>
      </c>
      <c r="N326" s="5">
        <f>Table4[[#This Row],[BudgetAmount]]/Table4[[#This Row],[Variance]]</f>
        <v>-78.441442981706274</v>
      </c>
      <c r="O326" s="5" t="str">
        <f>TEXT(Table4[[#This Row],[Date]],"mmm")</f>
        <v>Nov</v>
      </c>
      <c r="P326" s="5">
        <f>ABS(Table4[[#This Row],[Variance]])</f>
        <v>5849</v>
      </c>
      <c r="Q326" s="5" t="str">
        <f>IF(Table4[[#This Row],[AB Variances ]]&gt;$P$2,"Anomaly","Normal")</f>
        <v>Normal</v>
      </c>
      <c r="R326" s="5">
        <f>SUMIFS(Table4[BudgetAmount],Table4[ActualExpense],"pending")</f>
        <v>0</v>
      </c>
    </row>
    <row r="327" spans="1:18">
      <c r="A327" t="s">
        <v>657</v>
      </c>
      <c r="B327" t="s">
        <v>658</v>
      </c>
      <c r="C327" t="s">
        <v>64</v>
      </c>
      <c r="D327" t="s">
        <v>34</v>
      </c>
      <c r="E327" t="s">
        <v>85</v>
      </c>
      <c r="F327" t="s">
        <v>86</v>
      </c>
      <c r="G327" s="2">
        <v>114512</v>
      </c>
      <c r="H327" s="1">
        <v>104406</v>
      </c>
      <c r="I327">
        <v>-10106</v>
      </c>
      <c r="J327" t="s">
        <v>37</v>
      </c>
      <c r="K327" t="s">
        <v>67</v>
      </c>
      <c r="L327" t="s">
        <v>49</v>
      </c>
      <c r="M327" t="s">
        <v>42</v>
      </c>
      <c r="N327" s="5">
        <f>Table4[[#This Row],[BudgetAmount]]/Table4[[#This Row],[Variance]]</f>
        <v>-11.331090441321987</v>
      </c>
      <c r="O327" s="5" t="str">
        <f>TEXT(Table4[[#This Row],[Date]],"mmm")</f>
        <v>Mar</v>
      </c>
      <c r="P327" s="5">
        <f>ABS(Table4[[#This Row],[Variance]])</f>
        <v>10106</v>
      </c>
      <c r="Q327" s="5" t="str">
        <f>IF(Table4[[#This Row],[AB Variances ]]&gt;$P$2,"Anomaly","Normal")</f>
        <v>Normal</v>
      </c>
      <c r="R327" s="5">
        <f>SUMIFS(Table4[BudgetAmount],Table4[ActualExpense],"pending")</f>
        <v>0</v>
      </c>
    </row>
    <row r="328" spans="1:18">
      <c r="A328" t="s">
        <v>659</v>
      </c>
      <c r="B328" t="s">
        <v>660</v>
      </c>
      <c r="C328" t="s">
        <v>64</v>
      </c>
      <c r="D328" t="s">
        <v>61</v>
      </c>
      <c r="E328" t="s">
        <v>46</v>
      </c>
      <c r="F328" t="s">
        <v>47</v>
      </c>
      <c r="G328" s="2">
        <v>68464</v>
      </c>
      <c r="H328" s="1">
        <v>72613</v>
      </c>
      <c r="I328">
        <v>4149</v>
      </c>
      <c r="J328" t="s">
        <v>19</v>
      </c>
      <c r="K328" t="s">
        <v>48</v>
      </c>
      <c r="L328" t="s">
        <v>49</v>
      </c>
      <c r="M328" t="s">
        <v>42</v>
      </c>
      <c r="N328" s="5">
        <f>Table4[[#This Row],[BudgetAmount]]/Table4[[#This Row],[Variance]]</f>
        <v>16.501325620631476</v>
      </c>
      <c r="O328" s="5" t="str">
        <f>TEXT(Table4[[#This Row],[Date]],"mmm")</f>
        <v>Oct</v>
      </c>
      <c r="P328" s="5">
        <f>ABS(Table4[[#This Row],[Variance]])</f>
        <v>4149</v>
      </c>
      <c r="Q328" s="5" t="str">
        <f>IF(Table4[[#This Row],[AB Variances ]]&gt;$P$2,"Anomaly","Normal")</f>
        <v>Normal</v>
      </c>
      <c r="R328" s="5">
        <f>SUMIFS(Table4[BudgetAmount],Table4[ActualExpense],"pending")</f>
        <v>0</v>
      </c>
    </row>
    <row r="329" spans="1:18">
      <c r="A329" t="s">
        <v>661</v>
      </c>
      <c r="B329" t="s">
        <v>202</v>
      </c>
      <c r="C329" t="s">
        <v>15</v>
      </c>
      <c r="D329" t="s">
        <v>61</v>
      </c>
      <c r="E329" t="s">
        <v>17</v>
      </c>
      <c r="F329" t="s">
        <v>18</v>
      </c>
      <c r="G329" s="2">
        <v>335625</v>
      </c>
      <c r="H329" s="1">
        <v>272114</v>
      </c>
      <c r="I329">
        <v>-63511</v>
      </c>
      <c r="J329" t="s">
        <v>19</v>
      </c>
      <c r="K329" t="s">
        <v>67</v>
      </c>
      <c r="L329" t="s">
        <v>30</v>
      </c>
      <c r="M329" t="s">
        <v>42</v>
      </c>
      <c r="N329" s="5">
        <f>Table4[[#This Row],[BudgetAmount]]/Table4[[#This Row],[Variance]]</f>
        <v>-5.2845176426130909</v>
      </c>
      <c r="O329" s="5" t="str">
        <f>TEXT(Table4[[#This Row],[Date]],"mmm")</f>
        <v>Sep</v>
      </c>
      <c r="P329" s="5">
        <f>ABS(Table4[[#This Row],[Variance]])</f>
        <v>63511</v>
      </c>
      <c r="Q329" s="5" t="str">
        <f>IF(Table4[[#This Row],[AB Variances ]]&gt;$P$2,"Anomaly","Normal")</f>
        <v>Anomaly</v>
      </c>
      <c r="R329" s="5">
        <f>SUMIFS(Table4[BudgetAmount],Table4[ActualExpense],"pending")</f>
        <v>0</v>
      </c>
    </row>
    <row r="330" spans="1:18">
      <c r="A330" t="s">
        <v>662</v>
      </c>
      <c r="B330" t="s">
        <v>663</v>
      </c>
      <c r="C330" t="s">
        <v>15</v>
      </c>
      <c r="D330" t="s">
        <v>16</v>
      </c>
      <c r="E330" t="s">
        <v>27</v>
      </c>
      <c r="F330" t="s">
        <v>28</v>
      </c>
      <c r="G330" s="2">
        <v>164470</v>
      </c>
      <c r="H330" s="1">
        <v>186218</v>
      </c>
      <c r="I330">
        <v>21748</v>
      </c>
      <c r="J330" t="s">
        <v>54</v>
      </c>
      <c r="K330" t="s">
        <v>48</v>
      </c>
      <c r="L330" t="s">
        <v>30</v>
      </c>
      <c r="M330" t="s">
        <v>42</v>
      </c>
      <c r="N330" s="5">
        <f>Table4[[#This Row],[BudgetAmount]]/Table4[[#This Row],[Variance]]</f>
        <v>7.5625344859297403</v>
      </c>
      <c r="O330" s="5" t="str">
        <f>TEXT(Table4[[#This Row],[Date]],"mmm")</f>
        <v>Jul</v>
      </c>
      <c r="P330" s="5">
        <f>ABS(Table4[[#This Row],[Variance]])</f>
        <v>21748</v>
      </c>
      <c r="Q330" s="5" t="str">
        <f>IF(Table4[[#This Row],[AB Variances ]]&gt;$P$2,"Anomaly","Normal")</f>
        <v>Anomaly</v>
      </c>
      <c r="R330" s="5">
        <f>SUMIFS(Table4[BudgetAmount],Table4[ActualExpense],"pending")</f>
        <v>0</v>
      </c>
    </row>
    <row r="331" spans="1:18">
      <c r="A331" t="s">
        <v>664</v>
      </c>
      <c r="B331" t="s">
        <v>665</v>
      </c>
      <c r="C331" t="s">
        <v>33</v>
      </c>
      <c r="D331" t="s">
        <v>16</v>
      </c>
      <c r="E331" t="s">
        <v>71</v>
      </c>
      <c r="F331" t="s">
        <v>72</v>
      </c>
      <c r="G331" s="2">
        <v>368222</v>
      </c>
      <c r="H331" s="1">
        <v>465305</v>
      </c>
      <c r="I331">
        <v>97083</v>
      </c>
      <c r="J331" t="s">
        <v>19</v>
      </c>
      <c r="K331" t="s">
        <v>67</v>
      </c>
      <c r="L331" t="s">
        <v>49</v>
      </c>
      <c r="M331" t="s">
        <v>22</v>
      </c>
      <c r="N331" s="5">
        <f>Table4[[#This Row],[BudgetAmount]]/Table4[[#This Row],[Variance]]</f>
        <v>3.7928576578803703</v>
      </c>
      <c r="O331" s="5" t="str">
        <f>TEXT(Table4[[#This Row],[Date]],"mmm")</f>
        <v>Jul</v>
      </c>
      <c r="P331" s="5">
        <f>ABS(Table4[[#This Row],[Variance]])</f>
        <v>97083</v>
      </c>
      <c r="Q331" s="5" t="str">
        <f>IF(Table4[[#This Row],[AB Variances ]]&gt;$P$2,"Anomaly","Normal")</f>
        <v>Anomaly</v>
      </c>
      <c r="R331" s="5">
        <f>SUMIFS(Table4[BudgetAmount],Table4[ActualExpense],"pending")</f>
        <v>0</v>
      </c>
    </row>
    <row r="332" spans="1:18">
      <c r="A332" t="s">
        <v>666</v>
      </c>
      <c r="B332" t="s">
        <v>462</v>
      </c>
      <c r="C332" t="s">
        <v>25</v>
      </c>
      <c r="D332" t="s">
        <v>26</v>
      </c>
      <c r="E332" t="s">
        <v>46</v>
      </c>
      <c r="F332" t="s">
        <v>47</v>
      </c>
      <c r="G332" s="2">
        <v>485338</v>
      </c>
      <c r="H332" s="1">
        <v>421054</v>
      </c>
      <c r="I332">
        <v>-64284</v>
      </c>
      <c r="J332" t="s">
        <v>19</v>
      </c>
      <c r="K332" t="s">
        <v>20</v>
      </c>
      <c r="L332" t="s">
        <v>21</v>
      </c>
      <c r="M332" t="s">
        <v>42</v>
      </c>
      <c r="N332" s="5">
        <f>Table4[[#This Row],[BudgetAmount]]/Table4[[#This Row],[Variance]]</f>
        <v>-7.5499035529836354</v>
      </c>
      <c r="O332" s="5" t="str">
        <f>TEXT(Table4[[#This Row],[Date]],"mmm")</f>
        <v>Feb</v>
      </c>
      <c r="P332" s="5">
        <f>ABS(Table4[[#This Row],[Variance]])</f>
        <v>64284</v>
      </c>
      <c r="Q332" s="5" t="str">
        <f>IF(Table4[[#This Row],[AB Variances ]]&gt;$P$2,"Anomaly","Normal")</f>
        <v>Anomaly</v>
      </c>
      <c r="R332" s="5">
        <f>SUMIFS(Table4[BudgetAmount],Table4[ActualExpense],"pending")</f>
        <v>0</v>
      </c>
    </row>
    <row r="333" spans="1:18">
      <c r="A333" t="s">
        <v>667</v>
      </c>
      <c r="B333" t="s">
        <v>668</v>
      </c>
      <c r="C333" t="s">
        <v>35</v>
      </c>
      <c r="D333" t="s">
        <v>34</v>
      </c>
      <c r="E333" t="s">
        <v>17</v>
      </c>
      <c r="F333" t="s">
        <v>18</v>
      </c>
      <c r="G333" s="2">
        <v>290957</v>
      </c>
      <c r="H333" s="1">
        <v>351194</v>
      </c>
      <c r="I333">
        <v>60237</v>
      </c>
      <c r="J333" t="s">
        <v>19</v>
      </c>
      <c r="K333" t="s">
        <v>20</v>
      </c>
      <c r="L333" t="s">
        <v>30</v>
      </c>
      <c r="M333" t="s">
        <v>42</v>
      </c>
      <c r="N333" s="5">
        <f>Table4[[#This Row],[BudgetAmount]]/Table4[[#This Row],[Variance]]</f>
        <v>4.8302040274250047</v>
      </c>
      <c r="O333" s="5" t="str">
        <f>TEXT(Table4[[#This Row],[Date]],"mmm")</f>
        <v>Mar</v>
      </c>
      <c r="P333" s="5">
        <f>ABS(Table4[[#This Row],[Variance]])</f>
        <v>60237</v>
      </c>
      <c r="Q333" s="5" t="str">
        <f>IF(Table4[[#This Row],[AB Variances ]]&gt;$P$2,"Anomaly","Normal")</f>
        <v>Anomaly</v>
      </c>
      <c r="R333" s="5">
        <f>SUMIFS(Table4[BudgetAmount],Table4[ActualExpense],"pending")</f>
        <v>0</v>
      </c>
    </row>
    <row r="334" spans="1:18">
      <c r="A334" t="s">
        <v>669</v>
      </c>
      <c r="B334" t="s">
        <v>670</v>
      </c>
      <c r="C334" t="s">
        <v>35</v>
      </c>
      <c r="D334" t="s">
        <v>40</v>
      </c>
      <c r="E334" t="s">
        <v>27</v>
      </c>
      <c r="F334" t="s">
        <v>28</v>
      </c>
      <c r="G334" s="2">
        <v>63479</v>
      </c>
      <c r="H334" s="1">
        <v>44469</v>
      </c>
      <c r="I334">
        <v>-19010</v>
      </c>
      <c r="J334" t="s">
        <v>19</v>
      </c>
      <c r="K334" t="s">
        <v>67</v>
      </c>
      <c r="L334" t="s">
        <v>21</v>
      </c>
      <c r="M334" t="s">
        <v>22</v>
      </c>
      <c r="N334" s="5">
        <f>Table4[[#This Row],[BudgetAmount]]/Table4[[#This Row],[Variance]]</f>
        <v>-3.3392425039452918</v>
      </c>
      <c r="O334" s="5" t="str">
        <f>TEXT(Table4[[#This Row],[Date]],"mmm")</f>
        <v>Aug</v>
      </c>
      <c r="P334" s="5">
        <f>ABS(Table4[[#This Row],[Variance]])</f>
        <v>19010</v>
      </c>
      <c r="Q334" s="5" t="str">
        <f>IF(Table4[[#This Row],[AB Variances ]]&gt;$P$2,"Anomaly","Normal")</f>
        <v>Anomaly</v>
      </c>
      <c r="R334" s="5">
        <f>SUMIFS(Table4[BudgetAmount],Table4[ActualExpense],"pending")</f>
        <v>0</v>
      </c>
    </row>
    <row r="335" spans="1:18">
      <c r="A335" t="s">
        <v>671</v>
      </c>
      <c r="B335" t="s">
        <v>672</v>
      </c>
      <c r="C335" t="s">
        <v>33</v>
      </c>
      <c r="D335" t="s">
        <v>40</v>
      </c>
      <c r="E335" t="s">
        <v>27</v>
      </c>
      <c r="F335" t="s">
        <v>28</v>
      </c>
      <c r="G335" s="2">
        <v>102207</v>
      </c>
      <c r="H335" s="1">
        <v>133022</v>
      </c>
      <c r="I335">
        <v>30815</v>
      </c>
      <c r="J335" t="s">
        <v>54</v>
      </c>
      <c r="K335" t="s">
        <v>41</v>
      </c>
      <c r="L335" t="s">
        <v>49</v>
      </c>
      <c r="M335" t="s">
        <v>42</v>
      </c>
      <c r="N335" s="5">
        <f>Table4[[#This Row],[BudgetAmount]]/Table4[[#This Row],[Variance]]</f>
        <v>3.3167937692682137</v>
      </c>
      <c r="O335" s="5" t="str">
        <f>TEXT(Table4[[#This Row],[Date]],"mmm")</f>
        <v>Dec</v>
      </c>
      <c r="P335" s="5">
        <f>ABS(Table4[[#This Row],[Variance]])</f>
        <v>30815</v>
      </c>
      <c r="Q335" s="5" t="str">
        <f>IF(Table4[[#This Row],[AB Variances ]]&gt;$P$2,"Anomaly","Normal")</f>
        <v>Anomaly</v>
      </c>
      <c r="R335" s="5">
        <f>SUMIFS(Table4[BudgetAmount],Table4[ActualExpense],"pending")</f>
        <v>0</v>
      </c>
    </row>
    <row r="336" spans="1:18">
      <c r="A336" t="s">
        <v>673</v>
      </c>
      <c r="B336" t="s">
        <v>456</v>
      </c>
      <c r="C336" t="s">
        <v>25</v>
      </c>
      <c r="D336" t="s">
        <v>26</v>
      </c>
      <c r="E336" t="s">
        <v>71</v>
      </c>
      <c r="F336" t="s">
        <v>72</v>
      </c>
      <c r="G336" s="2">
        <v>296026</v>
      </c>
      <c r="H336" s="1">
        <v>223743</v>
      </c>
      <c r="I336">
        <v>-72283</v>
      </c>
      <c r="J336" t="s">
        <v>37</v>
      </c>
      <c r="K336" t="s">
        <v>29</v>
      </c>
      <c r="L336" t="s">
        <v>30</v>
      </c>
      <c r="M336" t="s">
        <v>42</v>
      </c>
      <c r="N336" s="5">
        <f>Table4[[#This Row],[BudgetAmount]]/Table4[[#This Row],[Variance]]</f>
        <v>-4.0953751227812898</v>
      </c>
      <c r="O336" s="5" t="str">
        <f>TEXT(Table4[[#This Row],[Date]],"mmm")</f>
        <v>May</v>
      </c>
      <c r="P336" s="5">
        <f>ABS(Table4[[#This Row],[Variance]])</f>
        <v>72283</v>
      </c>
      <c r="Q336" s="5" t="str">
        <f>IF(Table4[[#This Row],[AB Variances ]]&gt;$P$2,"Anomaly","Normal")</f>
        <v>Anomaly</v>
      </c>
      <c r="R336" s="5">
        <f>SUMIFS(Table4[BudgetAmount],Table4[ActualExpense],"pending")</f>
        <v>0</v>
      </c>
    </row>
    <row r="337" spans="1:18">
      <c r="A337" t="s">
        <v>674</v>
      </c>
      <c r="B337" t="s">
        <v>312</v>
      </c>
      <c r="C337" t="s">
        <v>35</v>
      </c>
      <c r="D337" t="s">
        <v>16</v>
      </c>
      <c r="E337" t="s">
        <v>17</v>
      </c>
      <c r="F337" t="s">
        <v>18</v>
      </c>
      <c r="G337" s="2">
        <v>133568</v>
      </c>
      <c r="H337" s="1">
        <v>126629</v>
      </c>
      <c r="I337">
        <v>-6939</v>
      </c>
      <c r="J337" t="s">
        <v>19</v>
      </c>
      <c r="K337" t="s">
        <v>67</v>
      </c>
      <c r="L337" t="s">
        <v>21</v>
      </c>
      <c r="M337" t="s">
        <v>22</v>
      </c>
      <c r="N337" s="5">
        <f>Table4[[#This Row],[BudgetAmount]]/Table4[[#This Row],[Variance]]</f>
        <v>-19.248883124369506</v>
      </c>
      <c r="O337" s="5" t="str">
        <f>TEXT(Table4[[#This Row],[Date]],"mmm")</f>
        <v>Apr</v>
      </c>
      <c r="P337" s="5">
        <f>ABS(Table4[[#This Row],[Variance]])</f>
        <v>6939</v>
      </c>
      <c r="Q337" s="5" t="str">
        <f>IF(Table4[[#This Row],[AB Variances ]]&gt;$P$2,"Anomaly","Normal")</f>
        <v>Normal</v>
      </c>
      <c r="R337" s="5">
        <f>SUMIFS(Table4[BudgetAmount],Table4[ActualExpense],"pending")</f>
        <v>0</v>
      </c>
    </row>
    <row r="338" spans="1:18">
      <c r="A338" t="s">
        <v>675</v>
      </c>
      <c r="B338" t="s">
        <v>676</v>
      </c>
      <c r="C338" t="s">
        <v>15</v>
      </c>
      <c r="D338" t="s">
        <v>16</v>
      </c>
      <c r="E338" t="s">
        <v>85</v>
      </c>
      <c r="F338" t="s">
        <v>86</v>
      </c>
      <c r="G338" s="2">
        <v>420261</v>
      </c>
      <c r="H338" s="1">
        <v>351448</v>
      </c>
      <c r="I338">
        <v>-68813</v>
      </c>
      <c r="J338" t="s">
        <v>37</v>
      </c>
      <c r="K338" t="s">
        <v>41</v>
      </c>
      <c r="L338" t="s">
        <v>49</v>
      </c>
      <c r="M338" t="s">
        <v>22</v>
      </c>
      <c r="N338" s="5">
        <f>Table4[[#This Row],[BudgetAmount]]/Table4[[#This Row],[Variance]]</f>
        <v>-6.1072907735456967</v>
      </c>
      <c r="O338" s="5" t="str">
        <f>TEXT(Table4[[#This Row],[Date]],"mmm")</f>
        <v>Jul</v>
      </c>
      <c r="P338" s="5">
        <f>ABS(Table4[[#This Row],[Variance]])</f>
        <v>68813</v>
      </c>
      <c r="Q338" s="5" t="str">
        <f>IF(Table4[[#This Row],[AB Variances ]]&gt;$P$2,"Anomaly","Normal")</f>
        <v>Anomaly</v>
      </c>
      <c r="R338" s="5">
        <f>SUMIFS(Table4[BudgetAmount],Table4[ActualExpense],"pending")</f>
        <v>0</v>
      </c>
    </row>
    <row r="339" spans="1:18">
      <c r="A339" t="s">
        <v>677</v>
      </c>
      <c r="B339" t="s">
        <v>300</v>
      </c>
      <c r="C339" t="s">
        <v>15</v>
      </c>
      <c r="D339" t="s">
        <v>16</v>
      </c>
      <c r="E339" t="s">
        <v>17</v>
      </c>
      <c r="F339" t="s">
        <v>18</v>
      </c>
      <c r="G339" s="2">
        <v>465634</v>
      </c>
      <c r="H339" s="1">
        <v>377305</v>
      </c>
      <c r="I339">
        <v>-88329</v>
      </c>
      <c r="J339" t="s">
        <v>54</v>
      </c>
      <c r="K339" t="s">
        <v>48</v>
      </c>
      <c r="L339" t="s">
        <v>30</v>
      </c>
      <c r="M339" t="s">
        <v>22</v>
      </c>
      <c r="N339" s="5">
        <f>Table4[[#This Row],[BudgetAmount]]/Table4[[#This Row],[Variance]]</f>
        <v>-5.2715869080369977</v>
      </c>
      <c r="O339" s="5" t="str">
        <f>TEXT(Table4[[#This Row],[Date]],"mmm")</f>
        <v>Feb</v>
      </c>
      <c r="P339" s="5">
        <f>ABS(Table4[[#This Row],[Variance]])</f>
        <v>88329</v>
      </c>
      <c r="Q339" s="5" t="str">
        <f>IF(Table4[[#This Row],[AB Variances ]]&gt;$P$2,"Anomaly","Normal")</f>
        <v>Anomaly</v>
      </c>
      <c r="R339" s="5">
        <f>SUMIFS(Table4[BudgetAmount],Table4[ActualExpense],"pending")</f>
        <v>0</v>
      </c>
    </row>
    <row r="340" spans="1:18">
      <c r="A340" t="s">
        <v>678</v>
      </c>
      <c r="B340" t="s">
        <v>679</v>
      </c>
      <c r="C340" t="s">
        <v>45</v>
      </c>
      <c r="D340" t="s">
        <v>26</v>
      </c>
      <c r="E340" t="s">
        <v>27</v>
      </c>
      <c r="F340" t="s">
        <v>28</v>
      </c>
      <c r="G340" s="2">
        <v>69558</v>
      </c>
      <c r="H340" s="1">
        <v>79236</v>
      </c>
      <c r="I340">
        <v>9678</v>
      </c>
      <c r="J340" t="s">
        <v>19</v>
      </c>
      <c r="K340" t="s">
        <v>48</v>
      </c>
      <c r="L340" t="s">
        <v>30</v>
      </c>
      <c r="M340" t="s">
        <v>22</v>
      </c>
      <c r="N340" s="5">
        <f>Table4[[#This Row],[BudgetAmount]]/Table4[[#This Row],[Variance]]</f>
        <v>7.187228766274024</v>
      </c>
      <c r="O340" s="5" t="str">
        <f>TEXT(Table4[[#This Row],[Date]],"mmm")</f>
        <v>Apr</v>
      </c>
      <c r="P340" s="5">
        <f>ABS(Table4[[#This Row],[Variance]])</f>
        <v>9678</v>
      </c>
      <c r="Q340" s="5" t="str">
        <f>IF(Table4[[#This Row],[AB Variances ]]&gt;$P$2,"Anomaly","Normal")</f>
        <v>Normal</v>
      </c>
      <c r="R340" s="5">
        <f>SUMIFS(Table4[BudgetAmount],Table4[ActualExpense],"pending")</f>
        <v>0</v>
      </c>
    </row>
    <row r="341" spans="1:18">
      <c r="A341" t="s">
        <v>680</v>
      </c>
      <c r="B341" t="s">
        <v>479</v>
      </c>
      <c r="C341" t="s">
        <v>33</v>
      </c>
      <c r="D341" t="s">
        <v>61</v>
      </c>
      <c r="E341" t="s">
        <v>27</v>
      </c>
      <c r="F341" t="s">
        <v>28</v>
      </c>
      <c r="G341" s="2">
        <v>474731</v>
      </c>
      <c r="H341" s="1">
        <v>378768</v>
      </c>
      <c r="I341">
        <v>-95963</v>
      </c>
      <c r="J341" t="s">
        <v>37</v>
      </c>
      <c r="K341" t="s">
        <v>29</v>
      </c>
      <c r="L341" t="s">
        <v>49</v>
      </c>
      <c r="M341" t="s">
        <v>22</v>
      </c>
      <c r="N341" s="5">
        <f>Table4[[#This Row],[BudgetAmount]]/Table4[[#This Row],[Variance]]</f>
        <v>-4.9470212477725788</v>
      </c>
      <c r="O341" s="5" t="str">
        <f>TEXT(Table4[[#This Row],[Date]],"mmm")</f>
        <v>Sep</v>
      </c>
      <c r="P341" s="5">
        <f>ABS(Table4[[#This Row],[Variance]])</f>
        <v>95963</v>
      </c>
      <c r="Q341" s="5" t="str">
        <f>IF(Table4[[#This Row],[AB Variances ]]&gt;$P$2,"Anomaly","Normal")</f>
        <v>Anomaly</v>
      </c>
      <c r="R341" s="5">
        <f>SUMIFS(Table4[BudgetAmount],Table4[ActualExpense],"pending")</f>
        <v>0</v>
      </c>
    </row>
    <row r="342" spans="1:18">
      <c r="A342" t="s">
        <v>681</v>
      </c>
      <c r="B342" t="s">
        <v>682</v>
      </c>
      <c r="C342" t="s">
        <v>25</v>
      </c>
      <c r="D342" t="s">
        <v>61</v>
      </c>
      <c r="E342" t="s">
        <v>46</v>
      </c>
      <c r="F342" t="s">
        <v>47</v>
      </c>
      <c r="G342" s="2">
        <v>469153</v>
      </c>
      <c r="H342" s="1">
        <v>521232</v>
      </c>
      <c r="I342">
        <v>52079</v>
      </c>
      <c r="J342" t="s">
        <v>37</v>
      </c>
      <c r="K342" t="s">
        <v>29</v>
      </c>
      <c r="L342" t="s">
        <v>30</v>
      </c>
      <c r="M342" t="s">
        <v>22</v>
      </c>
      <c r="N342" s="5">
        <f>Table4[[#This Row],[BudgetAmount]]/Table4[[#This Row],[Variance]]</f>
        <v>9.0084871061272302</v>
      </c>
      <c r="O342" s="5" t="str">
        <f>TEXT(Table4[[#This Row],[Date]],"mmm")</f>
        <v>Jul</v>
      </c>
      <c r="P342" s="5">
        <f>ABS(Table4[[#This Row],[Variance]])</f>
        <v>52079</v>
      </c>
      <c r="Q342" s="5" t="str">
        <f>IF(Table4[[#This Row],[AB Variances ]]&gt;$P$2,"Anomaly","Normal")</f>
        <v>Anomaly</v>
      </c>
      <c r="R342" s="5">
        <f>SUMIFS(Table4[BudgetAmount],Table4[ActualExpense],"pending")</f>
        <v>0</v>
      </c>
    </row>
    <row r="343" spans="1:18">
      <c r="A343" t="s">
        <v>683</v>
      </c>
      <c r="B343" t="s">
        <v>684</v>
      </c>
      <c r="C343" t="s">
        <v>45</v>
      </c>
      <c r="D343" t="s">
        <v>34</v>
      </c>
      <c r="E343" t="s">
        <v>46</v>
      </c>
      <c r="F343" t="s">
        <v>47</v>
      </c>
      <c r="G343" s="2">
        <v>373555</v>
      </c>
      <c r="H343" s="1">
        <v>262078</v>
      </c>
      <c r="I343">
        <v>-111477</v>
      </c>
      <c r="J343" t="s">
        <v>19</v>
      </c>
      <c r="K343" t="s">
        <v>41</v>
      </c>
      <c r="L343" t="s">
        <v>68</v>
      </c>
      <c r="M343" t="s">
        <v>22</v>
      </c>
      <c r="N343" s="5">
        <f>Table4[[#This Row],[BudgetAmount]]/Table4[[#This Row],[Variance]]</f>
        <v>-3.3509602877723657</v>
      </c>
      <c r="O343" s="5" t="str">
        <f>TEXT(Table4[[#This Row],[Date]],"mmm")</f>
        <v>Jun</v>
      </c>
      <c r="P343" s="5">
        <f>ABS(Table4[[#This Row],[Variance]])</f>
        <v>111477</v>
      </c>
      <c r="Q343" s="5" t="str">
        <f>IF(Table4[[#This Row],[AB Variances ]]&gt;$P$2,"Anomaly","Normal")</f>
        <v>Anomaly</v>
      </c>
      <c r="R343" s="5">
        <f>SUMIFS(Table4[BudgetAmount],Table4[ActualExpense],"pending")</f>
        <v>0</v>
      </c>
    </row>
    <row r="344" spans="1:18">
      <c r="A344" t="s">
        <v>685</v>
      </c>
      <c r="B344" t="s">
        <v>540</v>
      </c>
      <c r="C344" t="s">
        <v>64</v>
      </c>
      <c r="D344" t="s">
        <v>34</v>
      </c>
      <c r="E344" t="s">
        <v>27</v>
      </c>
      <c r="F344" t="s">
        <v>28</v>
      </c>
      <c r="G344" s="2">
        <v>392204</v>
      </c>
      <c r="H344" s="1">
        <v>517946</v>
      </c>
      <c r="I344">
        <v>125742</v>
      </c>
      <c r="J344" t="s">
        <v>19</v>
      </c>
      <c r="K344" t="s">
        <v>20</v>
      </c>
      <c r="L344" t="s">
        <v>49</v>
      </c>
      <c r="M344" t="s">
        <v>42</v>
      </c>
      <c r="N344" s="5">
        <f>Table4[[#This Row],[BudgetAmount]]/Table4[[#This Row],[Variance]]</f>
        <v>3.1191169219512971</v>
      </c>
      <c r="O344" s="5" t="str">
        <f>TEXT(Table4[[#This Row],[Date]],"mmm")</f>
        <v>Feb</v>
      </c>
      <c r="P344" s="5">
        <f>ABS(Table4[[#This Row],[Variance]])</f>
        <v>125742</v>
      </c>
      <c r="Q344" s="5" t="str">
        <f>IF(Table4[[#This Row],[AB Variances ]]&gt;$P$2,"Anomaly","Normal")</f>
        <v>Anomaly</v>
      </c>
      <c r="R344" s="5">
        <f>SUMIFS(Table4[BudgetAmount],Table4[ActualExpense],"pending")</f>
        <v>0</v>
      </c>
    </row>
    <row r="345" spans="1:18">
      <c r="A345" t="s">
        <v>686</v>
      </c>
      <c r="B345" t="s">
        <v>437</v>
      </c>
      <c r="C345" t="s">
        <v>15</v>
      </c>
      <c r="D345" t="s">
        <v>16</v>
      </c>
      <c r="E345" t="s">
        <v>35</v>
      </c>
      <c r="F345" t="s">
        <v>36</v>
      </c>
      <c r="G345" s="2">
        <v>464911</v>
      </c>
      <c r="H345" s="1">
        <v>341782</v>
      </c>
      <c r="I345">
        <v>-123129</v>
      </c>
      <c r="J345" t="s">
        <v>54</v>
      </c>
      <c r="K345" t="s">
        <v>20</v>
      </c>
      <c r="L345" t="s">
        <v>49</v>
      </c>
      <c r="M345" t="s">
        <v>42</v>
      </c>
      <c r="N345" s="5">
        <f>Table4[[#This Row],[BudgetAmount]]/Table4[[#This Row],[Variance]]</f>
        <v>-3.7758042378318675</v>
      </c>
      <c r="O345" s="5" t="str">
        <f>TEXT(Table4[[#This Row],[Date]],"mmm")</f>
        <v>Jan</v>
      </c>
      <c r="P345" s="5">
        <f>ABS(Table4[[#This Row],[Variance]])</f>
        <v>123129</v>
      </c>
      <c r="Q345" s="5" t="str">
        <f>IF(Table4[[#This Row],[AB Variances ]]&gt;$P$2,"Anomaly","Normal")</f>
        <v>Anomaly</v>
      </c>
      <c r="R345" s="5">
        <f>SUMIFS(Table4[BudgetAmount],Table4[ActualExpense],"pending")</f>
        <v>0</v>
      </c>
    </row>
    <row r="346" spans="1:18">
      <c r="A346" t="s">
        <v>687</v>
      </c>
      <c r="B346" t="s">
        <v>688</v>
      </c>
      <c r="C346" t="s">
        <v>33</v>
      </c>
      <c r="D346" t="s">
        <v>40</v>
      </c>
      <c r="E346" t="s">
        <v>27</v>
      </c>
      <c r="F346" t="s">
        <v>28</v>
      </c>
      <c r="G346" s="2">
        <v>457602</v>
      </c>
      <c r="H346" s="1">
        <v>545209</v>
      </c>
      <c r="I346">
        <v>87607</v>
      </c>
      <c r="J346" t="s">
        <v>37</v>
      </c>
      <c r="K346" t="s">
        <v>20</v>
      </c>
      <c r="L346" t="s">
        <v>68</v>
      </c>
      <c r="M346" t="s">
        <v>22</v>
      </c>
      <c r="N346" s="5">
        <f>Table4[[#This Row],[BudgetAmount]]/Table4[[#This Row],[Variance]]</f>
        <v>5.2233497323273257</v>
      </c>
      <c r="O346" s="5" t="str">
        <f>TEXT(Table4[[#This Row],[Date]],"mmm")</f>
        <v>Jan</v>
      </c>
      <c r="P346" s="5">
        <f>ABS(Table4[[#This Row],[Variance]])</f>
        <v>87607</v>
      </c>
      <c r="Q346" s="5" t="str">
        <f>IF(Table4[[#This Row],[AB Variances ]]&gt;$P$2,"Anomaly","Normal")</f>
        <v>Anomaly</v>
      </c>
      <c r="R346" s="5">
        <f>SUMIFS(Table4[BudgetAmount],Table4[ActualExpense],"pending")</f>
        <v>0</v>
      </c>
    </row>
    <row r="347" spans="1:18">
      <c r="A347" t="s">
        <v>689</v>
      </c>
      <c r="B347" t="s">
        <v>550</v>
      </c>
      <c r="C347" t="s">
        <v>15</v>
      </c>
      <c r="D347" t="s">
        <v>61</v>
      </c>
      <c r="E347" t="s">
        <v>46</v>
      </c>
      <c r="F347" t="s">
        <v>47</v>
      </c>
      <c r="G347" s="2">
        <v>300249</v>
      </c>
      <c r="H347" s="1">
        <v>393280</v>
      </c>
      <c r="I347">
        <v>93031</v>
      </c>
      <c r="J347" t="s">
        <v>54</v>
      </c>
      <c r="K347" t="s">
        <v>48</v>
      </c>
      <c r="L347" t="s">
        <v>30</v>
      </c>
      <c r="M347" t="s">
        <v>22</v>
      </c>
      <c r="N347" s="5">
        <f>Table4[[#This Row],[BudgetAmount]]/Table4[[#This Row],[Variance]]</f>
        <v>3.2274080682783159</v>
      </c>
      <c r="O347" s="5" t="str">
        <f>TEXT(Table4[[#This Row],[Date]],"mmm")</f>
        <v>Feb</v>
      </c>
      <c r="P347" s="5">
        <f>ABS(Table4[[#This Row],[Variance]])</f>
        <v>93031</v>
      </c>
      <c r="Q347" s="5" t="str">
        <f>IF(Table4[[#This Row],[AB Variances ]]&gt;$P$2,"Anomaly","Normal")</f>
        <v>Anomaly</v>
      </c>
      <c r="R347" s="5">
        <f>SUMIFS(Table4[BudgetAmount],Table4[ActualExpense],"pending")</f>
        <v>0</v>
      </c>
    </row>
    <row r="348" spans="1:18">
      <c r="A348" t="s">
        <v>690</v>
      </c>
      <c r="B348" t="s">
        <v>578</v>
      </c>
      <c r="C348" t="s">
        <v>15</v>
      </c>
      <c r="D348" t="s">
        <v>26</v>
      </c>
      <c r="E348" t="s">
        <v>46</v>
      </c>
      <c r="F348" t="s">
        <v>47</v>
      </c>
      <c r="G348" s="2">
        <v>320762</v>
      </c>
      <c r="H348" s="1">
        <v>437897</v>
      </c>
      <c r="I348">
        <v>117135</v>
      </c>
      <c r="J348" t="s">
        <v>54</v>
      </c>
      <c r="K348" t="s">
        <v>67</v>
      </c>
      <c r="L348" t="s">
        <v>68</v>
      </c>
      <c r="M348" t="s">
        <v>42</v>
      </c>
      <c r="N348" s="5">
        <f>Table4[[#This Row],[BudgetAmount]]/Table4[[#This Row],[Variance]]</f>
        <v>2.7383958680155378</v>
      </c>
      <c r="O348" s="5" t="str">
        <f>TEXT(Table4[[#This Row],[Date]],"mmm")</f>
        <v>Jun</v>
      </c>
      <c r="P348" s="5">
        <f>ABS(Table4[[#This Row],[Variance]])</f>
        <v>117135</v>
      </c>
      <c r="Q348" s="5" t="str">
        <f>IF(Table4[[#This Row],[AB Variances ]]&gt;$P$2,"Anomaly","Normal")</f>
        <v>Anomaly</v>
      </c>
      <c r="R348" s="5">
        <f>SUMIFS(Table4[BudgetAmount],Table4[ActualExpense],"pending")</f>
        <v>0</v>
      </c>
    </row>
    <row r="349" spans="1:18">
      <c r="A349" t="s">
        <v>691</v>
      </c>
      <c r="B349" t="s">
        <v>295</v>
      </c>
      <c r="C349" t="s">
        <v>64</v>
      </c>
      <c r="D349" t="s">
        <v>40</v>
      </c>
      <c r="E349" t="s">
        <v>46</v>
      </c>
      <c r="F349" t="s">
        <v>47</v>
      </c>
      <c r="G349" s="2">
        <v>198602</v>
      </c>
      <c r="H349" s="1">
        <v>275275</v>
      </c>
      <c r="I349">
        <v>76673</v>
      </c>
      <c r="J349" t="s">
        <v>37</v>
      </c>
      <c r="K349" t="s">
        <v>20</v>
      </c>
      <c r="L349" t="s">
        <v>30</v>
      </c>
      <c r="M349" t="s">
        <v>42</v>
      </c>
      <c r="N349" s="5">
        <f>Table4[[#This Row],[BudgetAmount]]/Table4[[#This Row],[Variance]]</f>
        <v>2.5902468926479987</v>
      </c>
      <c r="O349" s="5" t="str">
        <f>TEXT(Table4[[#This Row],[Date]],"mmm")</f>
        <v>Feb</v>
      </c>
      <c r="P349" s="5">
        <f>ABS(Table4[[#This Row],[Variance]])</f>
        <v>76673</v>
      </c>
      <c r="Q349" s="5" t="str">
        <f>IF(Table4[[#This Row],[AB Variances ]]&gt;$P$2,"Anomaly","Normal")</f>
        <v>Anomaly</v>
      </c>
      <c r="R349" s="5">
        <f>SUMIFS(Table4[BudgetAmount],Table4[ActualExpense],"pending")</f>
        <v>0</v>
      </c>
    </row>
    <row r="350" spans="1:18">
      <c r="A350" t="s">
        <v>692</v>
      </c>
      <c r="B350" t="s">
        <v>693</v>
      </c>
      <c r="C350" t="s">
        <v>15</v>
      </c>
      <c r="D350" t="s">
        <v>26</v>
      </c>
      <c r="E350" t="s">
        <v>27</v>
      </c>
      <c r="F350" t="s">
        <v>28</v>
      </c>
      <c r="G350" s="2">
        <v>187141</v>
      </c>
      <c r="H350" s="1">
        <v>150562</v>
      </c>
      <c r="I350">
        <v>-36579</v>
      </c>
      <c r="J350" t="s">
        <v>37</v>
      </c>
      <c r="K350" t="s">
        <v>67</v>
      </c>
      <c r="L350" t="s">
        <v>68</v>
      </c>
      <c r="M350" t="s">
        <v>22</v>
      </c>
      <c r="N350" s="5">
        <f>Table4[[#This Row],[BudgetAmount]]/Table4[[#This Row],[Variance]]</f>
        <v>-5.1160775308236968</v>
      </c>
      <c r="O350" s="5" t="str">
        <f>TEXT(Table4[[#This Row],[Date]],"mmm")</f>
        <v>Nov</v>
      </c>
      <c r="P350" s="5">
        <f>ABS(Table4[[#This Row],[Variance]])</f>
        <v>36579</v>
      </c>
      <c r="Q350" s="5" t="str">
        <f>IF(Table4[[#This Row],[AB Variances ]]&gt;$P$2,"Anomaly","Normal")</f>
        <v>Anomaly</v>
      </c>
      <c r="R350" s="5">
        <f>SUMIFS(Table4[BudgetAmount],Table4[ActualExpense],"pending")</f>
        <v>0</v>
      </c>
    </row>
    <row r="351" spans="1:18">
      <c r="A351" t="s">
        <v>694</v>
      </c>
      <c r="B351" t="s">
        <v>544</v>
      </c>
      <c r="C351" t="s">
        <v>35</v>
      </c>
      <c r="D351" t="s">
        <v>40</v>
      </c>
      <c r="E351" t="s">
        <v>85</v>
      </c>
      <c r="F351" t="s">
        <v>86</v>
      </c>
      <c r="G351" s="2">
        <v>298107</v>
      </c>
      <c r="H351" s="1">
        <v>362910</v>
      </c>
      <c r="I351">
        <v>64803</v>
      </c>
      <c r="J351" t="s">
        <v>37</v>
      </c>
      <c r="K351" t="s">
        <v>29</v>
      </c>
      <c r="L351" t="s">
        <v>68</v>
      </c>
      <c r="M351" t="s">
        <v>22</v>
      </c>
      <c r="N351" s="5">
        <f>Table4[[#This Row],[BudgetAmount]]/Table4[[#This Row],[Variance]]</f>
        <v>4.6002036942734135</v>
      </c>
      <c r="O351" s="5" t="str">
        <f>TEXT(Table4[[#This Row],[Date]],"mmm")</f>
        <v>Sep</v>
      </c>
      <c r="P351" s="5">
        <f>ABS(Table4[[#This Row],[Variance]])</f>
        <v>64803</v>
      </c>
      <c r="Q351" s="5" t="str">
        <f>IF(Table4[[#This Row],[AB Variances ]]&gt;$P$2,"Anomaly","Normal")</f>
        <v>Anomaly</v>
      </c>
      <c r="R351" s="5">
        <f>SUMIFS(Table4[BudgetAmount],Table4[ActualExpense],"pending")</f>
        <v>0</v>
      </c>
    </row>
    <row r="352" spans="1:18">
      <c r="A352" t="s">
        <v>695</v>
      </c>
      <c r="B352" t="s">
        <v>696</v>
      </c>
      <c r="C352" t="s">
        <v>25</v>
      </c>
      <c r="D352" t="s">
        <v>16</v>
      </c>
      <c r="E352" t="s">
        <v>46</v>
      </c>
      <c r="F352" t="s">
        <v>47</v>
      </c>
      <c r="G352" s="2">
        <v>373324</v>
      </c>
      <c r="H352" s="1">
        <v>368564</v>
      </c>
      <c r="I352">
        <v>-4760</v>
      </c>
      <c r="J352" t="s">
        <v>37</v>
      </c>
      <c r="K352" t="s">
        <v>67</v>
      </c>
      <c r="L352" t="s">
        <v>68</v>
      </c>
      <c r="M352" t="s">
        <v>42</v>
      </c>
      <c r="N352" s="5">
        <f>Table4[[#This Row],[BudgetAmount]]/Table4[[#This Row],[Variance]]</f>
        <v>-78.429411764705875</v>
      </c>
      <c r="O352" s="5" t="str">
        <f>TEXT(Table4[[#This Row],[Date]],"mmm")</f>
        <v>Apr</v>
      </c>
      <c r="P352" s="5">
        <f>ABS(Table4[[#This Row],[Variance]])</f>
        <v>4760</v>
      </c>
      <c r="Q352" s="5" t="str">
        <f>IF(Table4[[#This Row],[AB Variances ]]&gt;$P$2,"Anomaly","Normal")</f>
        <v>Normal</v>
      </c>
      <c r="R352" s="5">
        <f>SUMIFS(Table4[BudgetAmount],Table4[ActualExpense],"pending")</f>
        <v>0</v>
      </c>
    </row>
    <row r="353" spans="1:18">
      <c r="A353" t="s">
        <v>697</v>
      </c>
      <c r="B353" t="s">
        <v>261</v>
      </c>
      <c r="C353" t="s">
        <v>35</v>
      </c>
      <c r="D353" t="s">
        <v>16</v>
      </c>
      <c r="E353" t="s">
        <v>27</v>
      </c>
      <c r="F353" t="s">
        <v>28</v>
      </c>
      <c r="G353" s="2">
        <v>118897</v>
      </c>
      <c r="H353" s="1">
        <v>150196</v>
      </c>
      <c r="I353">
        <v>31299</v>
      </c>
      <c r="J353" t="s">
        <v>37</v>
      </c>
      <c r="K353" t="s">
        <v>20</v>
      </c>
      <c r="L353" t="s">
        <v>30</v>
      </c>
      <c r="M353" t="s">
        <v>42</v>
      </c>
      <c r="N353" s="5">
        <f>Table4[[#This Row],[BudgetAmount]]/Table4[[#This Row],[Variance]]</f>
        <v>3.7987475638199304</v>
      </c>
      <c r="O353" s="5" t="str">
        <f>TEXT(Table4[[#This Row],[Date]],"mmm")</f>
        <v>Oct</v>
      </c>
      <c r="P353" s="5">
        <f>ABS(Table4[[#This Row],[Variance]])</f>
        <v>31299</v>
      </c>
      <c r="Q353" s="5" t="str">
        <f>IF(Table4[[#This Row],[AB Variances ]]&gt;$P$2,"Anomaly","Normal")</f>
        <v>Anomaly</v>
      </c>
      <c r="R353" s="5">
        <f>SUMIFS(Table4[BudgetAmount],Table4[ActualExpense],"pending")</f>
        <v>0</v>
      </c>
    </row>
    <row r="354" spans="1:18">
      <c r="A354" t="s">
        <v>698</v>
      </c>
      <c r="B354" t="s">
        <v>699</v>
      </c>
      <c r="C354" t="s">
        <v>25</v>
      </c>
      <c r="D354" t="s">
        <v>40</v>
      </c>
      <c r="E354" t="s">
        <v>71</v>
      </c>
      <c r="F354" t="s">
        <v>72</v>
      </c>
      <c r="G354" s="2">
        <v>87501</v>
      </c>
      <c r="H354" s="1">
        <v>105013</v>
      </c>
      <c r="I354">
        <v>17512</v>
      </c>
      <c r="J354" t="s">
        <v>54</v>
      </c>
      <c r="K354" t="s">
        <v>29</v>
      </c>
      <c r="L354" t="s">
        <v>30</v>
      </c>
      <c r="M354" t="s">
        <v>22</v>
      </c>
      <c r="N354" s="5">
        <f>Table4[[#This Row],[BudgetAmount]]/Table4[[#This Row],[Variance]]</f>
        <v>4.9966308816811331</v>
      </c>
      <c r="O354" s="5" t="str">
        <f>TEXT(Table4[[#This Row],[Date]],"mmm")</f>
        <v>Aug</v>
      </c>
      <c r="P354" s="5">
        <f>ABS(Table4[[#This Row],[Variance]])</f>
        <v>17512</v>
      </c>
      <c r="Q354" s="5" t="str">
        <f>IF(Table4[[#This Row],[AB Variances ]]&gt;$P$2,"Anomaly","Normal")</f>
        <v>Anomaly</v>
      </c>
      <c r="R354" s="5">
        <f>SUMIFS(Table4[BudgetAmount],Table4[ActualExpense],"pending")</f>
        <v>0</v>
      </c>
    </row>
    <row r="355" spans="1:18">
      <c r="A355" t="s">
        <v>700</v>
      </c>
      <c r="B355" t="s">
        <v>701</v>
      </c>
      <c r="C355" t="s">
        <v>25</v>
      </c>
      <c r="D355" t="s">
        <v>40</v>
      </c>
      <c r="E355" t="s">
        <v>17</v>
      </c>
      <c r="F355" t="s">
        <v>18</v>
      </c>
      <c r="G355" s="2">
        <v>496350</v>
      </c>
      <c r="H355" s="1">
        <v>473685</v>
      </c>
      <c r="I355">
        <v>-22665</v>
      </c>
      <c r="J355" t="s">
        <v>37</v>
      </c>
      <c r="K355" t="s">
        <v>41</v>
      </c>
      <c r="L355" t="s">
        <v>49</v>
      </c>
      <c r="M355" t="s">
        <v>42</v>
      </c>
      <c r="N355" s="5">
        <f>Table4[[#This Row],[BudgetAmount]]/Table4[[#This Row],[Variance]]</f>
        <v>-21.899404367968234</v>
      </c>
      <c r="O355" s="5" t="str">
        <f>TEXT(Table4[[#This Row],[Date]],"mmm")</f>
        <v>Feb</v>
      </c>
      <c r="P355" s="5">
        <f>ABS(Table4[[#This Row],[Variance]])</f>
        <v>22665</v>
      </c>
      <c r="Q355" s="5" t="str">
        <f>IF(Table4[[#This Row],[AB Variances ]]&gt;$P$2,"Anomaly","Normal")</f>
        <v>Anomaly</v>
      </c>
      <c r="R355" s="5">
        <f>SUMIFS(Table4[BudgetAmount],Table4[ActualExpense],"pending")</f>
        <v>0</v>
      </c>
    </row>
    <row r="356" spans="1:18">
      <c r="A356" t="s">
        <v>702</v>
      </c>
      <c r="B356" t="s">
        <v>703</v>
      </c>
      <c r="C356" t="s">
        <v>25</v>
      </c>
      <c r="D356" t="s">
        <v>34</v>
      </c>
      <c r="E356" t="s">
        <v>46</v>
      </c>
      <c r="F356" t="s">
        <v>47</v>
      </c>
      <c r="G356" s="2">
        <v>448298</v>
      </c>
      <c r="H356" s="1">
        <v>360386</v>
      </c>
      <c r="I356">
        <v>-87912</v>
      </c>
      <c r="J356" t="s">
        <v>19</v>
      </c>
      <c r="K356" t="s">
        <v>29</v>
      </c>
      <c r="L356" t="s">
        <v>30</v>
      </c>
      <c r="M356" t="s">
        <v>42</v>
      </c>
      <c r="N356" s="5">
        <f>Table4[[#This Row],[BudgetAmount]]/Table4[[#This Row],[Variance]]</f>
        <v>-5.0993948493948498</v>
      </c>
      <c r="O356" s="5" t="str">
        <f>TEXT(Table4[[#This Row],[Date]],"mmm")</f>
        <v>Sep</v>
      </c>
      <c r="P356" s="5">
        <f>ABS(Table4[[#This Row],[Variance]])</f>
        <v>87912</v>
      </c>
      <c r="Q356" s="5" t="str">
        <f>IF(Table4[[#This Row],[AB Variances ]]&gt;$P$2,"Anomaly","Normal")</f>
        <v>Anomaly</v>
      </c>
      <c r="R356" s="5">
        <f>SUMIFS(Table4[BudgetAmount],Table4[ActualExpense],"pending")</f>
        <v>0</v>
      </c>
    </row>
    <row r="357" spans="1:18">
      <c r="A357" t="s">
        <v>704</v>
      </c>
      <c r="B357" t="s">
        <v>705</v>
      </c>
      <c r="C357" t="s">
        <v>35</v>
      </c>
      <c r="D357" t="s">
        <v>61</v>
      </c>
      <c r="E357" t="s">
        <v>17</v>
      </c>
      <c r="F357" t="s">
        <v>18</v>
      </c>
      <c r="G357" s="2">
        <v>292944</v>
      </c>
      <c r="H357" s="1">
        <v>247405</v>
      </c>
      <c r="I357">
        <v>-45539</v>
      </c>
      <c r="J357" t="s">
        <v>37</v>
      </c>
      <c r="K357" t="s">
        <v>67</v>
      </c>
      <c r="L357" t="s">
        <v>30</v>
      </c>
      <c r="M357" t="s">
        <v>42</v>
      </c>
      <c r="N357" s="5">
        <f>Table4[[#This Row],[BudgetAmount]]/Table4[[#This Row],[Variance]]</f>
        <v>-6.4328158281912211</v>
      </c>
      <c r="O357" s="5" t="str">
        <f>TEXT(Table4[[#This Row],[Date]],"mmm")</f>
        <v>Nov</v>
      </c>
      <c r="P357" s="5">
        <f>ABS(Table4[[#This Row],[Variance]])</f>
        <v>45539</v>
      </c>
      <c r="Q357" s="5" t="str">
        <f>IF(Table4[[#This Row],[AB Variances ]]&gt;$P$2,"Anomaly","Normal")</f>
        <v>Anomaly</v>
      </c>
      <c r="R357" s="5">
        <f>SUMIFS(Table4[BudgetAmount],Table4[ActualExpense],"pending")</f>
        <v>0</v>
      </c>
    </row>
    <row r="358" spans="1:18">
      <c r="A358" t="s">
        <v>706</v>
      </c>
      <c r="B358" t="s">
        <v>707</v>
      </c>
      <c r="C358" t="s">
        <v>45</v>
      </c>
      <c r="D358" t="s">
        <v>34</v>
      </c>
      <c r="E358" t="s">
        <v>46</v>
      </c>
      <c r="F358" t="s">
        <v>47</v>
      </c>
      <c r="G358" s="2">
        <v>163295</v>
      </c>
      <c r="H358" s="1">
        <v>193246</v>
      </c>
      <c r="I358">
        <v>29951</v>
      </c>
      <c r="J358" t="s">
        <v>19</v>
      </c>
      <c r="K358" t="s">
        <v>29</v>
      </c>
      <c r="L358" t="s">
        <v>49</v>
      </c>
      <c r="M358" t="s">
        <v>22</v>
      </c>
      <c r="N358" s="5">
        <f>Table4[[#This Row],[BudgetAmount]]/Table4[[#This Row],[Variance]]</f>
        <v>5.4520717171379918</v>
      </c>
      <c r="O358" s="5" t="str">
        <f>TEXT(Table4[[#This Row],[Date]],"mmm")</f>
        <v>May</v>
      </c>
      <c r="P358" s="5">
        <f>ABS(Table4[[#This Row],[Variance]])</f>
        <v>29951</v>
      </c>
      <c r="Q358" s="5" t="str">
        <f>IF(Table4[[#This Row],[AB Variances ]]&gt;$P$2,"Anomaly","Normal")</f>
        <v>Anomaly</v>
      </c>
      <c r="R358" s="5">
        <f>SUMIFS(Table4[BudgetAmount],Table4[ActualExpense],"pending")</f>
        <v>0</v>
      </c>
    </row>
    <row r="359" spans="1:18">
      <c r="A359" t="s">
        <v>708</v>
      </c>
      <c r="B359" t="s">
        <v>709</v>
      </c>
      <c r="C359" t="s">
        <v>15</v>
      </c>
      <c r="D359" t="s">
        <v>40</v>
      </c>
      <c r="E359" t="s">
        <v>71</v>
      </c>
      <c r="F359" t="s">
        <v>72</v>
      </c>
      <c r="G359" s="2">
        <v>90725</v>
      </c>
      <c r="H359" s="1">
        <v>67466</v>
      </c>
      <c r="I359">
        <v>-23259</v>
      </c>
      <c r="J359" t="s">
        <v>37</v>
      </c>
      <c r="K359" t="s">
        <v>67</v>
      </c>
      <c r="L359" t="s">
        <v>68</v>
      </c>
      <c r="M359" t="s">
        <v>22</v>
      </c>
      <c r="N359" s="5">
        <f>Table4[[#This Row],[BudgetAmount]]/Table4[[#This Row],[Variance]]</f>
        <v>-3.9006406122361237</v>
      </c>
      <c r="O359" s="5" t="str">
        <f>TEXT(Table4[[#This Row],[Date]],"mmm")</f>
        <v>Apr</v>
      </c>
      <c r="P359" s="5">
        <f>ABS(Table4[[#This Row],[Variance]])</f>
        <v>23259</v>
      </c>
      <c r="Q359" s="5" t="str">
        <f>IF(Table4[[#This Row],[AB Variances ]]&gt;$P$2,"Anomaly","Normal")</f>
        <v>Anomaly</v>
      </c>
      <c r="R359" s="5">
        <f>SUMIFS(Table4[BudgetAmount],Table4[ActualExpense],"pending")</f>
        <v>0</v>
      </c>
    </row>
    <row r="360" spans="1:18">
      <c r="A360" t="s">
        <v>710</v>
      </c>
      <c r="B360" t="s">
        <v>556</v>
      </c>
      <c r="C360" t="s">
        <v>33</v>
      </c>
      <c r="D360" t="s">
        <v>40</v>
      </c>
      <c r="E360" t="s">
        <v>71</v>
      </c>
      <c r="F360" t="s">
        <v>72</v>
      </c>
      <c r="G360" s="2">
        <v>256251</v>
      </c>
      <c r="H360" s="1">
        <v>281320</v>
      </c>
      <c r="I360">
        <v>25069</v>
      </c>
      <c r="J360" t="s">
        <v>54</v>
      </c>
      <c r="K360" t="s">
        <v>20</v>
      </c>
      <c r="L360" t="s">
        <v>68</v>
      </c>
      <c r="M360" t="s">
        <v>42</v>
      </c>
      <c r="N360" s="5">
        <f>Table4[[#This Row],[BudgetAmount]]/Table4[[#This Row],[Variance]]</f>
        <v>10.221827755395109</v>
      </c>
      <c r="O360" s="5" t="str">
        <f>TEXT(Table4[[#This Row],[Date]],"mmm")</f>
        <v>Apr</v>
      </c>
      <c r="P360" s="5">
        <f>ABS(Table4[[#This Row],[Variance]])</f>
        <v>25069</v>
      </c>
      <c r="Q360" s="5" t="str">
        <f>IF(Table4[[#This Row],[AB Variances ]]&gt;$P$2,"Anomaly","Normal")</f>
        <v>Anomaly</v>
      </c>
      <c r="R360" s="5">
        <f>SUMIFS(Table4[BudgetAmount],Table4[ActualExpense],"pending")</f>
        <v>0</v>
      </c>
    </row>
    <row r="361" spans="1:18">
      <c r="A361" t="s">
        <v>711</v>
      </c>
      <c r="B361" t="s">
        <v>712</v>
      </c>
      <c r="C361" t="s">
        <v>45</v>
      </c>
      <c r="D361" t="s">
        <v>40</v>
      </c>
      <c r="E361" t="s">
        <v>46</v>
      </c>
      <c r="F361" t="s">
        <v>47</v>
      </c>
      <c r="G361" s="2">
        <v>358057</v>
      </c>
      <c r="H361" s="1">
        <v>363059</v>
      </c>
      <c r="I361">
        <v>5002</v>
      </c>
      <c r="J361" t="s">
        <v>37</v>
      </c>
      <c r="K361" t="s">
        <v>48</v>
      </c>
      <c r="L361" t="s">
        <v>21</v>
      </c>
      <c r="M361" t="s">
        <v>42</v>
      </c>
      <c r="N361" s="5">
        <f>Table4[[#This Row],[BudgetAmount]]/Table4[[#This Row],[Variance]]</f>
        <v>71.582766893242706</v>
      </c>
      <c r="O361" s="5" t="str">
        <f>TEXT(Table4[[#This Row],[Date]],"mmm")</f>
        <v>Sep</v>
      </c>
      <c r="P361" s="5">
        <f>ABS(Table4[[#This Row],[Variance]])</f>
        <v>5002</v>
      </c>
      <c r="Q361" s="5" t="str">
        <f>IF(Table4[[#This Row],[AB Variances ]]&gt;$P$2,"Anomaly","Normal")</f>
        <v>Normal</v>
      </c>
      <c r="R361" s="5">
        <f>SUMIFS(Table4[BudgetAmount],Table4[ActualExpense],"pending")</f>
        <v>0</v>
      </c>
    </row>
    <row r="362" spans="1:18">
      <c r="A362" t="s">
        <v>713</v>
      </c>
      <c r="B362" t="s">
        <v>714</v>
      </c>
      <c r="C362" t="s">
        <v>25</v>
      </c>
      <c r="D362" t="s">
        <v>26</v>
      </c>
      <c r="E362" t="s">
        <v>35</v>
      </c>
      <c r="F362" t="s">
        <v>36</v>
      </c>
      <c r="G362" s="2">
        <v>452796</v>
      </c>
      <c r="H362" s="1">
        <v>600409</v>
      </c>
      <c r="I362">
        <v>147613</v>
      </c>
      <c r="J362" t="s">
        <v>54</v>
      </c>
      <c r="K362" t="s">
        <v>48</v>
      </c>
      <c r="L362" t="s">
        <v>30</v>
      </c>
      <c r="M362" t="s">
        <v>22</v>
      </c>
      <c r="N362" s="5">
        <f>Table4[[#This Row],[BudgetAmount]]/Table4[[#This Row],[Variance]]</f>
        <v>3.0674534085751257</v>
      </c>
      <c r="O362" s="5" t="str">
        <f>TEXT(Table4[[#This Row],[Date]],"mmm")</f>
        <v>Apr</v>
      </c>
      <c r="P362" s="5">
        <f>ABS(Table4[[#This Row],[Variance]])</f>
        <v>147613</v>
      </c>
      <c r="Q362" s="5" t="str">
        <f>IF(Table4[[#This Row],[AB Variances ]]&gt;$P$2,"Anomaly","Normal")</f>
        <v>Anomaly</v>
      </c>
      <c r="R362" s="5">
        <f>SUMIFS(Table4[BudgetAmount],Table4[ActualExpense],"pending")</f>
        <v>0</v>
      </c>
    </row>
    <row r="363" spans="1:18">
      <c r="A363" t="s">
        <v>715</v>
      </c>
      <c r="B363" t="s">
        <v>590</v>
      </c>
      <c r="C363" t="s">
        <v>35</v>
      </c>
      <c r="D363" t="s">
        <v>26</v>
      </c>
      <c r="E363" t="s">
        <v>46</v>
      </c>
      <c r="F363" t="s">
        <v>47</v>
      </c>
      <c r="G363" s="2">
        <v>332769</v>
      </c>
      <c r="H363" s="1">
        <v>268899</v>
      </c>
      <c r="I363">
        <v>-63870</v>
      </c>
      <c r="J363" t="s">
        <v>19</v>
      </c>
      <c r="K363" t="s">
        <v>20</v>
      </c>
      <c r="L363" t="s">
        <v>68</v>
      </c>
      <c r="M363" t="s">
        <v>22</v>
      </c>
      <c r="N363" s="5">
        <f>Table4[[#This Row],[BudgetAmount]]/Table4[[#This Row],[Variance]]</f>
        <v>-5.2100986378581498</v>
      </c>
      <c r="O363" s="5" t="str">
        <f>TEXT(Table4[[#This Row],[Date]],"mmm")</f>
        <v>Oct</v>
      </c>
      <c r="P363" s="5">
        <f>ABS(Table4[[#This Row],[Variance]])</f>
        <v>63870</v>
      </c>
      <c r="Q363" s="5" t="str">
        <f>IF(Table4[[#This Row],[AB Variances ]]&gt;$P$2,"Anomaly","Normal")</f>
        <v>Anomaly</v>
      </c>
      <c r="R363" s="5">
        <f>SUMIFS(Table4[BudgetAmount],Table4[ActualExpense],"pending")</f>
        <v>0</v>
      </c>
    </row>
    <row r="364" spans="1:18">
      <c r="A364" t="s">
        <v>716</v>
      </c>
      <c r="B364" t="s">
        <v>717</v>
      </c>
      <c r="C364" t="s">
        <v>64</v>
      </c>
      <c r="D364" t="s">
        <v>26</v>
      </c>
      <c r="E364" t="s">
        <v>27</v>
      </c>
      <c r="F364" t="s">
        <v>28</v>
      </c>
      <c r="G364" s="2">
        <v>417258</v>
      </c>
      <c r="H364" s="1">
        <v>564787</v>
      </c>
      <c r="I364">
        <v>147529</v>
      </c>
      <c r="J364" t="s">
        <v>54</v>
      </c>
      <c r="K364" t="s">
        <v>48</v>
      </c>
      <c r="L364" t="s">
        <v>30</v>
      </c>
      <c r="M364" t="s">
        <v>22</v>
      </c>
      <c r="N364" s="5">
        <f>Table4[[#This Row],[BudgetAmount]]/Table4[[#This Row],[Variance]]</f>
        <v>2.8283117217631788</v>
      </c>
      <c r="O364" s="5" t="str">
        <f>TEXT(Table4[[#This Row],[Date]],"mmm")</f>
        <v>Mar</v>
      </c>
      <c r="P364" s="5">
        <f>ABS(Table4[[#This Row],[Variance]])</f>
        <v>147529</v>
      </c>
      <c r="Q364" s="5" t="str">
        <f>IF(Table4[[#This Row],[AB Variances ]]&gt;$P$2,"Anomaly","Normal")</f>
        <v>Anomaly</v>
      </c>
      <c r="R364" s="5">
        <f>SUMIFS(Table4[BudgetAmount],Table4[ActualExpense],"pending")</f>
        <v>0</v>
      </c>
    </row>
    <row r="365" spans="1:18">
      <c r="A365" t="s">
        <v>718</v>
      </c>
      <c r="B365" t="s">
        <v>719</v>
      </c>
      <c r="C365" t="s">
        <v>25</v>
      </c>
      <c r="D365" t="s">
        <v>34</v>
      </c>
      <c r="E365" t="s">
        <v>17</v>
      </c>
      <c r="F365" t="s">
        <v>18</v>
      </c>
      <c r="G365" s="2">
        <v>484508</v>
      </c>
      <c r="H365" s="1">
        <v>558729</v>
      </c>
      <c r="I365">
        <v>74221</v>
      </c>
      <c r="J365" t="s">
        <v>54</v>
      </c>
      <c r="K365" t="s">
        <v>20</v>
      </c>
      <c r="L365" t="s">
        <v>30</v>
      </c>
      <c r="M365" t="s">
        <v>22</v>
      </c>
      <c r="N365" s="5">
        <f>Table4[[#This Row],[BudgetAmount]]/Table4[[#This Row],[Variance]]</f>
        <v>6.5279098907317339</v>
      </c>
      <c r="O365" s="5" t="str">
        <f>TEXT(Table4[[#This Row],[Date]],"mmm")</f>
        <v>Jul</v>
      </c>
      <c r="P365" s="5">
        <f>ABS(Table4[[#This Row],[Variance]])</f>
        <v>74221</v>
      </c>
      <c r="Q365" s="5" t="str">
        <f>IF(Table4[[#This Row],[AB Variances ]]&gt;$P$2,"Anomaly","Normal")</f>
        <v>Anomaly</v>
      </c>
      <c r="R365" s="5">
        <f>SUMIFS(Table4[BudgetAmount],Table4[ActualExpense],"pending")</f>
        <v>0</v>
      </c>
    </row>
    <row r="366" spans="1:18">
      <c r="A366" t="s">
        <v>720</v>
      </c>
      <c r="B366" t="s">
        <v>629</v>
      </c>
      <c r="C366" t="s">
        <v>64</v>
      </c>
      <c r="D366" t="s">
        <v>34</v>
      </c>
      <c r="E366" t="s">
        <v>17</v>
      </c>
      <c r="F366" t="s">
        <v>18</v>
      </c>
      <c r="G366" s="2">
        <v>169087</v>
      </c>
      <c r="H366" s="1">
        <v>217732</v>
      </c>
      <c r="I366">
        <v>48645</v>
      </c>
      <c r="J366" t="s">
        <v>54</v>
      </c>
      <c r="K366" t="s">
        <v>29</v>
      </c>
      <c r="L366" t="s">
        <v>30</v>
      </c>
      <c r="M366" t="s">
        <v>42</v>
      </c>
      <c r="N366" s="5">
        <f>Table4[[#This Row],[BudgetAmount]]/Table4[[#This Row],[Variance]]</f>
        <v>3.4759379175660396</v>
      </c>
      <c r="O366" s="5" t="str">
        <f>TEXT(Table4[[#This Row],[Date]],"mmm")</f>
        <v>Jun</v>
      </c>
      <c r="P366" s="5">
        <f>ABS(Table4[[#This Row],[Variance]])</f>
        <v>48645</v>
      </c>
      <c r="Q366" s="5" t="str">
        <f>IF(Table4[[#This Row],[AB Variances ]]&gt;$P$2,"Anomaly","Normal")</f>
        <v>Anomaly</v>
      </c>
      <c r="R366" s="5">
        <f>SUMIFS(Table4[BudgetAmount],Table4[ActualExpense],"pending")</f>
        <v>0</v>
      </c>
    </row>
    <row r="367" spans="1:18">
      <c r="A367" t="s">
        <v>721</v>
      </c>
      <c r="B367" t="s">
        <v>82</v>
      </c>
      <c r="C367" t="s">
        <v>15</v>
      </c>
      <c r="D367" t="s">
        <v>34</v>
      </c>
      <c r="E367" t="s">
        <v>85</v>
      </c>
      <c r="F367" t="s">
        <v>86</v>
      </c>
      <c r="G367" s="2">
        <v>246241</v>
      </c>
      <c r="H367" s="1">
        <v>314301</v>
      </c>
      <c r="I367">
        <v>68060</v>
      </c>
      <c r="J367" t="s">
        <v>37</v>
      </c>
      <c r="K367" t="s">
        <v>41</v>
      </c>
      <c r="L367" t="s">
        <v>30</v>
      </c>
      <c r="M367" t="s">
        <v>22</v>
      </c>
      <c r="N367" s="5">
        <f>Table4[[#This Row],[BudgetAmount]]/Table4[[#This Row],[Variance]]</f>
        <v>3.6179988245665591</v>
      </c>
      <c r="O367" s="5" t="str">
        <f>TEXT(Table4[[#This Row],[Date]],"mmm")</f>
        <v>Dec</v>
      </c>
      <c r="P367" s="5">
        <f>ABS(Table4[[#This Row],[Variance]])</f>
        <v>68060</v>
      </c>
      <c r="Q367" s="5" t="str">
        <f>IF(Table4[[#This Row],[AB Variances ]]&gt;$P$2,"Anomaly","Normal")</f>
        <v>Anomaly</v>
      </c>
      <c r="R367" s="5">
        <f>SUMIFS(Table4[BudgetAmount],Table4[ActualExpense],"pending")</f>
        <v>0</v>
      </c>
    </row>
    <row r="368" spans="1:18">
      <c r="A368" t="s">
        <v>722</v>
      </c>
      <c r="B368" t="s">
        <v>357</v>
      </c>
      <c r="C368" t="s">
        <v>25</v>
      </c>
      <c r="D368" t="s">
        <v>26</v>
      </c>
      <c r="E368" t="s">
        <v>46</v>
      </c>
      <c r="F368" t="s">
        <v>47</v>
      </c>
      <c r="G368" s="2">
        <v>123055</v>
      </c>
      <c r="H368" s="1">
        <v>152906</v>
      </c>
      <c r="I368">
        <v>29851</v>
      </c>
      <c r="J368" t="s">
        <v>54</v>
      </c>
      <c r="K368" t="s">
        <v>29</v>
      </c>
      <c r="L368" t="s">
        <v>21</v>
      </c>
      <c r="M368" t="s">
        <v>22</v>
      </c>
      <c r="N368" s="5">
        <f>Table4[[#This Row],[BudgetAmount]]/Table4[[#This Row],[Variance]]</f>
        <v>4.1223074603865868</v>
      </c>
      <c r="O368" s="5" t="str">
        <f>TEXT(Table4[[#This Row],[Date]],"mmm")</f>
        <v>May</v>
      </c>
      <c r="P368" s="5">
        <f>ABS(Table4[[#This Row],[Variance]])</f>
        <v>29851</v>
      </c>
      <c r="Q368" s="5" t="str">
        <f>IF(Table4[[#This Row],[AB Variances ]]&gt;$P$2,"Anomaly","Normal")</f>
        <v>Anomaly</v>
      </c>
      <c r="R368" s="5">
        <f>SUMIFS(Table4[BudgetAmount],Table4[ActualExpense],"pending")</f>
        <v>0</v>
      </c>
    </row>
    <row r="369" spans="1:18">
      <c r="A369" t="s">
        <v>723</v>
      </c>
      <c r="B369" t="s">
        <v>510</v>
      </c>
      <c r="C369" t="s">
        <v>25</v>
      </c>
      <c r="D369" t="s">
        <v>16</v>
      </c>
      <c r="E369" t="s">
        <v>27</v>
      </c>
      <c r="F369" t="s">
        <v>28</v>
      </c>
      <c r="G369" s="2">
        <v>122495</v>
      </c>
      <c r="H369" s="1">
        <v>114381</v>
      </c>
      <c r="I369">
        <v>-8114</v>
      </c>
      <c r="J369" t="s">
        <v>54</v>
      </c>
      <c r="K369" t="s">
        <v>20</v>
      </c>
      <c r="L369" t="s">
        <v>49</v>
      </c>
      <c r="M369" t="s">
        <v>42</v>
      </c>
      <c r="N369" s="5">
        <f>Table4[[#This Row],[BudgetAmount]]/Table4[[#This Row],[Variance]]</f>
        <v>-15.096746364308602</v>
      </c>
      <c r="O369" s="5" t="str">
        <f>TEXT(Table4[[#This Row],[Date]],"mmm")</f>
        <v>Jun</v>
      </c>
      <c r="P369" s="5">
        <f>ABS(Table4[[#This Row],[Variance]])</f>
        <v>8114</v>
      </c>
      <c r="Q369" s="5" t="str">
        <f>IF(Table4[[#This Row],[AB Variances ]]&gt;$P$2,"Anomaly","Normal")</f>
        <v>Normal</v>
      </c>
      <c r="R369" s="5">
        <f>SUMIFS(Table4[BudgetAmount],Table4[ActualExpense],"pending")</f>
        <v>0</v>
      </c>
    </row>
    <row r="370" spans="1:18">
      <c r="A370" t="s">
        <v>724</v>
      </c>
      <c r="B370" t="s">
        <v>725</v>
      </c>
      <c r="C370" t="s">
        <v>64</v>
      </c>
      <c r="D370" t="s">
        <v>61</v>
      </c>
      <c r="E370" t="s">
        <v>17</v>
      </c>
      <c r="F370" t="s">
        <v>18</v>
      </c>
      <c r="G370" s="2">
        <v>50670</v>
      </c>
      <c r="H370" s="1">
        <v>43285</v>
      </c>
      <c r="I370">
        <v>-7385</v>
      </c>
      <c r="J370" t="s">
        <v>54</v>
      </c>
      <c r="K370" t="s">
        <v>48</v>
      </c>
      <c r="L370" t="s">
        <v>49</v>
      </c>
      <c r="M370" t="s">
        <v>22</v>
      </c>
      <c r="N370" s="5">
        <f>Table4[[#This Row],[BudgetAmount]]/Table4[[#This Row],[Variance]]</f>
        <v>-6.8612051455653349</v>
      </c>
      <c r="O370" s="5" t="str">
        <f>TEXT(Table4[[#This Row],[Date]],"mmm")</f>
        <v>Nov</v>
      </c>
      <c r="P370" s="5">
        <f>ABS(Table4[[#This Row],[Variance]])</f>
        <v>7385</v>
      </c>
      <c r="Q370" s="5" t="str">
        <f>IF(Table4[[#This Row],[AB Variances ]]&gt;$P$2,"Anomaly","Normal")</f>
        <v>Normal</v>
      </c>
      <c r="R370" s="5">
        <f>SUMIFS(Table4[BudgetAmount],Table4[ActualExpense],"pending")</f>
        <v>0</v>
      </c>
    </row>
    <row r="371" spans="1:18">
      <c r="A371" t="s">
        <v>726</v>
      </c>
      <c r="B371" t="s">
        <v>124</v>
      </c>
      <c r="C371" t="s">
        <v>15</v>
      </c>
      <c r="D371" t="s">
        <v>16</v>
      </c>
      <c r="E371" t="s">
        <v>17</v>
      </c>
      <c r="F371" t="s">
        <v>18</v>
      </c>
      <c r="G371" s="2">
        <v>430211</v>
      </c>
      <c r="H371" s="1">
        <v>382345</v>
      </c>
      <c r="I371">
        <v>-47866</v>
      </c>
      <c r="J371" t="s">
        <v>54</v>
      </c>
      <c r="K371" t="s">
        <v>41</v>
      </c>
      <c r="L371" t="s">
        <v>21</v>
      </c>
      <c r="M371" t="s">
        <v>22</v>
      </c>
      <c r="N371" s="5">
        <f>Table4[[#This Row],[BudgetAmount]]/Table4[[#This Row],[Variance]]</f>
        <v>-8.9878201646262479</v>
      </c>
      <c r="O371" s="5" t="str">
        <f>TEXT(Table4[[#This Row],[Date]],"mmm")</f>
        <v>Sep</v>
      </c>
      <c r="P371" s="5">
        <f>ABS(Table4[[#This Row],[Variance]])</f>
        <v>47866</v>
      </c>
      <c r="Q371" s="5" t="str">
        <f>IF(Table4[[#This Row],[AB Variances ]]&gt;$P$2,"Anomaly","Normal")</f>
        <v>Anomaly</v>
      </c>
      <c r="R371" s="5">
        <f>SUMIFS(Table4[BudgetAmount],Table4[ActualExpense],"pending")</f>
        <v>0</v>
      </c>
    </row>
    <row r="372" spans="1:18">
      <c r="A372" t="s">
        <v>727</v>
      </c>
      <c r="B372" t="s">
        <v>237</v>
      </c>
      <c r="C372" t="s">
        <v>35</v>
      </c>
      <c r="D372" t="s">
        <v>16</v>
      </c>
      <c r="E372" t="s">
        <v>46</v>
      </c>
      <c r="F372" t="s">
        <v>47</v>
      </c>
      <c r="G372" s="2">
        <v>485376</v>
      </c>
      <c r="H372" s="1">
        <v>502753</v>
      </c>
      <c r="I372">
        <v>17377</v>
      </c>
      <c r="J372" t="s">
        <v>54</v>
      </c>
      <c r="K372" t="s">
        <v>20</v>
      </c>
      <c r="L372" t="s">
        <v>49</v>
      </c>
      <c r="M372" t="s">
        <v>22</v>
      </c>
      <c r="N372" s="5">
        <f>Table4[[#This Row],[BudgetAmount]]/Table4[[#This Row],[Variance]]</f>
        <v>27.932094147436267</v>
      </c>
      <c r="O372" s="5" t="str">
        <f>TEXT(Table4[[#This Row],[Date]],"mmm")</f>
        <v>Dec</v>
      </c>
      <c r="P372" s="5">
        <f>ABS(Table4[[#This Row],[Variance]])</f>
        <v>17377</v>
      </c>
      <c r="Q372" s="5" t="str">
        <f>IF(Table4[[#This Row],[AB Variances ]]&gt;$P$2,"Anomaly","Normal")</f>
        <v>Anomaly</v>
      </c>
      <c r="R372" s="5">
        <f>SUMIFS(Table4[BudgetAmount],Table4[ActualExpense],"pending")</f>
        <v>0</v>
      </c>
    </row>
    <row r="373" spans="1:18">
      <c r="A373" t="s">
        <v>728</v>
      </c>
      <c r="B373" t="s">
        <v>729</v>
      </c>
      <c r="C373" t="s">
        <v>33</v>
      </c>
      <c r="D373" t="s">
        <v>61</v>
      </c>
      <c r="E373" t="s">
        <v>46</v>
      </c>
      <c r="F373" t="s">
        <v>47</v>
      </c>
      <c r="G373" s="2">
        <v>220619</v>
      </c>
      <c r="H373" s="1">
        <v>163891</v>
      </c>
      <c r="I373">
        <v>-56728</v>
      </c>
      <c r="J373" t="s">
        <v>37</v>
      </c>
      <c r="K373" t="s">
        <v>48</v>
      </c>
      <c r="L373" t="s">
        <v>21</v>
      </c>
      <c r="M373" t="s">
        <v>22</v>
      </c>
      <c r="N373" s="5">
        <f>Table4[[#This Row],[BudgetAmount]]/Table4[[#This Row],[Variance]]</f>
        <v>-3.8890671273445214</v>
      </c>
      <c r="O373" s="5" t="str">
        <f>TEXT(Table4[[#This Row],[Date]],"mmm")</f>
        <v>Mar</v>
      </c>
      <c r="P373" s="5">
        <f>ABS(Table4[[#This Row],[Variance]])</f>
        <v>56728</v>
      </c>
      <c r="Q373" s="5" t="str">
        <f>IF(Table4[[#This Row],[AB Variances ]]&gt;$P$2,"Anomaly","Normal")</f>
        <v>Anomaly</v>
      </c>
      <c r="R373" s="5">
        <f>SUMIFS(Table4[BudgetAmount],Table4[ActualExpense],"pending")</f>
        <v>0</v>
      </c>
    </row>
    <row r="374" spans="1:18">
      <c r="A374" t="s">
        <v>730</v>
      </c>
      <c r="B374" t="s">
        <v>731</v>
      </c>
      <c r="C374" t="s">
        <v>33</v>
      </c>
      <c r="D374" t="s">
        <v>16</v>
      </c>
      <c r="E374" t="s">
        <v>71</v>
      </c>
      <c r="F374" t="s">
        <v>72</v>
      </c>
      <c r="G374" s="2">
        <v>95682</v>
      </c>
      <c r="H374" s="1">
        <v>93869</v>
      </c>
      <c r="I374">
        <v>-1813</v>
      </c>
      <c r="J374" t="s">
        <v>54</v>
      </c>
      <c r="K374" t="s">
        <v>20</v>
      </c>
      <c r="L374" t="s">
        <v>21</v>
      </c>
      <c r="M374" t="s">
        <v>42</v>
      </c>
      <c r="N374" s="5">
        <f>Table4[[#This Row],[BudgetAmount]]/Table4[[#This Row],[Variance]]</f>
        <v>-52.775510204081634</v>
      </c>
      <c r="O374" s="5" t="str">
        <f>TEXT(Table4[[#This Row],[Date]],"mmm")</f>
        <v>May</v>
      </c>
      <c r="P374" s="5">
        <f>ABS(Table4[[#This Row],[Variance]])</f>
        <v>1813</v>
      </c>
      <c r="Q374" s="5" t="str">
        <f>IF(Table4[[#This Row],[AB Variances ]]&gt;$P$2,"Anomaly","Normal")</f>
        <v>Normal</v>
      </c>
      <c r="R374" s="5">
        <f>SUMIFS(Table4[BudgetAmount],Table4[ActualExpense],"pending")</f>
        <v>0</v>
      </c>
    </row>
    <row r="375" spans="1:18">
      <c r="A375" t="s">
        <v>732</v>
      </c>
      <c r="B375" t="s">
        <v>233</v>
      </c>
      <c r="C375" t="s">
        <v>25</v>
      </c>
      <c r="D375" t="s">
        <v>16</v>
      </c>
      <c r="E375" t="s">
        <v>27</v>
      </c>
      <c r="F375" t="s">
        <v>28</v>
      </c>
      <c r="G375" s="2">
        <v>150315</v>
      </c>
      <c r="H375" s="1">
        <v>149975</v>
      </c>
      <c r="I375">
        <v>-340</v>
      </c>
      <c r="J375" t="s">
        <v>54</v>
      </c>
      <c r="K375" t="s">
        <v>20</v>
      </c>
      <c r="L375" t="s">
        <v>68</v>
      </c>
      <c r="M375" t="s">
        <v>42</v>
      </c>
      <c r="N375" s="5">
        <f>Table4[[#This Row],[BudgetAmount]]/Table4[[#This Row],[Variance]]</f>
        <v>-442.10294117647061</v>
      </c>
      <c r="O375" s="5" t="str">
        <f>TEXT(Table4[[#This Row],[Date]],"mmm")</f>
        <v>Jan</v>
      </c>
      <c r="P375" s="5">
        <f>ABS(Table4[[#This Row],[Variance]])</f>
        <v>340</v>
      </c>
      <c r="Q375" s="5" t="str">
        <f>IF(Table4[[#This Row],[AB Variances ]]&gt;$P$2,"Anomaly","Normal")</f>
        <v>Normal</v>
      </c>
      <c r="R375" s="5">
        <f>SUMIFS(Table4[BudgetAmount],Table4[ActualExpense],"pending")</f>
        <v>0</v>
      </c>
    </row>
    <row r="376" spans="1:18">
      <c r="A376" t="s">
        <v>733</v>
      </c>
      <c r="B376" t="s">
        <v>734</v>
      </c>
      <c r="C376" t="s">
        <v>25</v>
      </c>
      <c r="D376" t="s">
        <v>40</v>
      </c>
      <c r="E376" t="s">
        <v>85</v>
      </c>
      <c r="F376" t="s">
        <v>86</v>
      </c>
      <c r="G376" s="2">
        <v>381857</v>
      </c>
      <c r="H376" s="1">
        <v>355574</v>
      </c>
      <c r="I376">
        <v>-26283</v>
      </c>
      <c r="J376" t="s">
        <v>19</v>
      </c>
      <c r="K376" t="s">
        <v>41</v>
      </c>
      <c r="L376" t="s">
        <v>68</v>
      </c>
      <c r="M376" t="s">
        <v>22</v>
      </c>
      <c r="N376" s="5">
        <f>Table4[[#This Row],[BudgetAmount]]/Table4[[#This Row],[Variance]]</f>
        <v>-14.528668721226648</v>
      </c>
      <c r="O376" s="5" t="str">
        <f>TEXT(Table4[[#This Row],[Date]],"mmm")</f>
        <v>Jan</v>
      </c>
      <c r="P376" s="5">
        <f>ABS(Table4[[#This Row],[Variance]])</f>
        <v>26283</v>
      </c>
      <c r="Q376" s="5" t="str">
        <f>IF(Table4[[#This Row],[AB Variances ]]&gt;$P$2,"Anomaly","Normal")</f>
        <v>Anomaly</v>
      </c>
      <c r="R376" s="5">
        <f>SUMIFS(Table4[BudgetAmount],Table4[ActualExpense],"pending")</f>
        <v>0</v>
      </c>
    </row>
    <row r="377" spans="1:18">
      <c r="A377" t="s">
        <v>735</v>
      </c>
      <c r="B377" t="s">
        <v>58</v>
      </c>
      <c r="C377" t="s">
        <v>25</v>
      </c>
      <c r="D377" t="s">
        <v>34</v>
      </c>
      <c r="E377" t="s">
        <v>27</v>
      </c>
      <c r="F377" t="s">
        <v>28</v>
      </c>
      <c r="G377" s="2">
        <v>174284</v>
      </c>
      <c r="H377" s="1">
        <v>222699</v>
      </c>
      <c r="I377">
        <v>48415</v>
      </c>
      <c r="J377" t="s">
        <v>54</v>
      </c>
      <c r="K377" t="s">
        <v>29</v>
      </c>
      <c r="L377" t="s">
        <v>21</v>
      </c>
      <c r="M377" t="s">
        <v>22</v>
      </c>
      <c r="N377" s="5">
        <f>Table4[[#This Row],[BudgetAmount]]/Table4[[#This Row],[Variance]]</f>
        <v>3.5997934524424249</v>
      </c>
      <c r="O377" s="5" t="str">
        <f>TEXT(Table4[[#This Row],[Date]],"mmm")</f>
        <v>Mar</v>
      </c>
      <c r="P377" s="5">
        <f>ABS(Table4[[#This Row],[Variance]])</f>
        <v>48415</v>
      </c>
      <c r="Q377" s="5" t="str">
        <f>IF(Table4[[#This Row],[AB Variances ]]&gt;$P$2,"Anomaly","Normal")</f>
        <v>Anomaly</v>
      </c>
      <c r="R377" s="5">
        <f>SUMIFS(Table4[BudgetAmount],Table4[ActualExpense],"pending")</f>
        <v>0</v>
      </c>
    </row>
    <row r="378" spans="1:18">
      <c r="A378" t="s">
        <v>736</v>
      </c>
      <c r="B378" t="s">
        <v>166</v>
      </c>
      <c r="C378" t="s">
        <v>45</v>
      </c>
      <c r="D378" t="s">
        <v>26</v>
      </c>
      <c r="E378" t="s">
        <v>46</v>
      </c>
      <c r="F378" t="s">
        <v>47</v>
      </c>
      <c r="G378" s="2">
        <v>180140</v>
      </c>
      <c r="H378" s="1">
        <v>150528</v>
      </c>
      <c r="I378">
        <v>-29612</v>
      </c>
      <c r="J378" t="s">
        <v>37</v>
      </c>
      <c r="K378" t="s">
        <v>20</v>
      </c>
      <c r="L378" t="s">
        <v>21</v>
      </c>
      <c r="M378" t="s">
        <v>22</v>
      </c>
      <c r="N378" s="5">
        <f>Table4[[#This Row],[BudgetAmount]]/Table4[[#This Row],[Variance]]</f>
        <v>-6.0833445900310688</v>
      </c>
      <c r="O378" s="5" t="str">
        <f>TEXT(Table4[[#This Row],[Date]],"mmm")</f>
        <v>May</v>
      </c>
      <c r="P378" s="5">
        <f>ABS(Table4[[#This Row],[Variance]])</f>
        <v>29612</v>
      </c>
      <c r="Q378" s="5" t="str">
        <f>IF(Table4[[#This Row],[AB Variances ]]&gt;$P$2,"Anomaly","Normal")</f>
        <v>Anomaly</v>
      </c>
      <c r="R378" s="5">
        <f>SUMIFS(Table4[BudgetAmount],Table4[ActualExpense],"pending")</f>
        <v>0</v>
      </c>
    </row>
    <row r="379" spans="1:18">
      <c r="A379" t="s">
        <v>737</v>
      </c>
      <c r="B379" t="s">
        <v>568</v>
      </c>
      <c r="C379" t="s">
        <v>45</v>
      </c>
      <c r="D379" t="s">
        <v>26</v>
      </c>
      <c r="E379" t="s">
        <v>85</v>
      </c>
      <c r="F379" t="s">
        <v>86</v>
      </c>
      <c r="G379" s="2">
        <v>266831</v>
      </c>
      <c r="H379" s="1">
        <v>324404</v>
      </c>
      <c r="I379">
        <v>57573</v>
      </c>
      <c r="J379" t="s">
        <v>54</v>
      </c>
      <c r="K379" t="s">
        <v>48</v>
      </c>
      <c r="L379" t="s">
        <v>68</v>
      </c>
      <c r="M379" t="s">
        <v>42</v>
      </c>
      <c r="N379" s="5">
        <f>Table4[[#This Row],[BudgetAmount]]/Table4[[#This Row],[Variance]]</f>
        <v>4.6346551334827089</v>
      </c>
      <c r="O379" s="5" t="str">
        <f>TEXT(Table4[[#This Row],[Date]],"mmm")</f>
        <v>Nov</v>
      </c>
      <c r="P379" s="5">
        <f>ABS(Table4[[#This Row],[Variance]])</f>
        <v>57573</v>
      </c>
      <c r="Q379" s="5" t="str">
        <f>IF(Table4[[#This Row],[AB Variances ]]&gt;$P$2,"Anomaly","Normal")</f>
        <v>Anomaly</v>
      </c>
      <c r="R379" s="5">
        <f>SUMIFS(Table4[BudgetAmount],Table4[ActualExpense],"pending")</f>
        <v>0</v>
      </c>
    </row>
    <row r="380" spans="1:18">
      <c r="A380" t="s">
        <v>738</v>
      </c>
      <c r="B380" t="s">
        <v>739</v>
      </c>
      <c r="C380" t="s">
        <v>35</v>
      </c>
      <c r="D380" t="s">
        <v>61</v>
      </c>
      <c r="E380" t="s">
        <v>71</v>
      </c>
      <c r="F380" t="s">
        <v>72</v>
      </c>
      <c r="G380" s="2">
        <v>163883</v>
      </c>
      <c r="H380" s="1">
        <v>115301</v>
      </c>
      <c r="I380">
        <v>-48582</v>
      </c>
      <c r="J380" t="s">
        <v>19</v>
      </c>
      <c r="K380" t="s">
        <v>67</v>
      </c>
      <c r="L380" t="s">
        <v>68</v>
      </c>
      <c r="M380" t="s">
        <v>42</v>
      </c>
      <c r="N380" s="5">
        <f>Table4[[#This Row],[BudgetAmount]]/Table4[[#This Row],[Variance]]</f>
        <v>-3.3733275698818495</v>
      </c>
      <c r="O380" s="5" t="str">
        <f>TEXT(Table4[[#This Row],[Date]],"mmm")</f>
        <v>May</v>
      </c>
      <c r="P380" s="5">
        <f>ABS(Table4[[#This Row],[Variance]])</f>
        <v>48582</v>
      </c>
      <c r="Q380" s="5" t="str">
        <f>IF(Table4[[#This Row],[AB Variances ]]&gt;$P$2,"Anomaly","Normal")</f>
        <v>Anomaly</v>
      </c>
      <c r="R380" s="5">
        <f>SUMIFS(Table4[BudgetAmount],Table4[ActualExpense],"pending")</f>
        <v>0</v>
      </c>
    </row>
    <row r="381" spans="1:18">
      <c r="A381" t="s">
        <v>740</v>
      </c>
      <c r="B381" t="s">
        <v>437</v>
      </c>
      <c r="C381" t="s">
        <v>45</v>
      </c>
      <c r="D381" t="s">
        <v>26</v>
      </c>
      <c r="E381" t="s">
        <v>85</v>
      </c>
      <c r="F381" t="s">
        <v>86</v>
      </c>
      <c r="G381" s="2">
        <v>171211</v>
      </c>
      <c r="H381" s="1">
        <v>228585</v>
      </c>
      <c r="I381">
        <v>57374</v>
      </c>
      <c r="J381" t="s">
        <v>54</v>
      </c>
      <c r="K381" t="s">
        <v>67</v>
      </c>
      <c r="L381" t="s">
        <v>49</v>
      </c>
      <c r="M381" t="s">
        <v>22</v>
      </c>
      <c r="N381" s="5">
        <f>Table4[[#This Row],[BudgetAmount]]/Table4[[#This Row],[Variance]]</f>
        <v>2.9841217276118104</v>
      </c>
      <c r="O381" s="5" t="str">
        <f>TEXT(Table4[[#This Row],[Date]],"mmm")</f>
        <v>Jan</v>
      </c>
      <c r="P381" s="5">
        <f>ABS(Table4[[#This Row],[Variance]])</f>
        <v>57374</v>
      </c>
      <c r="Q381" s="5" t="str">
        <f>IF(Table4[[#This Row],[AB Variances ]]&gt;$P$2,"Anomaly","Normal")</f>
        <v>Anomaly</v>
      </c>
      <c r="R381" s="5">
        <f>SUMIFS(Table4[BudgetAmount],Table4[ActualExpense],"pending")</f>
        <v>0</v>
      </c>
    </row>
    <row r="382" spans="1:18">
      <c r="A382" t="s">
        <v>741</v>
      </c>
      <c r="B382" t="s">
        <v>437</v>
      </c>
      <c r="C382" t="s">
        <v>45</v>
      </c>
      <c r="D382" t="s">
        <v>61</v>
      </c>
      <c r="E382" t="s">
        <v>17</v>
      </c>
      <c r="F382" t="s">
        <v>18</v>
      </c>
      <c r="G382" s="2">
        <v>140730</v>
      </c>
      <c r="H382" s="1">
        <v>192595</v>
      </c>
      <c r="I382">
        <v>51865</v>
      </c>
      <c r="J382" t="s">
        <v>54</v>
      </c>
      <c r="K382" t="s">
        <v>41</v>
      </c>
      <c r="L382" t="s">
        <v>21</v>
      </c>
      <c r="M382" t="s">
        <v>42</v>
      </c>
      <c r="N382" s="5">
        <f>Table4[[#This Row],[BudgetAmount]]/Table4[[#This Row],[Variance]]</f>
        <v>2.7133905331148171</v>
      </c>
      <c r="O382" s="5" t="str">
        <f>TEXT(Table4[[#This Row],[Date]],"mmm")</f>
        <v>Jan</v>
      </c>
      <c r="P382" s="5">
        <f>ABS(Table4[[#This Row],[Variance]])</f>
        <v>51865</v>
      </c>
      <c r="Q382" s="5" t="str">
        <f>IF(Table4[[#This Row],[AB Variances ]]&gt;$P$2,"Anomaly","Normal")</f>
        <v>Anomaly</v>
      </c>
      <c r="R382" s="5">
        <f>SUMIFS(Table4[BudgetAmount],Table4[ActualExpense],"pending")</f>
        <v>0</v>
      </c>
    </row>
    <row r="383" spans="1:18">
      <c r="A383" t="s">
        <v>742</v>
      </c>
      <c r="B383" t="s">
        <v>743</v>
      </c>
      <c r="C383" t="s">
        <v>64</v>
      </c>
      <c r="D383" t="s">
        <v>61</v>
      </c>
      <c r="E383" t="s">
        <v>46</v>
      </c>
      <c r="F383" t="s">
        <v>47</v>
      </c>
      <c r="G383" s="2">
        <v>240093</v>
      </c>
      <c r="H383" s="1">
        <v>316078</v>
      </c>
      <c r="I383">
        <v>75985</v>
      </c>
      <c r="J383" t="s">
        <v>54</v>
      </c>
      <c r="K383" t="s">
        <v>41</v>
      </c>
      <c r="L383" t="s">
        <v>68</v>
      </c>
      <c r="M383" t="s">
        <v>22</v>
      </c>
      <c r="N383" s="5">
        <f>Table4[[#This Row],[BudgetAmount]]/Table4[[#This Row],[Variance]]</f>
        <v>3.159742054352833</v>
      </c>
      <c r="O383" s="5" t="str">
        <f>TEXT(Table4[[#This Row],[Date]],"mmm")</f>
        <v>Apr</v>
      </c>
      <c r="P383" s="5">
        <f>ABS(Table4[[#This Row],[Variance]])</f>
        <v>75985</v>
      </c>
      <c r="Q383" s="5" t="str">
        <f>IF(Table4[[#This Row],[AB Variances ]]&gt;$P$2,"Anomaly","Normal")</f>
        <v>Anomaly</v>
      </c>
      <c r="R383" s="5">
        <f>SUMIFS(Table4[BudgetAmount],Table4[ActualExpense],"pending")</f>
        <v>0</v>
      </c>
    </row>
    <row r="384" spans="1:18">
      <c r="A384" t="s">
        <v>744</v>
      </c>
      <c r="B384" t="s">
        <v>745</v>
      </c>
      <c r="C384" t="s">
        <v>45</v>
      </c>
      <c r="D384" t="s">
        <v>61</v>
      </c>
      <c r="E384" t="s">
        <v>17</v>
      </c>
      <c r="F384" t="s">
        <v>18</v>
      </c>
      <c r="G384" s="2">
        <v>431185</v>
      </c>
      <c r="H384" s="1">
        <v>589059</v>
      </c>
      <c r="I384">
        <v>157874</v>
      </c>
      <c r="J384" t="s">
        <v>54</v>
      </c>
      <c r="K384" t="s">
        <v>67</v>
      </c>
      <c r="L384" t="s">
        <v>21</v>
      </c>
      <c r="M384" t="s">
        <v>42</v>
      </c>
      <c r="N384" s="5">
        <f>Table4[[#This Row],[BudgetAmount]]/Table4[[#This Row],[Variance]]</f>
        <v>2.7311970305433446</v>
      </c>
      <c r="O384" s="5" t="str">
        <f>TEXT(Table4[[#This Row],[Date]],"mmm")</f>
        <v>Mar</v>
      </c>
      <c r="P384" s="5">
        <f>ABS(Table4[[#This Row],[Variance]])</f>
        <v>157874</v>
      </c>
      <c r="Q384" s="5" t="str">
        <f>IF(Table4[[#This Row],[AB Variances ]]&gt;$P$2,"Anomaly","Normal")</f>
        <v>Anomaly</v>
      </c>
      <c r="R384" s="5">
        <f>SUMIFS(Table4[BudgetAmount],Table4[ActualExpense],"pending")</f>
        <v>0</v>
      </c>
    </row>
    <row r="385" spans="1:18">
      <c r="A385" t="s">
        <v>746</v>
      </c>
      <c r="B385" t="s">
        <v>196</v>
      </c>
      <c r="C385" t="s">
        <v>64</v>
      </c>
      <c r="D385" t="s">
        <v>40</v>
      </c>
      <c r="E385" t="s">
        <v>71</v>
      </c>
      <c r="F385" t="s">
        <v>72</v>
      </c>
      <c r="G385" s="2">
        <v>341943</v>
      </c>
      <c r="H385" s="1">
        <v>247631</v>
      </c>
      <c r="I385">
        <v>-94312</v>
      </c>
      <c r="J385" t="s">
        <v>54</v>
      </c>
      <c r="K385" t="s">
        <v>48</v>
      </c>
      <c r="L385" t="s">
        <v>68</v>
      </c>
      <c r="M385" t="s">
        <v>42</v>
      </c>
      <c r="N385" s="5">
        <f>Table4[[#This Row],[BudgetAmount]]/Table4[[#This Row],[Variance]]</f>
        <v>-3.6256573924845195</v>
      </c>
      <c r="O385" s="5" t="str">
        <f>TEXT(Table4[[#This Row],[Date]],"mmm")</f>
        <v>Sep</v>
      </c>
      <c r="P385" s="5">
        <f>ABS(Table4[[#This Row],[Variance]])</f>
        <v>94312</v>
      </c>
      <c r="Q385" s="5" t="str">
        <f>IF(Table4[[#This Row],[AB Variances ]]&gt;$P$2,"Anomaly","Normal")</f>
        <v>Anomaly</v>
      </c>
      <c r="R385" s="5">
        <f>SUMIFS(Table4[BudgetAmount],Table4[ActualExpense],"pending")</f>
        <v>0</v>
      </c>
    </row>
    <row r="386" spans="1:18">
      <c r="A386" t="s">
        <v>747</v>
      </c>
      <c r="B386" t="s">
        <v>748</v>
      </c>
      <c r="C386" t="s">
        <v>15</v>
      </c>
      <c r="D386" t="s">
        <v>16</v>
      </c>
      <c r="E386" t="s">
        <v>46</v>
      </c>
      <c r="F386" t="s">
        <v>47</v>
      </c>
      <c r="G386" s="2">
        <v>221650</v>
      </c>
      <c r="H386" s="1">
        <v>253010</v>
      </c>
      <c r="I386">
        <v>31360</v>
      </c>
      <c r="J386" t="s">
        <v>54</v>
      </c>
      <c r="K386" t="s">
        <v>20</v>
      </c>
      <c r="L386" t="s">
        <v>49</v>
      </c>
      <c r="M386" t="s">
        <v>42</v>
      </c>
      <c r="N386" s="5">
        <f>Table4[[#This Row],[BudgetAmount]]/Table4[[#This Row],[Variance]]</f>
        <v>7.0679209183673466</v>
      </c>
      <c r="O386" s="5" t="str">
        <f>TEXT(Table4[[#This Row],[Date]],"mmm")</f>
        <v>Mar</v>
      </c>
      <c r="P386" s="5">
        <f>ABS(Table4[[#This Row],[Variance]])</f>
        <v>31360</v>
      </c>
      <c r="Q386" s="5" t="str">
        <f>IF(Table4[[#This Row],[AB Variances ]]&gt;$P$2,"Anomaly","Normal")</f>
        <v>Anomaly</v>
      </c>
      <c r="R386" s="5">
        <f>SUMIFS(Table4[BudgetAmount],Table4[ActualExpense],"pending")</f>
        <v>0</v>
      </c>
    </row>
    <row r="387" spans="1:18">
      <c r="A387" t="s">
        <v>749</v>
      </c>
      <c r="B387" t="s">
        <v>750</v>
      </c>
      <c r="C387" t="s">
        <v>64</v>
      </c>
      <c r="D387" t="s">
        <v>26</v>
      </c>
      <c r="E387" t="s">
        <v>27</v>
      </c>
      <c r="F387" t="s">
        <v>28</v>
      </c>
      <c r="G387" s="2">
        <v>159469</v>
      </c>
      <c r="H387" s="1">
        <v>139681</v>
      </c>
      <c r="I387">
        <v>-19788</v>
      </c>
      <c r="J387" t="s">
        <v>37</v>
      </c>
      <c r="K387" t="s">
        <v>48</v>
      </c>
      <c r="L387" t="s">
        <v>30</v>
      </c>
      <c r="M387" t="s">
        <v>22</v>
      </c>
      <c r="N387" s="5">
        <f>Table4[[#This Row],[BudgetAmount]]/Table4[[#This Row],[Variance]]</f>
        <v>-8.0588740650899542</v>
      </c>
      <c r="O387" s="5" t="str">
        <f>TEXT(Table4[[#This Row],[Date]],"mmm")</f>
        <v>Sep</v>
      </c>
      <c r="P387" s="5">
        <f>ABS(Table4[[#This Row],[Variance]])</f>
        <v>19788</v>
      </c>
      <c r="Q387" s="5" t="str">
        <f>IF(Table4[[#This Row],[AB Variances ]]&gt;$P$2,"Anomaly","Normal")</f>
        <v>Anomaly</v>
      </c>
      <c r="R387" s="5">
        <f>SUMIFS(Table4[BudgetAmount],Table4[ActualExpense],"pending")</f>
        <v>0</v>
      </c>
    </row>
    <row r="388" spans="1:18">
      <c r="A388" t="s">
        <v>751</v>
      </c>
      <c r="B388" t="s">
        <v>752</v>
      </c>
      <c r="C388" t="s">
        <v>45</v>
      </c>
      <c r="D388" t="s">
        <v>61</v>
      </c>
      <c r="E388" t="s">
        <v>71</v>
      </c>
      <c r="F388" t="s">
        <v>72</v>
      </c>
      <c r="G388" s="2">
        <v>422394</v>
      </c>
      <c r="H388" s="1">
        <v>548844</v>
      </c>
      <c r="I388">
        <v>126450</v>
      </c>
      <c r="J388" t="s">
        <v>37</v>
      </c>
      <c r="K388" t="s">
        <v>67</v>
      </c>
      <c r="L388" t="s">
        <v>68</v>
      </c>
      <c r="M388" t="s">
        <v>22</v>
      </c>
      <c r="N388" s="5">
        <f>Table4[[#This Row],[BudgetAmount]]/Table4[[#This Row],[Variance]]</f>
        <v>3.3404033214709372</v>
      </c>
      <c r="O388" s="5" t="str">
        <f>TEXT(Table4[[#This Row],[Date]],"mmm")</f>
        <v>May</v>
      </c>
      <c r="P388" s="5">
        <f>ABS(Table4[[#This Row],[Variance]])</f>
        <v>126450</v>
      </c>
      <c r="Q388" s="5" t="str">
        <f>IF(Table4[[#This Row],[AB Variances ]]&gt;$P$2,"Anomaly","Normal")</f>
        <v>Anomaly</v>
      </c>
      <c r="R388" s="5">
        <f>SUMIFS(Table4[BudgetAmount],Table4[ActualExpense],"pending")</f>
        <v>0</v>
      </c>
    </row>
    <row r="389" spans="1:18">
      <c r="A389" t="s">
        <v>753</v>
      </c>
      <c r="B389" t="s">
        <v>754</v>
      </c>
      <c r="C389" t="s">
        <v>45</v>
      </c>
      <c r="D389" t="s">
        <v>16</v>
      </c>
      <c r="E389" t="s">
        <v>71</v>
      </c>
      <c r="F389" t="s">
        <v>72</v>
      </c>
      <c r="G389" s="2">
        <v>303169</v>
      </c>
      <c r="H389" s="1">
        <v>387819</v>
      </c>
      <c r="I389">
        <v>84650</v>
      </c>
      <c r="J389" t="s">
        <v>54</v>
      </c>
      <c r="K389" t="s">
        <v>48</v>
      </c>
      <c r="L389" t="s">
        <v>68</v>
      </c>
      <c r="M389" t="s">
        <v>22</v>
      </c>
      <c r="N389" s="5">
        <f>Table4[[#This Row],[BudgetAmount]]/Table4[[#This Row],[Variance]]</f>
        <v>3.5814412285883046</v>
      </c>
      <c r="O389" s="5" t="str">
        <f>TEXT(Table4[[#This Row],[Date]],"mmm")</f>
        <v>Jan</v>
      </c>
      <c r="P389" s="5">
        <f>ABS(Table4[[#This Row],[Variance]])</f>
        <v>84650</v>
      </c>
      <c r="Q389" s="5" t="str">
        <f>IF(Table4[[#This Row],[AB Variances ]]&gt;$P$2,"Anomaly","Normal")</f>
        <v>Anomaly</v>
      </c>
      <c r="R389" s="5">
        <f>SUMIFS(Table4[BudgetAmount],Table4[ActualExpense],"pending")</f>
        <v>0</v>
      </c>
    </row>
    <row r="390" spans="1:18">
      <c r="A390" t="s">
        <v>755</v>
      </c>
      <c r="B390" t="s">
        <v>709</v>
      </c>
      <c r="C390" t="s">
        <v>33</v>
      </c>
      <c r="D390" t="s">
        <v>16</v>
      </c>
      <c r="E390" t="s">
        <v>35</v>
      </c>
      <c r="F390" t="s">
        <v>36</v>
      </c>
      <c r="G390" s="2">
        <v>107253</v>
      </c>
      <c r="H390" s="1">
        <v>92489</v>
      </c>
      <c r="I390">
        <v>-14764</v>
      </c>
      <c r="J390" t="s">
        <v>19</v>
      </c>
      <c r="K390" t="s">
        <v>29</v>
      </c>
      <c r="L390" t="s">
        <v>68</v>
      </c>
      <c r="M390" t="s">
        <v>42</v>
      </c>
      <c r="N390" s="5">
        <f>Table4[[#This Row],[BudgetAmount]]/Table4[[#This Row],[Variance]]</f>
        <v>-7.2644947168788949</v>
      </c>
      <c r="O390" s="5" t="str">
        <f>TEXT(Table4[[#This Row],[Date]],"mmm")</f>
        <v>Apr</v>
      </c>
      <c r="P390" s="5">
        <f>ABS(Table4[[#This Row],[Variance]])</f>
        <v>14764</v>
      </c>
      <c r="Q390" s="5" t="str">
        <f>IF(Table4[[#This Row],[AB Variances ]]&gt;$P$2,"Anomaly","Normal")</f>
        <v>Normal</v>
      </c>
      <c r="R390" s="5">
        <f>SUMIFS(Table4[BudgetAmount],Table4[ActualExpense],"pending")</f>
        <v>0</v>
      </c>
    </row>
    <row r="391" spans="1:18">
      <c r="A391" t="s">
        <v>756</v>
      </c>
      <c r="B391" t="s">
        <v>757</v>
      </c>
      <c r="C391" t="s">
        <v>15</v>
      </c>
      <c r="D391" t="s">
        <v>40</v>
      </c>
      <c r="E391" t="s">
        <v>71</v>
      </c>
      <c r="F391" t="s">
        <v>72</v>
      </c>
      <c r="G391" s="2">
        <v>428681</v>
      </c>
      <c r="H391" s="1">
        <v>331800</v>
      </c>
      <c r="I391">
        <v>-96881</v>
      </c>
      <c r="J391" t="s">
        <v>19</v>
      </c>
      <c r="K391" t="s">
        <v>29</v>
      </c>
      <c r="L391" t="s">
        <v>49</v>
      </c>
      <c r="M391" t="s">
        <v>42</v>
      </c>
      <c r="N391" s="5">
        <f>Table4[[#This Row],[BudgetAmount]]/Table4[[#This Row],[Variance]]</f>
        <v>-4.4248201401719633</v>
      </c>
      <c r="O391" s="5" t="str">
        <f>TEXT(Table4[[#This Row],[Date]],"mmm")</f>
        <v>Feb</v>
      </c>
      <c r="P391" s="5">
        <f>ABS(Table4[[#This Row],[Variance]])</f>
        <v>96881</v>
      </c>
      <c r="Q391" s="5" t="str">
        <f>IF(Table4[[#This Row],[AB Variances ]]&gt;$P$2,"Anomaly","Normal")</f>
        <v>Anomaly</v>
      </c>
      <c r="R391" s="5">
        <f>SUMIFS(Table4[BudgetAmount],Table4[ActualExpense],"pending")</f>
        <v>0</v>
      </c>
    </row>
    <row r="392" spans="1:18">
      <c r="A392" t="s">
        <v>758</v>
      </c>
      <c r="B392" t="s">
        <v>293</v>
      </c>
      <c r="C392" t="s">
        <v>25</v>
      </c>
      <c r="D392" t="s">
        <v>26</v>
      </c>
      <c r="E392" t="s">
        <v>46</v>
      </c>
      <c r="F392" t="s">
        <v>47</v>
      </c>
      <c r="G392" s="2">
        <v>412066</v>
      </c>
      <c r="H392" s="1">
        <v>456534</v>
      </c>
      <c r="I392">
        <v>44468</v>
      </c>
      <c r="J392" t="s">
        <v>19</v>
      </c>
      <c r="K392" t="s">
        <v>29</v>
      </c>
      <c r="L392" t="s">
        <v>21</v>
      </c>
      <c r="M392" t="s">
        <v>22</v>
      </c>
      <c r="N392" s="5">
        <f>Table4[[#This Row],[BudgetAmount]]/Table4[[#This Row],[Variance]]</f>
        <v>9.2665737159305568</v>
      </c>
      <c r="O392" s="5" t="str">
        <f>TEXT(Table4[[#This Row],[Date]],"mmm")</f>
        <v>Sep</v>
      </c>
      <c r="P392" s="5">
        <f>ABS(Table4[[#This Row],[Variance]])</f>
        <v>44468</v>
      </c>
      <c r="Q392" s="5" t="str">
        <f>IF(Table4[[#This Row],[AB Variances ]]&gt;$P$2,"Anomaly","Normal")</f>
        <v>Anomaly</v>
      </c>
      <c r="R392" s="5">
        <f>SUMIFS(Table4[BudgetAmount],Table4[ActualExpense],"pending")</f>
        <v>0</v>
      </c>
    </row>
    <row r="393" spans="1:18">
      <c r="A393" t="s">
        <v>759</v>
      </c>
      <c r="B393" t="s">
        <v>760</v>
      </c>
      <c r="C393" t="s">
        <v>25</v>
      </c>
      <c r="D393" t="s">
        <v>61</v>
      </c>
      <c r="E393" t="s">
        <v>27</v>
      </c>
      <c r="F393" t="s">
        <v>28</v>
      </c>
      <c r="G393" s="2">
        <v>240743</v>
      </c>
      <c r="H393" s="1">
        <v>294891</v>
      </c>
      <c r="I393">
        <v>54148</v>
      </c>
      <c r="J393" t="s">
        <v>54</v>
      </c>
      <c r="K393" t="s">
        <v>67</v>
      </c>
      <c r="L393" t="s">
        <v>68</v>
      </c>
      <c r="M393" t="s">
        <v>42</v>
      </c>
      <c r="N393" s="5">
        <f>Table4[[#This Row],[BudgetAmount]]/Table4[[#This Row],[Variance]]</f>
        <v>4.4460183201595624</v>
      </c>
      <c r="O393" s="5" t="str">
        <f>TEXT(Table4[[#This Row],[Date]],"mmm")</f>
        <v>Aug</v>
      </c>
      <c r="P393" s="5">
        <f>ABS(Table4[[#This Row],[Variance]])</f>
        <v>54148</v>
      </c>
      <c r="Q393" s="5" t="str">
        <f>IF(Table4[[#This Row],[AB Variances ]]&gt;$P$2,"Anomaly","Normal")</f>
        <v>Anomaly</v>
      </c>
      <c r="R393" s="5">
        <f>SUMIFS(Table4[BudgetAmount],Table4[ActualExpense],"pending")</f>
        <v>0</v>
      </c>
    </row>
    <row r="394" spans="1:18">
      <c r="A394" t="s">
        <v>761</v>
      </c>
      <c r="B394" t="s">
        <v>762</v>
      </c>
      <c r="C394" t="s">
        <v>45</v>
      </c>
      <c r="D394" t="s">
        <v>40</v>
      </c>
      <c r="E394" t="s">
        <v>35</v>
      </c>
      <c r="F394" t="s">
        <v>36</v>
      </c>
      <c r="G394" s="2">
        <v>302006</v>
      </c>
      <c r="H394" s="1">
        <v>212714</v>
      </c>
      <c r="I394">
        <v>-89292</v>
      </c>
      <c r="J394" t="s">
        <v>54</v>
      </c>
      <c r="K394" t="s">
        <v>41</v>
      </c>
      <c r="L394" t="s">
        <v>21</v>
      </c>
      <c r="M394" t="s">
        <v>22</v>
      </c>
      <c r="N394" s="5">
        <f>Table4[[#This Row],[BudgetAmount]]/Table4[[#This Row],[Variance]]</f>
        <v>-3.3822290910719883</v>
      </c>
      <c r="O394" s="5" t="str">
        <f>TEXT(Table4[[#This Row],[Date]],"mmm")</f>
        <v>Aug</v>
      </c>
      <c r="P394" s="5">
        <f>ABS(Table4[[#This Row],[Variance]])</f>
        <v>89292</v>
      </c>
      <c r="Q394" s="5" t="str">
        <f>IF(Table4[[#This Row],[AB Variances ]]&gt;$P$2,"Anomaly","Normal")</f>
        <v>Anomaly</v>
      </c>
      <c r="R394" s="5">
        <f>SUMIFS(Table4[BudgetAmount],Table4[ActualExpense],"pending")</f>
        <v>0</v>
      </c>
    </row>
    <row r="395" spans="1:18">
      <c r="A395" t="s">
        <v>763</v>
      </c>
      <c r="B395" t="s">
        <v>764</v>
      </c>
      <c r="C395" t="s">
        <v>64</v>
      </c>
      <c r="D395" t="s">
        <v>40</v>
      </c>
      <c r="E395" t="s">
        <v>17</v>
      </c>
      <c r="F395" t="s">
        <v>18</v>
      </c>
      <c r="G395" s="2">
        <v>146739</v>
      </c>
      <c r="H395" s="1">
        <v>139970</v>
      </c>
      <c r="I395">
        <v>-6769</v>
      </c>
      <c r="J395" t="s">
        <v>19</v>
      </c>
      <c r="K395" t="s">
        <v>67</v>
      </c>
      <c r="L395" t="s">
        <v>49</v>
      </c>
      <c r="M395" t="s">
        <v>42</v>
      </c>
      <c r="N395" s="5">
        <f>Table4[[#This Row],[BudgetAmount]]/Table4[[#This Row],[Variance]]</f>
        <v>-21.678091298566997</v>
      </c>
      <c r="O395" s="5" t="str">
        <f>TEXT(Table4[[#This Row],[Date]],"mmm")</f>
        <v>May</v>
      </c>
      <c r="P395" s="5">
        <f>ABS(Table4[[#This Row],[Variance]])</f>
        <v>6769</v>
      </c>
      <c r="Q395" s="5" t="str">
        <f>IF(Table4[[#This Row],[AB Variances ]]&gt;$P$2,"Anomaly","Normal")</f>
        <v>Normal</v>
      </c>
      <c r="R395" s="5">
        <f>SUMIFS(Table4[BudgetAmount],Table4[ActualExpense],"pending")</f>
        <v>0</v>
      </c>
    </row>
    <row r="396" spans="1:18">
      <c r="A396" t="s">
        <v>765</v>
      </c>
      <c r="B396" t="s">
        <v>281</v>
      </c>
      <c r="C396" t="s">
        <v>64</v>
      </c>
      <c r="D396" t="s">
        <v>34</v>
      </c>
      <c r="E396" t="s">
        <v>17</v>
      </c>
      <c r="F396" t="s">
        <v>18</v>
      </c>
      <c r="G396" s="2">
        <v>336961</v>
      </c>
      <c r="H396" s="1">
        <v>275338</v>
      </c>
      <c r="I396">
        <v>-61623</v>
      </c>
      <c r="J396" t="s">
        <v>37</v>
      </c>
      <c r="K396" t="s">
        <v>48</v>
      </c>
      <c r="L396" t="s">
        <v>68</v>
      </c>
      <c r="M396" t="s">
        <v>22</v>
      </c>
      <c r="N396" s="5">
        <f>Table4[[#This Row],[BudgetAmount]]/Table4[[#This Row],[Variance]]</f>
        <v>-5.4681044415234572</v>
      </c>
      <c r="O396" s="5" t="str">
        <f>TEXT(Table4[[#This Row],[Date]],"mmm")</f>
        <v>Aug</v>
      </c>
      <c r="P396" s="5">
        <f>ABS(Table4[[#This Row],[Variance]])</f>
        <v>61623</v>
      </c>
      <c r="Q396" s="5" t="str">
        <f>IF(Table4[[#This Row],[AB Variances ]]&gt;$P$2,"Anomaly","Normal")</f>
        <v>Anomaly</v>
      </c>
      <c r="R396" s="5">
        <f>SUMIFS(Table4[BudgetAmount],Table4[ActualExpense],"pending")</f>
        <v>0</v>
      </c>
    </row>
    <row r="397" spans="1:18">
      <c r="A397" t="s">
        <v>766</v>
      </c>
      <c r="B397" t="s">
        <v>767</v>
      </c>
      <c r="C397" t="s">
        <v>33</v>
      </c>
      <c r="D397" t="s">
        <v>40</v>
      </c>
      <c r="E397" t="s">
        <v>27</v>
      </c>
      <c r="F397" t="s">
        <v>28</v>
      </c>
      <c r="G397" s="2">
        <v>480105</v>
      </c>
      <c r="H397" s="1">
        <v>618673</v>
      </c>
      <c r="I397">
        <v>138568</v>
      </c>
      <c r="J397" t="s">
        <v>37</v>
      </c>
      <c r="K397" t="s">
        <v>29</v>
      </c>
      <c r="L397" t="s">
        <v>21</v>
      </c>
      <c r="M397" t="s">
        <v>42</v>
      </c>
      <c r="N397" s="5">
        <f>Table4[[#This Row],[BudgetAmount]]/Table4[[#This Row],[Variance]]</f>
        <v>3.4647609837769182</v>
      </c>
      <c r="O397" s="5" t="str">
        <f>TEXT(Table4[[#This Row],[Date]],"mmm")</f>
        <v>Sep</v>
      </c>
      <c r="P397" s="5">
        <f>ABS(Table4[[#This Row],[Variance]])</f>
        <v>138568</v>
      </c>
      <c r="Q397" s="5" t="str">
        <f>IF(Table4[[#This Row],[AB Variances ]]&gt;$P$2,"Anomaly","Normal")</f>
        <v>Anomaly</v>
      </c>
      <c r="R397" s="5">
        <f>SUMIFS(Table4[BudgetAmount],Table4[ActualExpense],"pending")</f>
        <v>0</v>
      </c>
    </row>
    <row r="398" spans="1:18">
      <c r="A398" t="s">
        <v>768</v>
      </c>
      <c r="B398" t="s">
        <v>769</v>
      </c>
      <c r="C398" t="s">
        <v>33</v>
      </c>
      <c r="D398" t="s">
        <v>34</v>
      </c>
      <c r="E398" t="s">
        <v>17</v>
      </c>
      <c r="F398" t="s">
        <v>18</v>
      </c>
      <c r="G398" s="2">
        <v>382388</v>
      </c>
      <c r="H398" s="1">
        <v>402104</v>
      </c>
      <c r="I398">
        <v>19716</v>
      </c>
      <c r="J398" t="s">
        <v>37</v>
      </c>
      <c r="K398" t="s">
        <v>41</v>
      </c>
      <c r="L398" t="s">
        <v>21</v>
      </c>
      <c r="M398" t="s">
        <v>42</v>
      </c>
      <c r="N398" s="5">
        <f>Table4[[#This Row],[BudgetAmount]]/Table4[[#This Row],[Variance]]</f>
        <v>19.394806248731996</v>
      </c>
      <c r="O398" s="5" t="str">
        <f>TEXT(Table4[[#This Row],[Date]],"mmm")</f>
        <v>Jan</v>
      </c>
      <c r="P398" s="5">
        <f>ABS(Table4[[#This Row],[Variance]])</f>
        <v>19716</v>
      </c>
      <c r="Q398" s="5" t="str">
        <f>IF(Table4[[#This Row],[AB Variances ]]&gt;$P$2,"Anomaly","Normal")</f>
        <v>Anomaly</v>
      </c>
      <c r="R398" s="5">
        <f>SUMIFS(Table4[BudgetAmount],Table4[ActualExpense],"pending")</f>
        <v>0</v>
      </c>
    </row>
    <row r="399" spans="1:18">
      <c r="A399" t="s">
        <v>770</v>
      </c>
      <c r="B399" t="s">
        <v>771</v>
      </c>
      <c r="C399" t="s">
        <v>15</v>
      </c>
      <c r="D399" t="s">
        <v>26</v>
      </c>
      <c r="E399" t="s">
        <v>27</v>
      </c>
      <c r="F399" t="s">
        <v>28</v>
      </c>
      <c r="G399" s="2">
        <v>73154</v>
      </c>
      <c r="H399" s="1">
        <v>97950</v>
      </c>
      <c r="I399">
        <v>24796</v>
      </c>
      <c r="J399" t="s">
        <v>54</v>
      </c>
      <c r="K399" t="s">
        <v>29</v>
      </c>
      <c r="L399" t="s">
        <v>21</v>
      </c>
      <c r="M399" t="s">
        <v>42</v>
      </c>
      <c r="N399" s="5">
        <f>Table4[[#This Row],[BudgetAmount]]/Table4[[#This Row],[Variance]]</f>
        <v>2.9502339086949507</v>
      </c>
      <c r="O399" s="5" t="str">
        <f>TEXT(Table4[[#This Row],[Date]],"mmm")</f>
        <v>May</v>
      </c>
      <c r="P399" s="5">
        <f>ABS(Table4[[#This Row],[Variance]])</f>
        <v>24796</v>
      </c>
      <c r="Q399" s="5" t="str">
        <f>IF(Table4[[#This Row],[AB Variances ]]&gt;$P$2,"Anomaly","Normal")</f>
        <v>Anomaly</v>
      </c>
      <c r="R399" s="5">
        <f>SUMIFS(Table4[BudgetAmount],Table4[ActualExpense],"pending")</f>
        <v>0</v>
      </c>
    </row>
    <row r="400" spans="1:18">
      <c r="A400" t="s">
        <v>772</v>
      </c>
      <c r="B400" t="s">
        <v>773</v>
      </c>
      <c r="C400" t="s">
        <v>64</v>
      </c>
      <c r="D400" t="s">
        <v>26</v>
      </c>
      <c r="E400" t="s">
        <v>71</v>
      </c>
      <c r="F400" t="s">
        <v>72</v>
      </c>
      <c r="G400" s="2">
        <v>72533</v>
      </c>
      <c r="H400" s="1">
        <v>77623</v>
      </c>
      <c r="I400">
        <v>5090</v>
      </c>
      <c r="J400" t="s">
        <v>19</v>
      </c>
      <c r="K400" t="s">
        <v>20</v>
      </c>
      <c r="L400" t="s">
        <v>49</v>
      </c>
      <c r="M400" t="s">
        <v>42</v>
      </c>
      <c r="N400" s="5">
        <f>Table4[[#This Row],[BudgetAmount]]/Table4[[#This Row],[Variance]]</f>
        <v>14.250098231827112</v>
      </c>
      <c r="O400" s="5" t="str">
        <f>TEXT(Table4[[#This Row],[Date]],"mmm")</f>
        <v>May</v>
      </c>
      <c r="P400" s="5">
        <f>ABS(Table4[[#This Row],[Variance]])</f>
        <v>5090</v>
      </c>
      <c r="Q400" s="5" t="str">
        <f>IF(Table4[[#This Row],[AB Variances ]]&gt;$P$2,"Anomaly","Normal")</f>
        <v>Normal</v>
      </c>
      <c r="R400" s="5">
        <f>SUMIFS(Table4[BudgetAmount],Table4[ActualExpense],"pending")</f>
        <v>0</v>
      </c>
    </row>
    <row r="401" spans="1:18">
      <c r="A401" t="s">
        <v>774</v>
      </c>
      <c r="B401" t="s">
        <v>132</v>
      </c>
      <c r="C401" t="s">
        <v>64</v>
      </c>
      <c r="D401" t="s">
        <v>26</v>
      </c>
      <c r="E401" t="s">
        <v>46</v>
      </c>
      <c r="F401" t="s">
        <v>47</v>
      </c>
      <c r="G401" s="2">
        <v>82542</v>
      </c>
      <c r="H401" s="1">
        <v>85261</v>
      </c>
      <c r="I401">
        <v>2719</v>
      </c>
      <c r="J401" t="s">
        <v>37</v>
      </c>
      <c r="K401" t="s">
        <v>67</v>
      </c>
      <c r="L401" t="s">
        <v>21</v>
      </c>
      <c r="M401" t="s">
        <v>22</v>
      </c>
      <c r="N401" s="5">
        <f>Table4[[#This Row],[BudgetAmount]]/Table4[[#This Row],[Variance]]</f>
        <v>30.357484369253402</v>
      </c>
      <c r="O401" s="5" t="str">
        <f>TEXT(Table4[[#This Row],[Date]],"mmm")</f>
        <v>Mar</v>
      </c>
      <c r="P401" s="5">
        <f>ABS(Table4[[#This Row],[Variance]])</f>
        <v>2719</v>
      </c>
      <c r="Q401" s="5" t="str">
        <f>IF(Table4[[#This Row],[AB Variances ]]&gt;$P$2,"Anomaly","Normal")</f>
        <v>Normal</v>
      </c>
      <c r="R401" s="5">
        <f>SUMIFS(Table4[BudgetAmount],Table4[ActualExpense],"pending")</f>
        <v>0</v>
      </c>
    </row>
    <row r="402" spans="1:18">
      <c r="A402" t="s">
        <v>775</v>
      </c>
      <c r="B402" t="s">
        <v>776</v>
      </c>
      <c r="C402" t="s">
        <v>25</v>
      </c>
      <c r="D402" t="s">
        <v>40</v>
      </c>
      <c r="E402" t="s">
        <v>17</v>
      </c>
      <c r="F402" t="s">
        <v>18</v>
      </c>
      <c r="G402" s="2">
        <v>232894</v>
      </c>
      <c r="H402" s="1">
        <v>174176</v>
      </c>
      <c r="I402">
        <v>-58718</v>
      </c>
      <c r="J402" t="s">
        <v>19</v>
      </c>
      <c r="K402" t="s">
        <v>20</v>
      </c>
      <c r="L402" t="s">
        <v>49</v>
      </c>
      <c r="M402" t="s">
        <v>22</v>
      </c>
      <c r="N402" s="5">
        <f>Table4[[#This Row],[BudgetAmount]]/Table4[[#This Row],[Variance]]</f>
        <v>-3.96631356653837</v>
      </c>
      <c r="O402" s="5" t="str">
        <f>TEXT(Table4[[#This Row],[Date]],"mmm")</f>
        <v>Aug</v>
      </c>
      <c r="P402" s="5">
        <f>ABS(Table4[[#This Row],[Variance]])</f>
        <v>58718</v>
      </c>
      <c r="Q402" s="5" t="str">
        <f>IF(Table4[[#This Row],[AB Variances ]]&gt;$P$2,"Anomaly","Normal")</f>
        <v>Anomaly</v>
      </c>
      <c r="R402" s="5">
        <f>SUMIFS(Table4[BudgetAmount],Table4[ActualExpense],"pending")</f>
        <v>0</v>
      </c>
    </row>
    <row r="403" spans="1:18">
      <c r="A403" t="s">
        <v>777</v>
      </c>
      <c r="B403" t="s">
        <v>778</v>
      </c>
      <c r="C403" t="s">
        <v>15</v>
      </c>
      <c r="D403" t="s">
        <v>40</v>
      </c>
      <c r="E403" t="s">
        <v>35</v>
      </c>
      <c r="F403" t="s">
        <v>36</v>
      </c>
      <c r="G403" s="2">
        <v>56379</v>
      </c>
      <c r="H403" s="1">
        <v>71355</v>
      </c>
      <c r="I403">
        <v>14976</v>
      </c>
      <c r="J403" t="s">
        <v>37</v>
      </c>
      <c r="K403" t="s">
        <v>48</v>
      </c>
      <c r="L403" t="s">
        <v>30</v>
      </c>
      <c r="M403" t="s">
        <v>22</v>
      </c>
      <c r="N403" s="5">
        <f>Table4[[#This Row],[BudgetAmount]]/Table4[[#This Row],[Variance]]</f>
        <v>3.7646233974358974</v>
      </c>
      <c r="O403" s="5" t="str">
        <f>TEXT(Table4[[#This Row],[Date]],"mmm")</f>
        <v>Jan</v>
      </c>
      <c r="P403" s="5">
        <f>ABS(Table4[[#This Row],[Variance]])</f>
        <v>14976</v>
      </c>
      <c r="Q403" s="5" t="str">
        <f>IF(Table4[[#This Row],[AB Variances ]]&gt;$P$2,"Anomaly","Normal")</f>
        <v>Normal</v>
      </c>
      <c r="R403" s="5">
        <f>SUMIFS(Table4[BudgetAmount],Table4[ActualExpense],"pending")</f>
        <v>0</v>
      </c>
    </row>
    <row r="404" spans="1:18">
      <c r="A404" t="s">
        <v>779</v>
      </c>
      <c r="B404" t="s">
        <v>780</v>
      </c>
      <c r="C404" t="s">
        <v>64</v>
      </c>
      <c r="D404" t="s">
        <v>40</v>
      </c>
      <c r="E404" t="s">
        <v>71</v>
      </c>
      <c r="F404" t="s">
        <v>72</v>
      </c>
      <c r="G404" s="2">
        <v>378397</v>
      </c>
      <c r="H404" s="1">
        <v>415655</v>
      </c>
      <c r="I404">
        <v>37258</v>
      </c>
      <c r="J404" t="s">
        <v>54</v>
      </c>
      <c r="K404" t="s">
        <v>20</v>
      </c>
      <c r="L404" t="s">
        <v>49</v>
      </c>
      <c r="M404" t="s">
        <v>22</v>
      </c>
      <c r="N404" s="5">
        <f>Table4[[#This Row],[BudgetAmount]]/Table4[[#This Row],[Variance]]</f>
        <v>10.156127543077996</v>
      </c>
      <c r="O404" s="5" t="str">
        <f>TEXT(Table4[[#This Row],[Date]],"mmm")</f>
        <v>May</v>
      </c>
      <c r="P404" s="5">
        <f>ABS(Table4[[#This Row],[Variance]])</f>
        <v>37258</v>
      </c>
      <c r="Q404" s="5" t="str">
        <f>IF(Table4[[#This Row],[AB Variances ]]&gt;$P$2,"Anomaly","Normal")</f>
        <v>Anomaly</v>
      </c>
      <c r="R404" s="5">
        <f>SUMIFS(Table4[BudgetAmount],Table4[ActualExpense],"pending")</f>
        <v>0</v>
      </c>
    </row>
    <row r="405" spans="1:18">
      <c r="A405" t="s">
        <v>781</v>
      </c>
      <c r="B405" t="s">
        <v>782</v>
      </c>
      <c r="C405" t="s">
        <v>35</v>
      </c>
      <c r="D405" t="s">
        <v>40</v>
      </c>
      <c r="E405" t="s">
        <v>35</v>
      </c>
      <c r="F405" t="s">
        <v>36</v>
      </c>
      <c r="G405" s="2">
        <v>283062</v>
      </c>
      <c r="H405" s="1">
        <v>381788</v>
      </c>
      <c r="I405">
        <v>98726</v>
      </c>
      <c r="J405" t="s">
        <v>37</v>
      </c>
      <c r="K405" t="s">
        <v>29</v>
      </c>
      <c r="L405" t="s">
        <v>68</v>
      </c>
      <c r="M405" t="s">
        <v>22</v>
      </c>
      <c r="N405" s="5">
        <f>Table4[[#This Row],[BudgetAmount]]/Table4[[#This Row],[Variance]]</f>
        <v>2.8671474586228554</v>
      </c>
      <c r="O405" s="5" t="str">
        <f>TEXT(Table4[[#This Row],[Date]],"mmm")</f>
        <v>Jan</v>
      </c>
      <c r="P405" s="5">
        <f>ABS(Table4[[#This Row],[Variance]])</f>
        <v>98726</v>
      </c>
      <c r="Q405" s="5" t="str">
        <f>IF(Table4[[#This Row],[AB Variances ]]&gt;$P$2,"Anomaly","Normal")</f>
        <v>Anomaly</v>
      </c>
      <c r="R405" s="5">
        <f>SUMIFS(Table4[BudgetAmount],Table4[ActualExpense],"pending")</f>
        <v>0</v>
      </c>
    </row>
    <row r="406" spans="1:18">
      <c r="A406" t="s">
        <v>783</v>
      </c>
      <c r="B406" t="s">
        <v>404</v>
      </c>
      <c r="C406" t="s">
        <v>35</v>
      </c>
      <c r="D406" t="s">
        <v>61</v>
      </c>
      <c r="E406" t="s">
        <v>27</v>
      </c>
      <c r="F406" t="s">
        <v>28</v>
      </c>
      <c r="G406" s="2">
        <v>160569</v>
      </c>
      <c r="H406" s="1">
        <v>159923</v>
      </c>
      <c r="I406">
        <v>-646</v>
      </c>
      <c r="J406" t="s">
        <v>37</v>
      </c>
      <c r="K406" t="s">
        <v>29</v>
      </c>
      <c r="L406" t="s">
        <v>30</v>
      </c>
      <c r="M406" t="s">
        <v>42</v>
      </c>
      <c r="N406" s="5">
        <f>Table4[[#This Row],[BudgetAmount]]/Table4[[#This Row],[Variance]]</f>
        <v>-248.55882352941177</v>
      </c>
      <c r="O406" s="5" t="str">
        <f>TEXT(Table4[[#This Row],[Date]],"mmm")</f>
        <v>Feb</v>
      </c>
      <c r="P406" s="5">
        <f>ABS(Table4[[#This Row],[Variance]])</f>
        <v>646</v>
      </c>
      <c r="Q406" s="5" t="str">
        <f>IF(Table4[[#This Row],[AB Variances ]]&gt;$P$2,"Anomaly","Normal")</f>
        <v>Normal</v>
      </c>
      <c r="R406" s="5">
        <f>SUMIFS(Table4[BudgetAmount],Table4[ActualExpense],"pending")</f>
        <v>0</v>
      </c>
    </row>
    <row r="407" spans="1:18">
      <c r="A407" t="s">
        <v>784</v>
      </c>
      <c r="B407" t="s">
        <v>196</v>
      </c>
      <c r="C407" t="s">
        <v>25</v>
      </c>
      <c r="D407" t="s">
        <v>16</v>
      </c>
      <c r="E407" t="s">
        <v>46</v>
      </c>
      <c r="F407" t="s">
        <v>47</v>
      </c>
      <c r="G407" s="2">
        <v>449837</v>
      </c>
      <c r="H407" s="1">
        <v>435313</v>
      </c>
      <c r="I407">
        <v>-14524</v>
      </c>
      <c r="J407" t="s">
        <v>19</v>
      </c>
      <c r="K407" t="s">
        <v>48</v>
      </c>
      <c r="L407" t="s">
        <v>21</v>
      </c>
      <c r="M407" t="s">
        <v>42</v>
      </c>
      <c r="N407" s="5">
        <f>Table4[[#This Row],[BudgetAmount]]/Table4[[#This Row],[Variance]]</f>
        <v>-30.971977416689619</v>
      </c>
      <c r="O407" s="5" t="str">
        <f>TEXT(Table4[[#This Row],[Date]],"mmm")</f>
        <v>Sep</v>
      </c>
      <c r="P407" s="5">
        <f>ABS(Table4[[#This Row],[Variance]])</f>
        <v>14524</v>
      </c>
      <c r="Q407" s="5" t="str">
        <f>IF(Table4[[#This Row],[AB Variances ]]&gt;$P$2,"Anomaly","Normal")</f>
        <v>Normal</v>
      </c>
      <c r="R407" s="5">
        <f>SUMIFS(Table4[BudgetAmount],Table4[ActualExpense],"pending")</f>
        <v>0</v>
      </c>
    </row>
    <row r="408" spans="1:18">
      <c r="A408" t="s">
        <v>785</v>
      </c>
      <c r="B408" t="s">
        <v>786</v>
      </c>
      <c r="C408" t="s">
        <v>64</v>
      </c>
      <c r="D408" t="s">
        <v>34</v>
      </c>
      <c r="E408" t="s">
        <v>35</v>
      </c>
      <c r="F408" t="s">
        <v>36</v>
      </c>
      <c r="G408" s="2">
        <v>178534</v>
      </c>
      <c r="H408" s="1">
        <v>238542</v>
      </c>
      <c r="I408">
        <v>60008</v>
      </c>
      <c r="J408" t="s">
        <v>37</v>
      </c>
      <c r="K408" t="s">
        <v>29</v>
      </c>
      <c r="L408" t="s">
        <v>30</v>
      </c>
      <c r="M408" t="s">
        <v>22</v>
      </c>
      <c r="N408" s="5">
        <f>Table4[[#This Row],[BudgetAmount]]/Table4[[#This Row],[Variance]]</f>
        <v>2.9751699773363551</v>
      </c>
      <c r="O408" s="5" t="str">
        <f>TEXT(Table4[[#This Row],[Date]],"mmm")</f>
        <v>Mar</v>
      </c>
      <c r="P408" s="5">
        <f>ABS(Table4[[#This Row],[Variance]])</f>
        <v>60008</v>
      </c>
      <c r="Q408" s="5" t="str">
        <f>IF(Table4[[#This Row],[AB Variances ]]&gt;$P$2,"Anomaly","Normal")</f>
        <v>Anomaly</v>
      </c>
      <c r="R408" s="5">
        <f>SUMIFS(Table4[BudgetAmount],Table4[ActualExpense],"pending")</f>
        <v>0</v>
      </c>
    </row>
    <row r="409" spans="1:18">
      <c r="A409" t="s">
        <v>787</v>
      </c>
      <c r="B409" t="s">
        <v>506</v>
      </c>
      <c r="C409" t="s">
        <v>64</v>
      </c>
      <c r="D409" t="s">
        <v>61</v>
      </c>
      <c r="E409" t="s">
        <v>71</v>
      </c>
      <c r="F409" t="s">
        <v>72</v>
      </c>
      <c r="G409" s="2">
        <v>412032</v>
      </c>
      <c r="H409" s="1">
        <v>356153</v>
      </c>
      <c r="I409">
        <v>-55879</v>
      </c>
      <c r="J409" t="s">
        <v>19</v>
      </c>
      <c r="K409" t="s">
        <v>29</v>
      </c>
      <c r="L409" t="s">
        <v>21</v>
      </c>
      <c r="M409" t="s">
        <v>42</v>
      </c>
      <c r="N409" s="5">
        <f>Table4[[#This Row],[BudgetAmount]]/Table4[[#This Row],[Variance]]</f>
        <v>-7.3736466293240754</v>
      </c>
      <c r="O409" s="5" t="str">
        <f>TEXT(Table4[[#This Row],[Date]],"mmm")</f>
        <v>Nov</v>
      </c>
      <c r="P409" s="5">
        <f>ABS(Table4[[#This Row],[Variance]])</f>
        <v>55879</v>
      </c>
      <c r="Q409" s="5" t="str">
        <f>IF(Table4[[#This Row],[AB Variances ]]&gt;$P$2,"Anomaly","Normal")</f>
        <v>Anomaly</v>
      </c>
      <c r="R409" s="5">
        <f>SUMIFS(Table4[BudgetAmount],Table4[ActualExpense],"pending")</f>
        <v>0</v>
      </c>
    </row>
    <row r="410" spans="1:18">
      <c r="A410" t="s">
        <v>788</v>
      </c>
      <c r="B410" t="s">
        <v>789</v>
      </c>
      <c r="C410" t="s">
        <v>25</v>
      </c>
      <c r="D410" t="s">
        <v>34</v>
      </c>
      <c r="E410" t="s">
        <v>46</v>
      </c>
      <c r="F410" t="s">
        <v>47</v>
      </c>
      <c r="G410" s="2">
        <v>193101</v>
      </c>
      <c r="H410" s="1">
        <v>152259</v>
      </c>
      <c r="I410">
        <v>-40842</v>
      </c>
      <c r="J410" t="s">
        <v>54</v>
      </c>
      <c r="K410" t="s">
        <v>20</v>
      </c>
      <c r="L410" t="s">
        <v>68</v>
      </c>
      <c r="M410" t="s">
        <v>42</v>
      </c>
      <c r="N410" s="5">
        <f>Table4[[#This Row],[BudgetAmount]]/Table4[[#This Row],[Variance]]</f>
        <v>-4.7280005876303806</v>
      </c>
      <c r="O410" s="5" t="str">
        <f>TEXT(Table4[[#This Row],[Date]],"mmm")</f>
        <v>Oct</v>
      </c>
      <c r="P410" s="5">
        <f>ABS(Table4[[#This Row],[Variance]])</f>
        <v>40842</v>
      </c>
      <c r="Q410" s="5" t="str">
        <f>IF(Table4[[#This Row],[AB Variances ]]&gt;$P$2,"Anomaly","Normal")</f>
        <v>Anomaly</v>
      </c>
      <c r="R410" s="5">
        <f>SUMIFS(Table4[BudgetAmount],Table4[ActualExpense],"pending")</f>
        <v>0</v>
      </c>
    </row>
    <row r="411" spans="1:18">
      <c r="A411" t="s">
        <v>790</v>
      </c>
      <c r="B411" t="s">
        <v>80</v>
      </c>
      <c r="C411" t="s">
        <v>35</v>
      </c>
      <c r="D411" t="s">
        <v>40</v>
      </c>
      <c r="E411" t="s">
        <v>71</v>
      </c>
      <c r="F411" t="s">
        <v>72</v>
      </c>
      <c r="G411" s="2">
        <v>390667</v>
      </c>
      <c r="H411" s="1">
        <v>406816</v>
      </c>
      <c r="I411">
        <v>16149</v>
      </c>
      <c r="J411" t="s">
        <v>19</v>
      </c>
      <c r="K411" t="s">
        <v>29</v>
      </c>
      <c r="L411" t="s">
        <v>68</v>
      </c>
      <c r="M411" t="s">
        <v>42</v>
      </c>
      <c r="N411" s="5">
        <f>Table4[[#This Row],[BudgetAmount]]/Table4[[#This Row],[Variance]]</f>
        <v>24.191405040559786</v>
      </c>
      <c r="O411" s="5" t="str">
        <f>TEXT(Table4[[#This Row],[Date]],"mmm")</f>
        <v>Mar</v>
      </c>
      <c r="P411" s="5">
        <f>ABS(Table4[[#This Row],[Variance]])</f>
        <v>16149</v>
      </c>
      <c r="Q411" s="5" t="str">
        <f>IF(Table4[[#This Row],[AB Variances ]]&gt;$P$2,"Anomaly","Normal")</f>
        <v>Normal</v>
      </c>
      <c r="R411" s="5">
        <f>SUMIFS(Table4[BudgetAmount],Table4[ActualExpense],"pending")</f>
        <v>0</v>
      </c>
    </row>
    <row r="412" spans="1:18">
      <c r="A412" t="s">
        <v>791</v>
      </c>
      <c r="B412" t="s">
        <v>792</v>
      </c>
      <c r="C412" t="s">
        <v>45</v>
      </c>
      <c r="D412" t="s">
        <v>16</v>
      </c>
      <c r="E412" t="s">
        <v>71</v>
      </c>
      <c r="F412" t="s">
        <v>72</v>
      </c>
      <c r="G412" s="2">
        <v>89991</v>
      </c>
      <c r="H412" s="1">
        <v>108930</v>
      </c>
      <c r="I412">
        <v>18939</v>
      </c>
      <c r="J412" t="s">
        <v>54</v>
      </c>
      <c r="K412" t="s">
        <v>41</v>
      </c>
      <c r="L412" t="s">
        <v>21</v>
      </c>
      <c r="M412" t="s">
        <v>22</v>
      </c>
      <c r="N412" s="5">
        <f>Table4[[#This Row],[BudgetAmount]]/Table4[[#This Row],[Variance]]</f>
        <v>4.7516236337715823</v>
      </c>
      <c r="O412" s="5" t="str">
        <f>TEXT(Table4[[#This Row],[Date]],"mmm")</f>
        <v>Jun</v>
      </c>
      <c r="P412" s="5">
        <f>ABS(Table4[[#This Row],[Variance]])</f>
        <v>18939</v>
      </c>
      <c r="Q412" s="5" t="str">
        <f>IF(Table4[[#This Row],[AB Variances ]]&gt;$P$2,"Anomaly","Normal")</f>
        <v>Anomaly</v>
      </c>
      <c r="R412" s="5">
        <f>SUMIFS(Table4[BudgetAmount],Table4[ActualExpense],"pending")</f>
        <v>0</v>
      </c>
    </row>
    <row r="413" spans="1:18">
      <c r="A413" t="s">
        <v>793</v>
      </c>
      <c r="B413" t="s">
        <v>794</v>
      </c>
      <c r="C413" t="s">
        <v>45</v>
      </c>
      <c r="D413" t="s">
        <v>61</v>
      </c>
      <c r="E413" t="s">
        <v>85</v>
      </c>
      <c r="F413" t="s">
        <v>86</v>
      </c>
      <c r="G413" s="2">
        <v>277360</v>
      </c>
      <c r="H413" s="1">
        <v>337548</v>
      </c>
      <c r="I413">
        <v>60188</v>
      </c>
      <c r="J413" t="s">
        <v>37</v>
      </c>
      <c r="K413" t="s">
        <v>48</v>
      </c>
      <c r="L413" t="s">
        <v>21</v>
      </c>
      <c r="M413" t="s">
        <v>42</v>
      </c>
      <c r="N413" s="5">
        <f>Table4[[#This Row],[BudgetAmount]]/Table4[[#This Row],[Variance]]</f>
        <v>4.6082275536651824</v>
      </c>
      <c r="O413" s="5" t="str">
        <f>TEXT(Table4[[#This Row],[Date]],"mmm")</f>
        <v>Apr</v>
      </c>
      <c r="P413" s="5">
        <f>ABS(Table4[[#This Row],[Variance]])</f>
        <v>60188</v>
      </c>
      <c r="Q413" s="5" t="str">
        <f>IF(Table4[[#This Row],[AB Variances ]]&gt;$P$2,"Anomaly","Normal")</f>
        <v>Anomaly</v>
      </c>
      <c r="R413" s="5">
        <f>SUMIFS(Table4[BudgetAmount],Table4[ActualExpense],"pending")</f>
        <v>0</v>
      </c>
    </row>
    <row r="414" spans="1:18">
      <c r="A414" t="s">
        <v>795</v>
      </c>
      <c r="B414" t="s">
        <v>796</v>
      </c>
      <c r="C414" t="s">
        <v>33</v>
      </c>
      <c r="D414" t="s">
        <v>40</v>
      </c>
      <c r="E414" t="s">
        <v>17</v>
      </c>
      <c r="F414" t="s">
        <v>18</v>
      </c>
      <c r="G414" s="2">
        <v>410985</v>
      </c>
      <c r="H414" s="1">
        <v>437868</v>
      </c>
      <c r="I414">
        <v>26883</v>
      </c>
      <c r="J414" t="s">
        <v>54</v>
      </c>
      <c r="K414" t="s">
        <v>20</v>
      </c>
      <c r="L414" t="s">
        <v>68</v>
      </c>
      <c r="M414" t="s">
        <v>42</v>
      </c>
      <c r="N414" s="5">
        <f>Table4[[#This Row],[BudgetAmount]]/Table4[[#This Row],[Variance]]</f>
        <v>15.287914295279545</v>
      </c>
      <c r="O414" s="5" t="str">
        <f>TEXT(Table4[[#This Row],[Date]],"mmm")</f>
        <v>May</v>
      </c>
      <c r="P414" s="5">
        <f>ABS(Table4[[#This Row],[Variance]])</f>
        <v>26883</v>
      </c>
      <c r="Q414" s="5" t="str">
        <f>IF(Table4[[#This Row],[AB Variances ]]&gt;$P$2,"Anomaly","Normal")</f>
        <v>Anomaly</v>
      </c>
      <c r="R414" s="5">
        <f>SUMIFS(Table4[BudgetAmount],Table4[ActualExpense],"pending")</f>
        <v>0</v>
      </c>
    </row>
    <row r="415" spans="1:18">
      <c r="A415" t="s">
        <v>797</v>
      </c>
      <c r="B415" t="s">
        <v>798</v>
      </c>
      <c r="C415" t="s">
        <v>15</v>
      </c>
      <c r="D415" t="s">
        <v>16</v>
      </c>
      <c r="E415" t="s">
        <v>71</v>
      </c>
      <c r="F415" t="s">
        <v>72</v>
      </c>
      <c r="G415" s="2">
        <v>403874</v>
      </c>
      <c r="H415" s="1">
        <v>297783</v>
      </c>
      <c r="I415">
        <v>-106091</v>
      </c>
      <c r="J415" t="s">
        <v>37</v>
      </c>
      <c r="K415" t="s">
        <v>20</v>
      </c>
      <c r="L415" t="s">
        <v>49</v>
      </c>
      <c r="M415" t="s">
        <v>42</v>
      </c>
      <c r="N415" s="5">
        <f>Table4[[#This Row],[BudgetAmount]]/Table4[[#This Row],[Variance]]</f>
        <v>-3.8068639187112949</v>
      </c>
      <c r="O415" s="5" t="str">
        <f>TEXT(Table4[[#This Row],[Date]],"mmm")</f>
        <v>Dec</v>
      </c>
      <c r="P415" s="5">
        <f>ABS(Table4[[#This Row],[Variance]])</f>
        <v>106091</v>
      </c>
      <c r="Q415" s="5" t="str">
        <f>IF(Table4[[#This Row],[AB Variances ]]&gt;$P$2,"Anomaly","Normal")</f>
        <v>Anomaly</v>
      </c>
      <c r="R415" s="5">
        <f>SUMIFS(Table4[BudgetAmount],Table4[ActualExpense],"pending")</f>
        <v>0</v>
      </c>
    </row>
    <row r="416" spans="1:18">
      <c r="A416" t="s">
        <v>799</v>
      </c>
      <c r="B416" t="s">
        <v>800</v>
      </c>
      <c r="C416" t="s">
        <v>15</v>
      </c>
      <c r="D416" t="s">
        <v>16</v>
      </c>
      <c r="E416" t="s">
        <v>17</v>
      </c>
      <c r="F416" t="s">
        <v>18</v>
      </c>
      <c r="G416" s="2">
        <v>215927</v>
      </c>
      <c r="H416" s="1">
        <v>265064</v>
      </c>
      <c r="I416">
        <v>49137</v>
      </c>
      <c r="J416" t="s">
        <v>19</v>
      </c>
      <c r="K416" t="s">
        <v>67</v>
      </c>
      <c r="L416" t="s">
        <v>21</v>
      </c>
      <c r="M416" t="s">
        <v>22</v>
      </c>
      <c r="N416" s="5">
        <f>Table4[[#This Row],[BudgetAmount]]/Table4[[#This Row],[Variance]]</f>
        <v>4.3943871217209027</v>
      </c>
      <c r="O416" s="5" t="str">
        <f>TEXT(Table4[[#This Row],[Date]],"mmm")</f>
        <v>Jun</v>
      </c>
      <c r="P416" s="5">
        <f>ABS(Table4[[#This Row],[Variance]])</f>
        <v>49137</v>
      </c>
      <c r="Q416" s="5" t="str">
        <f>IF(Table4[[#This Row],[AB Variances ]]&gt;$P$2,"Anomaly","Normal")</f>
        <v>Anomaly</v>
      </c>
      <c r="R416" s="5">
        <f>SUMIFS(Table4[BudgetAmount],Table4[ActualExpense],"pending")</f>
        <v>0</v>
      </c>
    </row>
    <row r="417" spans="1:18">
      <c r="A417" t="s">
        <v>801</v>
      </c>
      <c r="B417" t="s">
        <v>300</v>
      </c>
      <c r="C417" t="s">
        <v>33</v>
      </c>
      <c r="D417" t="s">
        <v>61</v>
      </c>
      <c r="E417" t="s">
        <v>71</v>
      </c>
      <c r="F417" t="s">
        <v>72</v>
      </c>
      <c r="G417" s="2">
        <v>102080</v>
      </c>
      <c r="H417" s="1">
        <v>72763</v>
      </c>
      <c r="I417">
        <v>-29317</v>
      </c>
      <c r="J417" t="s">
        <v>19</v>
      </c>
      <c r="K417" t="s">
        <v>20</v>
      </c>
      <c r="L417" t="s">
        <v>68</v>
      </c>
      <c r="M417" t="s">
        <v>22</v>
      </c>
      <c r="N417" s="5">
        <f>Table4[[#This Row],[BudgetAmount]]/Table4[[#This Row],[Variance]]</f>
        <v>-3.4819388068356245</v>
      </c>
      <c r="O417" s="5" t="str">
        <f>TEXT(Table4[[#This Row],[Date]],"mmm")</f>
        <v>Feb</v>
      </c>
      <c r="P417" s="5">
        <f>ABS(Table4[[#This Row],[Variance]])</f>
        <v>29317</v>
      </c>
      <c r="Q417" s="5" t="str">
        <f>IF(Table4[[#This Row],[AB Variances ]]&gt;$P$2,"Anomaly","Normal")</f>
        <v>Anomaly</v>
      </c>
      <c r="R417" s="5">
        <f>SUMIFS(Table4[BudgetAmount],Table4[ActualExpense],"pending")</f>
        <v>0</v>
      </c>
    </row>
    <row r="418" spans="1:18">
      <c r="A418" t="s">
        <v>802</v>
      </c>
      <c r="B418" t="s">
        <v>803</v>
      </c>
      <c r="C418" t="s">
        <v>35</v>
      </c>
      <c r="D418" t="s">
        <v>16</v>
      </c>
      <c r="E418" t="s">
        <v>85</v>
      </c>
      <c r="F418" t="s">
        <v>86</v>
      </c>
      <c r="G418" s="2">
        <v>404556</v>
      </c>
      <c r="H418" s="1">
        <v>351092</v>
      </c>
      <c r="I418">
        <v>-53464</v>
      </c>
      <c r="J418" t="s">
        <v>19</v>
      </c>
      <c r="K418" t="s">
        <v>20</v>
      </c>
      <c r="L418" t="s">
        <v>21</v>
      </c>
      <c r="M418" t="s">
        <v>22</v>
      </c>
      <c r="N418" s="5">
        <f>Table4[[#This Row],[BudgetAmount]]/Table4[[#This Row],[Variance]]</f>
        <v>-7.566886128983989</v>
      </c>
      <c r="O418" s="5" t="str">
        <f>TEXT(Table4[[#This Row],[Date]],"mmm")</f>
        <v>Jan</v>
      </c>
      <c r="P418" s="5">
        <f>ABS(Table4[[#This Row],[Variance]])</f>
        <v>53464</v>
      </c>
      <c r="Q418" s="5" t="str">
        <f>IF(Table4[[#This Row],[AB Variances ]]&gt;$P$2,"Anomaly","Normal")</f>
        <v>Anomaly</v>
      </c>
      <c r="R418" s="5">
        <f>SUMIFS(Table4[BudgetAmount],Table4[ActualExpense],"pending")</f>
        <v>0</v>
      </c>
    </row>
    <row r="419" spans="1:18">
      <c r="A419" t="s">
        <v>804</v>
      </c>
      <c r="B419" t="s">
        <v>672</v>
      </c>
      <c r="C419" t="s">
        <v>33</v>
      </c>
      <c r="D419" t="s">
        <v>61</v>
      </c>
      <c r="E419" t="s">
        <v>71</v>
      </c>
      <c r="F419" t="s">
        <v>72</v>
      </c>
      <c r="G419" s="2">
        <v>351231</v>
      </c>
      <c r="H419" s="1">
        <v>312472</v>
      </c>
      <c r="I419">
        <v>-38759</v>
      </c>
      <c r="J419" t="s">
        <v>37</v>
      </c>
      <c r="K419" t="s">
        <v>67</v>
      </c>
      <c r="L419" t="s">
        <v>49</v>
      </c>
      <c r="M419" t="s">
        <v>22</v>
      </c>
      <c r="N419" s="5">
        <f>Table4[[#This Row],[BudgetAmount]]/Table4[[#This Row],[Variance]]</f>
        <v>-9.061921102195619</v>
      </c>
      <c r="O419" s="5" t="str">
        <f>TEXT(Table4[[#This Row],[Date]],"mmm")</f>
        <v>Dec</v>
      </c>
      <c r="P419" s="5">
        <f>ABS(Table4[[#This Row],[Variance]])</f>
        <v>38759</v>
      </c>
      <c r="Q419" s="5" t="str">
        <f>IF(Table4[[#This Row],[AB Variances ]]&gt;$P$2,"Anomaly","Normal")</f>
        <v>Anomaly</v>
      </c>
      <c r="R419" s="5">
        <f>SUMIFS(Table4[BudgetAmount],Table4[ActualExpense],"pending")</f>
        <v>0</v>
      </c>
    </row>
    <row r="420" spans="1:18">
      <c r="A420" t="s">
        <v>805</v>
      </c>
      <c r="B420" t="s">
        <v>806</v>
      </c>
      <c r="C420" t="s">
        <v>35</v>
      </c>
      <c r="D420" t="s">
        <v>40</v>
      </c>
      <c r="E420" t="s">
        <v>17</v>
      </c>
      <c r="F420" t="s">
        <v>18</v>
      </c>
      <c r="G420" s="2">
        <v>169095</v>
      </c>
      <c r="H420" s="1">
        <v>175480</v>
      </c>
      <c r="I420">
        <v>6385</v>
      </c>
      <c r="J420" t="s">
        <v>54</v>
      </c>
      <c r="K420" t="s">
        <v>29</v>
      </c>
      <c r="L420" t="s">
        <v>30</v>
      </c>
      <c r="M420" t="s">
        <v>42</v>
      </c>
      <c r="N420" s="5">
        <f>Table4[[#This Row],[BudgetAmount]]/Table4[[#This Row],[Variance]]</f>
        <v>26.483163664839466</v>
      </c>
      <c r="O420" s="5" t="str">
        <f>TEXT(Table4[[#This Row],[Date]],"mmm")</f>
        <v>Aug</v>
      </c>
      <c r="P420" s="5">
        <f>ABS(Table4[[#This Row],[Variance]])</f>
        <v>6385</v>
      </c>
      <c r="Q420" s="5" t="str">
        <f>IF(Table4[[#This Row],[AB Variances ]]&gt;$P$2,"Anomaly","Normal")</f>
        <v>Normal</v>
      </c>
      <c r="R420" s="5">
        <f>SUMIFS(Table4[BudgetAmount],Table4[ActualExpense],"pending")</f>
        <v>0</v>
      </c>
    </row>
    <row r="421" spans="1:18">
      <c r="A421" t="s">
        <v>807</v>
      </c>
      <c r="B421" t="s">
        <v>808</v>
      </c>
      <c r="C421" t="s">
        <v>35</v>
      </c>
      <c r="D421" t="s">
        <v>16</v>
      </c>
      <c r="E421" t="s">
        <v>85</v>
      </c>
      <c r="F421" t="s">
        <v>86</v>
      </c>
      <c r="G421" s="2">
        <v>117531</v>
      </c>
      <c r="H421" s="1">
        <v>98632</v>
      </c>
      <c r="I421">
        <v>-18899</v>
      </c>
      <c r="J421" t="s">
        <v>54</v>
      </c>
      <c r="K421" t="s">
        <v>20</v>
      </c>
      <c r="L421" t="s">
        <v>68</v>
      </c>
      <c r="M421" t="s">
        <v>42</v>
      </c>
      <c r="N421" s="5">
        <f>Table4[[#This Row],[BudgetAmount]]/Table4[[#This Row],[Variance]]</f>
        <v>-6.2189004709243871</v>
      </c>
      <c r="O421" s="5" t="str">
        <f>TEXT(Table4[[#This Row],[Date]],"mmm")</f>
        <v>Jan</v>
      </c>
      <c r="P421" s="5">
        <f>ABS(Table4[[#This Row],[Variance]])</f>
        <v>18899</v>
      </c>
      <c r="Q421" s="5" t="str">
        <f>IF(Table4[[#This Row],[AB Variances ]]&gt;$P$2,"Anomaly","Normal")</f>
        <v>Anomaly</v>
      </c>
      <c r="R421" s="5">
        <f>SUMIFS(Table4[BudgetAmount],Table4[ActualExpense],"pending")</f>
        <v>0</v>
      </c>
    </row>
    <row r="422" spans="1:18">
      <c r="A422" t="s">
        <v>809</v>
      </c>
      <c r="B422" t="s">
        <v>810</v>
      </c>
      <c r="C422" t="s">
        <v>15</v>
      </c>
      <c r="D422" t="s">
        <v>40</v>
      </c>
      <c r="E422" t="s">
        <v>17</v>
      </c>
      <c r="F422" t="s">
        <v>18</v>
      </c>
      <c r="G422" s="2">
        <v>342149</v>
      </c>
      <c r="H422" s="1">
        <v>330630</v>
      </c>
      <c r="I422">
        <v>-11519</v>
      </c>
      <c r="J422" t="s">
        <v>54</v>
      </c>
      <c r="K422" t="s">
        <v>29</v>
      </c>
      <c r="L422" t="s">
        <v>68</v>
      </c>
      <c r="M422" t="s">
        <v>42</v>
      </c>
      <c r="N422" s="5">
        <f>Table4[[#This Row],[BudgetAmount]]/Table4[[#This Row],[Variance]]</f>
        <v>-29.703012414272074</v>
      </c>
      <c r="O422" s="5" t="str">
        <f>TEXT(Table4[[#This Row],[Date]],"mmm")</f>
        <v>Oct</v>
      </c>
      <c r="P422" s="5">
        <f>ABS(Table4[[#This Row],[Variance]])</f>
        <v>11519</v>
      </c>
      <c r="Q422" s="5" t="str">
        <f>IF(Table4[[#This Row],[AB Variances ]]&gt;$P$2,"Anomaly","Normal")</f>
        <v>Normal</v>
      </c>
      <c r="R422" s="5">
        <f>SUMIFS(Table4[BudgetAmount],Table4[ActualExpense],"pending")</f>
        <v>0</v>
      </c>
    </row>
    <row r="423" spans="1:18">
      <c r="A423" t="s">
        <v>811</v>
      </c>
      <c r="B423" t="s">
        <v>812</v>
      </c>
      <c r="C423" t="s">
        <v>33</v>
      </c>
      <c r="D423" t="s">
        <v>61</v>
      </c>
      <c r="E423" t="s">
        <v>85</v>
      </c>
      <c r="F423" t="s">
        <v>86</v>
      </c>
      <c r="G423" s="2">
        <v>384914</v>
      </c>
      <c r="H423" s="1">
        <v>416858</v>
      </c>
      <c r="I423">
        <v>31944</v>
      </c>
      <c r="J423" t="s">
        <v>54</v>
      </c>
      <c r="K423" t="s">
        <v>20</v>
      </c>
      <c r="L423" t="s">
        <v>49</v>
      </c>
      <c r="M423" t="s">
        <v>22</v>
      </c>
      <c r="N423" s="5">
        <f>Table4[[#This Row],[BudgetAmount]]/Table4[[#This Row],[Variance]]</f>
        <v>12.049649386426246</v>
      </c>
      <c r="O423" s="5" t="str">
        <f>TEXT(Table4[[#This Row],[Date]],"mmm")</f>
        <v>Jul</v>
      </c>
      <c r="P423" s="5">
        <f>ABS(Table4[[#This Row],[Variance]])</f>
        <v>31944</v>
      </c>
      <c r="Q423" s="5" t="str">
        <f>IF(Table4[[#This Row],[AB Variances ]]&gt;$P$2,"Anomaly","Normal")</f>
        <v>Anomaly</v>
      </c>
      <c r="R423" s="5">
        <f>SUMIFS(Table4[BudgetAmount],Table4[ActualExpense],"pending")</f>
        <v>0</v>
      </c>
    </row>
    <row r="424" spans="1:18">
      <c r="A424" t="s">
        <v>813</v>
      </c>
      <c r="B424" t="s">
        <v>814</v>
      </c>
      <c r="C424" t="s">
        <v>15</v>
      </c>
      <c r="D424" t="s">
        <v>61</v>
      </c>
      <c r="E424" t="s">
        <v>27</v>
      </c>
      <c r="F424" t="s">
        <v>28</v>
      </c>
      <c r="G424" s="2">
        <v>418077</v>
      </c>
      <c r="H424" s="1">
        <v>329084</v>
      </c>
      <c r="I424">
        <v>-88993</v>
      </c>
      <c r="J424" t="s">
        <v>37</v>
      </c>
      <c r="K424" t="s">
        <v>48</v>
      </c>
      <c r="L424" t="s">
        <v>21</v>
      </c>
      <c r="M424" t="s">
        <v>22</v>
      </c>
      <c r="N424" s="5">
        <f>Table4[[#This Row],[BudgetAmount]]/Table4[[#This Row],[Variance]]</f>
        <v>-4.6978638769341412</v>
      </c>
      <c r="O424" s="5" t="str">
        <f>TEXT(Table4[[#This Row],[Date]],"mmm")</f>
        <v>Mar</v>
      </c>
      <c r="P424" s="5">
        <f>ABS(Table4[[#This Row],[Variance]])</f>
        <v>88993</v>
      </c>
      <c r="Q424" s="5" t="str">
        <f>IF(Table4[[#This Row],[AB Variances ]]&gt;$P$2,"Anomaly","Normal")</f>
        <v>Anomaly</v>
      </c>
      <c r="R424" s="5">
        <f>SUMIFS(Table4[BudgetAmount],Table4[ActualExpense],"pending")</f>
        <v>0</v>
      </c>
    </row>
    <row r="425" spans="1:18">
      <c r="A425" t="s">
        <v>815</v>
      </c>
      <c r="B425" t="s">
        <v>134</v>
      </c>
      <c r="C425" t="s">
        <v>64</v>
      </c>
      <c r="D425" t="s">
        <v>61</v>
      </c>
      <c r="E425" t="s">
        <v>46</v>
      </c>
      <c r="F425" t="s">
        <v>47</v>
      </c>
      <c r="G425" s="2">
        <v>355553</v>
      </c>
      <c r="H425" s="1">
        <v>464047</v>
      </c>
      <c r="I425">
        <v>108494</v>
      </c>
      <c r="J425" t="s">
        <v>19</v>
      </c>
      <c r="K425" t="s">
        <v>20</v>
      </c>
      <c r="L425" t="s">
        <v>21</v>
      </c>
      <c r="M425" t="s">
        <v>22</v>
      </c>
      <c r="N425" s="5">
        <f>Table4[[#This Row],[BudgetAmount]]/Table4[[#This Row],[Variance]]</f>
        <v>3.2771674009622651</v>
      </c>
      <c r="O425" s="5" t="str">
        <f>TEXT(Table4[[#This Row],[Date]],"mmm")</f>
        <v>Jan</v>
      </c>
      <c r="P425" s="5">
        <f>ABS(Table4[[#This Row],[Variance]])</f>
        <v>108494</v>
      </c>
      <c r="Q425" s="5" t="str">
        <f>IF(Table4[[#This Row],[AB Variances ]]&gt;$P$2,"Anomaly","Normal")</f>
        <v>Anomaly</v>
      </c>
      <c r="R425" s="5">
        <f>SUMIFS(Table4[BudgetAmount],Table4[ActualExpense],"pending")</f>
        <v>0</v>
      </c>
    </row>
    <row r="426" spans="1:18">
      <c r="A426" t="s">
        <v>816</v>
      </c>
      <c r="B426" t="s">
        <v>817</v>
      </c>
      <c r="C426" t="s">
        <v>64</v>
      </c>
      <c r="D426" t="s">
        <v>34</v>
      </c>
      <c r="E426" t="s">
        <v>27</v>
      </c>
      <c r="F426" t="s">
        <v>28</v>
      </c>
      <c r="G426" s="2">
        <v>427711</v>
      </c>
      <c r="H426" s="1">
        <v>527866</v>
      </c>
      <c r="I426">
        <v>100155</v>
      </c>
      <c r="J426" t="s">
        <v>19</v>
      </c>
      <c r="K426" t="s">
        <v>67</v>
      </c>
      <c r="L426" t="s">
        <v>21</v>
      </c>
      <c r="M426" t="s">
        <v>42</v>
      </c>
      <c r="N426" s="5">
        <f>Table4[[#This Row],[BudgetAmount]]/Table4[[#This Row],[Variance]]</f>
        <v>4.2704907393540017</v>
      </c>
      <c r="O426" s="5" t="str">
        <f>TEXT(Table4[[#This Row],[Date]],"mmm")</f>
        <v>Mar</v>
      </c>
      <c r="P426" s="5">
        <f>ABS(Table4[[#This Row],[Variance]])</f>
        <v>100155</v>
      </c>
      <c r="Q426" s="5" t="str">
        <f>IF(Table4[[#This Row],[AB Variances ]]&gt;$P$2,"Anomaly","Normal")</f>
        <v>Anomaly</v>
      </c>
      <c r="R426" s="5">
        <f>SUMIFS(Table4[BudgetAmount],Table4[ActualExpense],"pending")</f>
        <v>0</v>
      </c>
    </row>
    <row r="427" spans="1:18">
      <c r="A427" t="s">
        <v>818</v>
      </c>
      <c r="B427" t="s">
        <v>462</v>
      </c>
      <c r="C427" t="s">
        <v>45</v>
      </c>
      <c r="D427" t="s">
        <v>34</v>
      </c>
      <c r="E427" t="s">
        <v>85</v>
      </c>
      <c r="F427" t="s">
        <v>86</v>
      </c>
      <c r="G427" s="2">
        <v>150738</v>
      </c>
      <c r="H427" s="1">
        <v>199385</v>
      </c>
      <c r="I427">
        <v>48647</v>
      </c>
      <c r="J427" t="s">
        <v>54</v>
      </c>
      <c r="K427" t="s">
        <v>67</v>
      </c>
      <c r="L427" t="s">
        <v>68</v>
      </c>
      <c r="M427" t="s">
        <v>42</v>
      </c>
      <c r="N427" s="5">
        <f>Table4[[#This Row],[BudgetAmount]]/Table4[[#This Row],[Variance]]</f>
        <v>3.0986083417271364</v>
      </c>
      <c r="O427" s="5" t="str">
        <f>TEXT(Table4[[#This Row],[Date]],"mmm")</f>
        <v>Feb</v>
      </c>
      <c r="P427" s="5">
        <f>ABS(Table4[[#This Row],[Variance]])</f>
        <v>48647</v>
      </c>
      <c r="Q427" s="5" t="str">
        <f>IF(Table4[[#This Row],[AB Variances ]]&gt;$P$2,"Anomaly","Normal")</f>
        <v>Anomaly</v>
      </c>
      <c r="R427" s="5">
        <f>SUMIFS(Table4[BudgetAmount],Table4[ActualExpense],"pending")</f>
        <v>0</v>
      </c>
    </row>
    <row r="428" spans="1:18">
      <c r="A428" t="s">
        <v>819</v>
      </c>
      <c r="B428" t="s">
        <v>820</v>
      </c>
      <c r="C428" t="s">
        <v>35</v>
      </c>
      <c r="D428" t="s">
        <v>34</v>
      </c>
      <c r="E428" t="s">
        <v>85</v>
      </c>
      <c r="F428" t="s">
        <v>86</v>
      </c>
      <c r="G428" s="2">
        <v>203606</v>
      </c>
      <c r="H428" s="1">
        <v>150966</v>
      </c>
      <c r="I428">
        <v>-52640</v>
      </c>
      <c r="J428" t="s">
        <v>54</v>
      </c>
      <c r="K428" t="s">
        <v>41</v>
      </c>
      <c r="L428" t="s">
        <v>30</v>
      </c>
      <c r="M428" t="s">
        <v>22</v>
      </c>
      <c r="N428" s="5">
        <f>Table4[[#This Row],[BudgetAmount]]/Table4[[#This Row],[Variance]]</f>
        <v>-3.8678951367781154</v>
      </c>
      <c r="O428" s="5" t="str">
        <f>TEXT(Table4[[#This Row],[Date]],"mmm")</f>
        <v>Apr</v>
      </c>
      <c r="P428" s="5">
        <f>ABS(Table4[[#This Row],[Variance]])</f>
        <v>52640</v>
      </c>
      <c r="Q428" s="5" t="str">
        <f>IF(Table4[[#This Row],[AB Variances ]]&gt;$P$2,"Anomaly","Normal")</f>
        <v>Anomaly</v>
      </c>
      <c r="R428" s="5">
        <f>SUMIFS(Table4[BudgetAmount],Table4[ActualExpense],"pending")</f>
        <v>0</v>
      </c>
    </row>
    <row r="429" spans="1:18">
      <c r="A429" t="s">
        <v>821</v>
      </c>
      <c r="B429" t="s">
        <v>578</v>
      </c>
      <c r="C429" t="s">
        <v>15</v>
      </c>
      <c r="D429" t="s">
        <v>26</v>
      </c>
      <c r="E429" t="s">
        <v>46</v>
      </c>
      <c r="F429" t="s">
        <v>47</v>
      </c>
      <c r="G429" s="2">
        <v>490489</v>
      </c>
      <c r="H429" s="1">
        <v>492711</v>
      </c>
      <c r="I429">
        <v>2222</v>
      </c>
      <c r="J429" t="s">
        <v>37</v>
      </c>
      <c r="K429" t="s">
        <v>20</v>
      </c>
      <c r="L429" t="s">
        <v>68</v>
      </c>
      <c r="M429" t="s">
        <v>42</v>
      </c>
      <c r="N429" s="5">
        <f>Table4[[#This Row],[BudgetAmount]]/Table4[[#This Row],[Variance]]</f>
        <v>220.74212421242123</v>
      </c>
      <c r="O429" s="5" t="str">
        <f>TEXT(Table4[[#This Row],[Date]],"mmm")</f>
        <v>Jun</v>
      </c>
      <c r="P429" s="5">
        <f>ABS(Table4[[#This Row],[Variance]])</f>
        <v>2222</v>
      </c>
      <c r="Q429" s="5" t="str">
        <f>IF(Table4[[#This Row],[AB Variances ]]&gt;$P$2,"Anomaly","Normal")</f>
        <v>Normal</v>
      </c>
      <c r="R429" s="5">
        <f>SUMIFS(Table4[BudgetAmount],Table4[ActualExpense],"pending")</f>
        <v>0</v>
      </c>
    </row>
    <row r="430" spans="1:18">
      <c r="A430" t="s">
        <v>822</v>
      </c>
      <c r="B430" t="s">
        <v>823</v>
      </c>
      <c r="C430" t="s">
        <v>45</v>
      </c>
      <c r="D430" t="s">
        <v>34</v>
      </c>
      <c r="E430" t="s">
        <v>27</v>
      </c>
      <c r="F430" t="s">
        <v>28</v>
      </c>
      <c r="G430" s="2">
        <v>270730</v>
      </c>
      <c r="H430" s="1">
        <v>289419</v>
      </c>
      <c r="I430">
        <v>18689</v>
      </c>
      <c r="J430" t="s">
        <v>19</v>
      </c>
      <c r="K430" t="s">
        <v>20</v>
      </c>
      <c r="L430" t="s">
        <v>49</v>
      </c>
      <c r="M430" t="s">
        <v>42</v>
      </c>
      <c r="N430" s="5">
        <f>Table4[[#This Row],[BudgetAmount]]/Table4[[#This Row],[Variance]]</f>
        <v>14.48606131949275</v>
      </c>
      <c r="O430" s="5" t="str">
        <f>TEXT(Table4[[#This Row],[Date]],"mmm")</f>
        <v>May</v>
      </c>
      <c r="P430" s="5">
        <f>ABS(Table4[[#This Row],[Variance]])</f>
        <v>18689</v>
      </c>
      <c r="Q430" s="5" t="str">
        <f>IF(Table4[[#This Row],[AB Variances ]]&gt;$P$2,"Anomaly","Normal")</f>
        <v>Anomaly</v>
      </c>
      <c r="R430" s="5">
        <f>SUMIFS(Table4[BudgetAmount],Table4[ActualExpense],"pending")</f>
        <v>0</v>
      </c>
    </row>
    <row r="431" spans="1:18">
      <c r="A431" t="s">
        <v>824</v>
      </c>
      <c r="B431" t="s">
        <v>582</v>
      </c>
      <c r="C431" t="s">
        <v>25</v>
      </c>
      <c r="D431" t="s">
        <v>16</v>
      </c>
      <c r="E431" t="s">
        <v>46</v>
      </c>
      <c r="F431" t="s">
        <v>47</v>
      </c>
      <c r="G431" s="2">
        <v>314309</v>
      </c>
      <c r="H431" s="1">
        <v>222525</v>
      </c>
      <c r="I431">
        <v>-91784</v>
      </c>
      <c r="J431" t="s">
        <v>54</v>
      </c>
      <c r="K431" t="s">
        <v>20</v>
      </c>
      <c r="L431" t="s">
        <v>68</v>
      </c>
      <c r="M431" t="s">
        <v>22</v>
      </c>
      <c r="N431" s="5">
        <f>Table4[[#This Row],[BudgetAmount]]/Table4[[#This Row],[Variance]]</f>
        <v>-3.4244421685696853</v>
      </c>
      <c r="O431" s="5" t="str">
        <f>TEXT(Table4[[#This Row],[Date]],"mmm")</f>
        <v>Nov</v>
      </c>
      <c r="P431" s="5">
        <f>ABS(Table4[[#This Row],[Variance]])</f>
        <v>91784</v>
      </c>
      <c r="Q431" s="5" t="str">
        <f>IF(Table4[[#This Row],[AB Variances ]]&gt;$P$2,"Anomaly","Normal")</f>
        <v>Anomaly</v>
      </c>
      <c r="R431" s="5">
        <f>SUMIFS(Table4[BudgetAmount],Table4[ActualExpense],"pending")</f>
        <v>0</v>
      </c>
    </row>
    <row r="432" spans="1:18">
      <c r="A432" t="s">
        <v>825</v>
      </c>
      <c r="B432" t="s">
        <v>826</v>
      </c>
      <c r="C432" t="s">
        <v>25</v>
      </c>
      <c r="D432" t="s">
        <v>61</v>
      </c>
      <c r="E432" t="s">
        <v>85</v>
      </c>
      <c r="F432" t="s">
        <v>86</v>
      </c>
      <c r="G432" s="2">
        <v>189541</v>
      </c>
      <c r="H432" s="1">
        <v>220906</v>
      </c>
      <c r="I432">
        <v>31365</v>
      </c>
      <c r="J432" t="s">
        <v>54</v>
      </c>
      <c r="K432" t="s">
        <v>20</v>
      </c>
      <c r="L432" t="s">
        <v>30</v>
      </c>
      <c r="M432" t="s">
        <v>42</v>
      </c>
      <c r="N432" s="5">
        <f>Table4[[#This Row],[BudgetAmount]]/Table4[[#This Row],[Variance]]</f>
        <v>6.0430734895584246</v>
      </c>
      <c r="O432" s="5" t="str">
        <f>TEXT(Table4[[#This Row],[Date]],"mmm")</f>
        <v>Oct</v>
      </c>
      <c r="P432" s="5">
        <f>ABS(Table4[[#This Row],[Variance]])</f>
        <v>31365</v>
      </c>
      <c r="Q432" s="5" t="str">
        <f>IF(Table4[[#This Row],[AB Variances ]]&gt;$P$2,"Anomaly","Normal")</f>
        <v>Anomaly</v>
      </c>
      <c r="R432" s="5">
        <f>SUMIFS(Table4[BudgetAmount],Table4[ActualExpense],"pending")</f>
        <v>0</v>
      </c>
    </row>
    <row r="433" spans="1:18">
      <c r="A433" t="s">
        <v>827</v>
      </c>
      <c r="B433" t="s">
        <v>493</v>
      </c>
      <c r="C433" t="s">
        <v>45</v>
      </c>
      <c r="D433" t="s">
        <v>34</v>
      </c>
      <c r="E433" t="s">
        <v>46</v>
      </c>
      <c r="F433" t="s">
        <v>47</v>
      </c>
      <c r="G433" s="2">
        <v>233919</v>
      </c>
      <c r="H433" s="1">
        <v>315548</v>
      </c>
      <c r="I433">
        <v>81629</v>
      </c>
      <c r="J433" t="s">
        <v>54</v>
      </c>
      <c r="K433" t="s">
        <v>48</v>
      </c>
      <c r="L433" t="s">
        <v>21</v>
      </c>
      <c r="M433" t="s">
        <v>42</v>
      </c>
      <c r="N433" s="5">
        <f>Table4[[#This Row],[BudgetAmount]]/Table4[[#This Row],[Variance]]</f>
        <v>2.8656359872104278</v>
      </c>
      <c r="O433" s="5" t="str">
        <f>TEXT(Table4[[#This Row],[Date]],"mmm")</f>
        <v>Dec</v>
      </c>
      <c r="P433" s="5">
        <f>ABS(Table4[[#This Row],[Variance]])</f>
        <v>81629</v>
      </c>
      <c r="Q433" s="5" t="str">
        <f>IF(Table4[[#This Row],[AB Variances ]]&gt;$P$2,"Anomaly","Normal")</f>
        <v>Anomaly</v>
      </c>
      <c r="R433" s="5">
        <f>SUMIFS(Table4[BudgetAmount],Table4[ActualExpense],"pending")</f>
        <v>0</v>
      </c>
    </row>
    <row r="434" spans="1:18">
      <c r="A434" t="s">
        <v>828</v>
      </c>
      <c r="B434" t="s">
        <v>829</v>
      </c>
      <c r="C434" t="s">
        <v>45</v>
      </c>
      <c r="D434" t="s">
        <v>26</v>
      </c>
      <c r="E434" t="s">
        <v>35</v>
      </c>
      <c r="F434" t="s">
        <v>36</v>
      </c>
      <c r="G434" s="2">
        <v>125267</v>
      </c>
      <c r="H434" s="1">
        <v>109110</v>
      </c>
      <c r="I434">
        <v>-16157</v>
      </c>
      <c r="J434" t="s">
        <v>54</v>
      </c>
      <c r="K434" t="s">
        <v>67</v>
      </c>
      <c r="L434" t="s">
        <v>49</v>
      </c>
      <c r="M434" t="s">
        <v>22</v>
      </c>
      <c r="N434" s="5">
        <f>Table4[[#This Row],[BudgetAmount]]/Table4[[#This Row],[Variance]]</f>
        <v>-7.7531101070743329</v>
      </c>
      <c r="O434" s="5" t="str">
        <f>TEXT(Table4[[#This Row],[Date]],"mmm")</f>
        <v>Jun</v>
      </c>
      <c r="P434" s="5">
        <f>ABS(Table4[[#This Row],[Variance]])</f>
        <v>16157</v>
      </c>
      <c r="Q434" s="5" t="str">
        <f>IF(Table4[[#This Row],[AB Variances ]]&gt;$P$2,"Anomaly","Normal")</f>
        <v>Normal</v>
      </c>
      <c r="R434" s="5">
        <f>SUMIFS(Table4[BudgetAmount],Table4[ActualExpense],"pending")</f>
        <v>0</v>
      </c>
    </row>
    <row r="435" spans="1:18">
      <c r="A435" t="s">
        <v>830</v>
      </c>
      <c r="B435" t="s">
        <v>831</v>
      </c>
      <c r="C435" t="s">
        <v>64</v>
      </c>
      <c r="D435" t="s">
        <v>16</v>
      </c>
      <c r="E435" t="s">
        <v>71</v>
      </c>
      <c r="F435" t="s">
        <v>72</v>
      </c>
      <c r="G435" s="2">
        <v>420668</v>
      </c>
      <c r="H435" s="1">
        <v>318742</v>
      </c>
      <c r="I435">
        <v>-101926</v>
      </c>
      <c r="J435" t="s">
        <v>54</v>
      </c>
      <c r="K435" t="s">
        <v>48</v>
      </c>
      <c r="L435" t="s">
        <v>49</v>
      </c>
      <c r="M435" t="s">
        <v>22</v>
      </c>
      <c r="N435" s="5">
        <f>Table4[[#This Row],[BudgetAmount]]/Table4[[#This Row],[Variance]]</f>
        <v>-4.1271903145419229</v>
      </c>
      <c r="O435" s="5" t="str">
        <f>TEXT(Table4[[#This Row],[Date]],"mmm")</f>
        <v>Dec</v>
      </c>
      <c r="P435" s="5">
        <f>ABS(Table4[[#This Row],[Variance]])</f>
        <v>101926</v>
      </c>
      <c r="Q435" s="5" t="str">
        <f>IF(Table4[[#This Row],[AB Variances ]]&gt;$P$2,"Anomaly","Normal")</f>
        <v>Anomaly</v>
      </c>
      <c r="R435" s="5">
        <f>SUMIFS(Table4[BudgetAmount],Table4[ActualExpense],"pending")</f>
        <v>0</v>
      </c>
    </row>
    <row r="436" spans="1:18">
      <c r="A436" t="s">
        <v>832</v>
      </c>
      <c r="B436" t="s">
        <v>833</v>
      </c>
      <c r="C436" t="s">
        <v>64</v>
      </c>
      <c r="D436" t="s">
        <v>16</v>
      </c>
      <c r="E436" t="s">
        <v>27</v>
      </c>
      <c r="F436" t="s">
        <v>28</v>
      </c>
      <c r="G436" s="2">
        <v>119911</v>
      </c>
      <c r="H436" s="1">
        <v>144264</v>
      </c>
      <c r="I436">
        <v>24353</v>
      </c>
      <c r="J436" t="s">
        <v>54</v>
      </c>
      <c r="K436" t="s">
        <v>67</v>
      </c>
      <c r="L436" t="s">
        <v>21</v>
      </c>
      <c r="M436" t="s">
        <v>42</v>
      </c>
      <c r="N436" s="5">
        <f>Table4[[#This Row],[BudgetAmount]]/Table4[[#This Row],[Variance]]</f>
        <v>4.9238697491068866</v>
      </c>
      <c r="O436" s="5" t="str">
        <f>TEXT(Table4[[#This Row],[Date]],"mmm")</f>
        <v>Jun</v>
      </c>
      <c r="P436" s="5">
        <f>ABS(Table4[[#This Row],[Variance]])</f>
        <v>24353</v>
      </c>
      <c r="Q436" s="5" t="str">
        <f>IF(Table4[[#This Row],[AB Variances ]]&gt;$P$2,"Anomaly","Normal")</f>
        <v>Anomaly</v>
      </c>
      <c r="R436" s="5">
        <f>SUMIFS(Table4[BudgetAmount],Table4[ActualExpense],"pending")</f>
        <v>0</v>
      </c>
    </row>
    <row r="437" spans="1:18">
      <c r="A437" t="s">
        <v>834</v>
      </c>
      <c r="B437" t="s">
        <v>835</v>
      </c>
      <c r="C437" t="s">
        <v>15</v>
      </c>
      <c r="D437" t="s">
        <v>34</v>
      </c>
      <c r="E437" t="s">
        <v>85</v>
      </c>
      <c r="F437" t="s">
        <v>86</v>
      </c>
      <c r="G437" s="2">
        <v>349877</v>
      </c>
      <c r="H437" s="1">
        <v>458634</v>
      </c>
      <c r="I437">
        <v>108757</v>
      </c>
      <c r="J437" t="s">
        <v>54</v>
      </c>
      <c r="K437" t="s">
        <v>67</v>
      </c>
      <c r="L437" t="s">
        <v>21</v>
      </c>
      <c r="M437" t="s">
        <v>42</v>
      </c>
      <c r="N437" s="5">
        <f>Table4[[#This Row],[BudgetAmount]]/Table4[[#This Row],[Variance]]</f>
        <v>3.2170526954586833</v>
      </c>
      <c r="O437" s="5" t="str">
        <f>TEXT(Table4[[#This Row],[Date]],"mmm")</f>
        <v>Nov</v>
      </c>
      <c r="P437" s="5">
        <f>ABS(Table4[[#This Row],[Variance]])</f>
        <v>108757</v>
      </c>
      <c r="Q437" s="5" t="str">
        <f>IF(Table4[[#This Row],[AB Variances ]]&gt;$P$2,"Anomaly","Normal")</f>
        <v>Anomaly</v>
      </c>
      <c r="R437" s="5">
        <f>SUMIFS(Table4[BudgetAmount],Table4[ActualExpense],"pending")</f>
        <v>0</v>
      </c>
    </row>
    <row r="438" spans="1:18">
      <c r="A438" t="s">
        <v>836</v>
      </c>
      <c r="B438" t="s">
        <v>837</v>
      </c>
      <c r="C438" t="s">
        <v>15</v>
      </c>
      <c r="D438" t="s">
        <v>40</v>
      </c>
      <c r="E438" t="s">
        <v>27</v>
      </c>
      <c r="F438" t="s">
        <v>28</v>
      </c>
      <c r="G438" s="2">
        <v>229192</v>
      </c>
      <c r="H438" s="1">
        <v>160914</v>
      </c>
      <c r="I438">
        <v>-68278</v>
      </c>
      <c r="J438" t="s">
        <v>54</v>
      </c>
      <c r="K438" t="s">
        <v>48</v>
      </c>
      <c r="L438" t="s">
        <v>30</v>
      </c>
      <c r="M438" t="s">
        <v>22</v>
      </c>
      <c r="N438" s="5">
        <f>Table4[[#This Row],[BudgetAmount]]/Table4[[#This Row],[Variance]]</f>
        <v>-3.3567474149799348</v>
      </c>
      <c r="O438" s="5" t="str">
        <f>TEXT(Table4[[#This Row],[Date]],"mmm")</f>
        <v>Dec</v>
      </c>
      <c r="P438" s="5">
        <f>ABS(Table4[[#This Row],[Variance]])</f>
        <v>68278</v>
      </c>
      <c r="Q438" s="5" t="str">
        <f>IF(Table4[[#This Row],[AB Variances ]]&gt;$P$2,"Anomaly","Normal")</f>
        <v>Anomaly</v>
      </c>
      <c r="R438" s="5">
        <f>SUMIFS(Table4[BudgetAmount],Table4[ActualExpense],"pending")</f>
        <v>0</v>
      </c>
    </row>
    <row r="439" spans="1:18">
      <c r="A439" t="s">
        <v>838</v>
      </c>
      <c r="B439" t="s">
        <v>190</v>
      </c>
      <c r="C439" t="s">
        <v>25</v>
      </c>
      <c r="D439" t="s">
        <v>61</v>
      </c>
      <c r="E439" t="s">
        <v>27</v>
      </c>
      <c r="F439" t="s">
        <v>28</v>
      </c>
      <c r="G439" s="2">
        <v>276850</v>
      </c>
      <c r="H439" s="1">
        <v>267941</v>
      </c>
      <c r="I439">
        <v>-8909</v>
      </c>
      <c r="J439" t="s">
        <v>37</v>
      </c>
      <c r="K439" t="s">
        <v>20</v>
      </c>
      <c r="L439" t="s">
        <v>68</v>
      </c>
      <c r="M439" t="s">
        <v>22</v>
      </c>
      <c r="N439" s="5">
        <f>Table4[[#This Row],[BudgetAmount]]/Table4[[#This Row],[Variance]]</f>
        <v>-31.0753170950724</v>
      </c>
      <c r="O439" s="5" t="str">
        <f>TEXT(Table4[[#This Row],[Date]],"mmm")</f>
        <v>Jan</v>
      </c>
      <c r="P439" s="5">
        <f>ABS(Table4[[#This Row],[Variance]])</f>
        <v>8909</v>
      </c>
      <c r="Q439" s="5" t="str">
        <f>IF(Table4[[#This Row],[AB Variances ]]&gt;$P$2,"Anomaly","Normal")</f>
        <v>Normal</v>
      </c>
      <c r="R439" s="5">
        <f>SUMIFS(Table4[BudgetAmount],Table4[ActualExpense],"pending")</f>
        <v>0</v>
      </c>
    </row>
    <row r="440" spans="1:18">
      <c r="A440" t="s">
        <v>839</v>
      </c>
      <c r="B440" t="s">
        <v>840</v>
      </c>
      <c r="C440" t="s">
        <v>25</v>
      </c>
      <c r="D440" t="s">
        <v>16</v>
      </c>
      <c r="E440" t="s">
        <v>85</v>
      </c>
      <c r="F440" t="s">
        <v>86</v>
      </c>
      <c r="G440" s="2">
        <v>139140</v>
      </c>
      <c r="H440" s="1">
        <v>186309</v>
      </c>
      <c r="I440">
        <v>47169</v>
      </c>
      <c r="J440" t="s">
        <v>54</v>
      </c>
      <c r="K440" t="s">
        <v>67</v>
      </c>
      <c r="L440" t="s">
        <v>68</v>
      </c>
      <c r="M440" t="s">
        <v>22</v>
      </c>
      <c r="N440" s="5">
        <f>Table4[[#This Row],[BudgetAmount]]/Table4[[#This Row],[Variance]]</f>
        <v>2.9498187368822744</v>
      </c>
      <c r="O440" s="5" t="str">
        <f>TEXT(Table4[[#This Row],[Date]],"mmm")</f>
        <v>May</v>
      </c>
      <c r="P440" s="5">
        <f>ABS(Table4[[#This Row],[Variance]])</f>
        <v>47169</v>
      </c>
      <c r="Q440" s="5" t="str">
        <f>IF(Table4[[#This Row],[AB Variances ]]&gt;$P$2,"Anomaly","Normal")</f>
        <v>Anomaly</v>
      </c>
      <c r="R440" s="5">
        <f>SUMIFS(Table4[BudgetAmount],Table4[ActualExpense],"pending")</f>
        <v>0</v>
      </c>
    </row>
    <row r="441" spans="1:18">
      <c r="A441" t="s">
        <v>841</v>
      </c>
      <c r="B441" t="s">
        <v>842</v>
      </c>
      <c r="C441" t="s">
        <v>33</v>
      </c>
      <c r="D441" t="s">
        <v>16</v>
      </c>
      <c r="E441" t="s">
        <v>27</v>
      </c>
      <c r="F441" t="s">
        <v>28</v>
      </c>
      <c r="G441" s="2">
        <v>260532</v>
      </c>
      <c r="H441" s="1">
        <v>237945</v>
      </c>
      <c r="I441">
        <v>-22587</v>
      </c>
      <c r="J441" t="s">
        <v>19</v>
      </c>
      <c r="K441" t="s">
        <v>41</v>
      </c>
      <c r="L441" t="s">
        <v>30</v>
      </c>
      <c r="M441" t="s">
        <v>22</v>
      </c>
      <c r="N441" s="5">
        <f>Table4[[#This Row],[BudgetAmount]]/Table4[[#This Row],[Variance]]</f>
        <v>-11.534599548412803</v>
      </c>
      <c r="O441" s="5" t="str">
        <f>TEXT(Table4[[#This Row],[Date]],"mmm")</f>
        <v>Apr</v>
      </c>
      <c r="P441" s="5">
        <f>ABS(Table4[[#This Row],[Variance]])</f>
        <v>22587</v>
      </c>
      <c r="Q441" s="5" t="str">
        <f>IF(Table4[[#This Row],[AB Variances ]]&gt;$P$2,"Anomaly","Normal")</f>
        <v>Anomaly</v>
      </c>
      <c r="R441" s="5">
        <f>SUMIFS(Table4[BudgetAmount],Table4[ActualExpense],"pending")</f>
        <v>0</v>
      </c>
    </row>
    <row r="442" spans="1:18">
      <c r="A442" t="s">
        <v>843</v>
      </c>
      <c r="B442" t="s">
        <v>312</v>
      </c>
      <c r="C442" t="s">
        <v>25</v>
      </c>
      <c r="D442" t="s">
        <v>40</v>
      </c>
      <c r="E442" t="s">
        <v>46</v>
      </c>
      <c r="F442" t="s">
        <v>47</v>
      </c>
      <c r="G442" s="2">
        <v>393536</v>
      </c>
      <c r="H442" s="1">
        <v>539097</v>
      </c>
      <c r="I442">
        <v>145561</v>
      </c>
      <c r="J442" t="s">
        <v>19</v>
      </c>
      <c r="K442" t="s">
        <v>67</v>
      </c>
      <c r="L442" t="s">
        <v>68</v>
      </c>
      <c r="M442" t="s">
        <v>22</v>
      </c>
      <c r="N442" s="5">
        <f>Table4[[#This Row],[BudgetAmount]]/Table4[[#This Row],[Variance]]</f>
        <v>2.7035813164240423</v>
      </c>
      <c r="O442" s="5" t="str">
        <f>TEXT(Table4[[#This Row],[Date]],"mmm")</f>
        <v>Apr</v>
      </c>
      <c r="P442" s="5">
        <f>ABS(Table4[[#This Row],[Variance]])</f>
        <v>145561</v>
      </c>
      <c r="Q442" s="5" t="str">
        <f>IF(Table4[[#This Row],[AB Variances ]]&gt;$P$2,"Anomaly","Normal")</f>
        <v>Anomaly</v>
      </c>
      <c r="R442" s="5">
        <f>SUMIFS(Table4[BudgetAmount],Table4[ActualExpense],"pending")</f>
        <v>0</v>
      </c>
    </row>
    <row r="443" spans="1:18">
      <c r="A443" t="s">
        <v>844</v>
      </c>
      <c r="B443" t="s">
        <v>845</v>
      </c>
      <c r="C443" t="s">
        <v>33</v>
      </c>
      <c r="D443" t="s">
        <v>40</v>
      </c>
      <c r="E443" t="s">
        <v>85</v>
      </c>
      <c r="F443" t="s">
        <v>86</v>
      </c>
      <c r="G443" s="2">
        <v>248486</v>
      </c>
      <c r="H443" s="1">
        <v>252846</v>
      </c>
      <c r="I443">
        <v>4360</v>
      </c>
      <c r="J443" t="s">
        <v>37</v>
      </c>
      <c r="K443" t="s">
        <v>67</v>
      </c>
      <c r="L443" t="s">
        <v>68</v>
      </c>
      <c r="M443" t="s">
        <v>22</v>
      </c>
      <c r="N443" s="5">
        <f>Table4[[#This Row],[BudgetAmount]]/Table4[[#This Row],[Variance]]</f>
        <v>56.992201834862385</v>
      </c>
      <c r="O443" s="5" t="str">
        <f>TEXT(Table4[[#This Row],[Date]],"mmm")</f>
        <v>Mar</v>
      </c>
      <c r="P443" s="5">
        <f>ABS(Table4[[#This Row],[Variance]])</f>
        <v>4360</v>
      </c>
      <c r="Q443" s="5" t="str">
        <f>IF(Table4[[#This Row],[AB Variances ]]&gt;$P$2,"Anomaly","Normal")</f>
        <v>Normal</v>
      </c>
      <c r="R443" s="5">
        <f>SUMIFS(Table4[BudgetAmount],Table4[ActualExpense],"pending")</f>
        <v>0</v>
      </c>
    </row>
    <row r="444" spans="1:18">
      <c r="A444" t="s">
        <v>846</v>
      </c>
      <c r="B444" t="s">
        <v>633</v>
      </c>
      <c r="C444" t="s">
        <v>25</v>
      </c>
      <c r="D444" t="s">
        <v>40</v>
      </c>
      <c r="E444" t="s">
        <v>27</v>
      </c>
      <c r="F444" t="s">
        <v>28</v>
      </c>
      <c r="G444" s="2">
        <v>388997</v>
      </c>
      <c r="H444" s="1">
        <v>518088</v>
      </c>
      <c r="I444">
        <v>129091</v>
      </c>
      <c r="J444" t="s">
        <v>19</v>
      </c>
      <c r="K444" t="s">
        <v>41</v>
      </c>
      <c r="L444" t="s">
        <v>30</v>
      </c>
      <c r="M444" t="s">
        <v>22</v>
      </c>
      <c r="N444" s="5">
        <f>Table4[[#This Row],[BudgetAmount]]/Table4[[#This Row],[Variance]]</f>
        <v>3.0133549201725915</v>
      </c>
      <c r="O444" s="5" t="str">
        <f>TEXT(Table4[[#This Row],[Date]],"mmm")</f>
        <v>Dec</v>
      </c>
      <c r="P444" s="5">
        <f>ABS(Table4[[#This Row],[Variance]])</f>
        <v>129091</v>
      </c>
      <c r="Q444" s="5" t="str">
        <f>IF(Table4[[#This Row],[AB Variances ]]&gt;$P$2,"Anomaly","Normal")</f>
        <v>Anomaly</v>
      </c>
      <c r="R444" s="5">
        <f>SUMIFS(Table4[BudgetAmount],Table4[ActualExpense],"pending")</f>
        <v>0</v>
      </c>
    </row>
    <row r="445" spans="1:18">
      <c r="A445" t="s">
        <v>847</v>
      </c>
      <c r="B445" t="s">
        <v>848</v>
      </c>
      <c r="C445" t="s">
        <v>25</v>
      </c>
      <c r="D445" t="s">
        <v>40</v>
      </c>
      <c r="E445" t="s">
        <v>35</v>
      </c>
      <c r="F445" t="s">
        <v>36</v>
      </c>
      <c r="G445" s="2">
        <v>398520</v>
      </c>
      <c r="H445" s="1">
        <v>519826</v>
      </c>
      <c r="I445">
        <v>121306</v>
      </c>
      <c r="J445" t="s">
        <v>19</v>
      </c>
      <c r="K445" t="s">
        <v>29</v>
      </c>
      <c r="L445" t="s">
        <v>49</v>
      </c>
      <c r="M445" t="s">
        <v>22</v>
      </c>
      <c r="N445" s="5">
        <f>Table4[[#This Row],[BudgetAmount]]/Table4[[#This Row],[Variance]]</f>
        <v>3.285245577300381</v>
      </c>
      <c r="O445" s="5" t="str">
        <f>TEXT(Table4[[#This Row],[Date]],"mmm")</f>
        <v>Dec</v>
      </c>
      <c r="P445" s="5">
        <f>ABS(Table4[[#This Row],[Variance]])</f>
        <v>121306</v>
      </c>
      <c r="Q445" s="5" t="str">
        <f>IF(Table4[[#This Row],[AB Variances ]]&gt;$P$2,"Anomaly","Normal")</f>
        <v>Anomaly</v>
      </c>
      <c r="R445" s="5">
        <f>SUMIFS(Table4[BudgetAmount],Table4[ActualExpense],"pending")</f>
        <v>0</v>
      </c>
    </row>
    <row r="446" spans="1:18">
      <c r="A446" t="s">
        <v>849</v>
      </c>
      <c r="B446" t="s">
        <v>850</v>
      </c>
      <c r="C446" t="s">
        <v>45</v>
      </c>
      <c r="D446" t="s">
        <v>34</v>
      </c>
      <c r="E446" t="s">
        <v>85</v>
      </c>
      <c r="F446" t="s">
        <v>86</v>
      </c>
      <c r="G446" s="2">
        <v>443707</v>
      </c>
      <c r="H446" s="1">
        <v>365499</v>
      </c>
      <c r="I446">
        <v>-78208</v>
      </c>
      <c r="J446" t="s">
        <v>19</v>
      </c>
      <c r="K446" t="s">
        <v>20</v>
      </c>
      <c r="L446" t="s">
        <v>30</v>
      </c>
      <c r="M446" t="s">
        <v>42</v>
      </c>
      <c r="N446" s="5">
        <f>Table4[[#This Row],[BudgetAmount]]/Table4[[#This Row],[Variance]]</f>
        <v>-5.6734221563011458</v>
      </c>
      <c r="O446" s="5" t="str">
        <f>TEXT(Table4[[#This Row],[Date]],"mmm")</f>
        <v>Feb</v>
      </c>
      <c r="P446" s="5">
        <f>ABS(Table4[[#This Row],[Variance]])</f>
        <v>78208</v>
      </c>
      <c r="Q446" s="5" t="str">
        <f>IF(Table4[[#This Row],[AB Variances ]]&gt;$P$2,"Anomaly","Normal")</f>
        <v>Anomaly</v>
      </c>
      <c r="R446" s="5">
        <f>SUMIFS(Table4[BudgetAmount],Table4[ActualExpense],"pending")</f>
        <v>0</v>
      </c>
    </row>
    <row r="447" spans="1:18">
      <c r="A447" t="s">
        <v>851</v>
      </c>
      <c r="B447" t="s">
        <v>852</v>
      </c>
      <c r="C447" t="s">
        <v>45</v>
      </c>
      <c r="D447" t="s">
        <v>34</v>
      </c>
      <c r="E447" t="s">
        <v>27</v>
      </c>
      <c r="F447" t="s">
        <v>28</v>
      </c>
      <c r="G447" s="2">
        <v>467037</v>
      </c>
      <c r="H447" s="1">
        <v>574407</v>
      </c>
      <c r="I447">
        <v>107370</v>
      </c>
      <c r="J447" t="s">
        <v>54</v>
      </c>
      <c r="K447" t="s">
        <v>48</v>
      </c>
      <c r="L447" t="s">
        <v>30</v>
      </c>
      <c r="M447" t="s">
        <v>22</v>
      </c>
      <c r="N447" s="5">
        <f>Table4[[#This Row],[BudgetAmount]]/Table4[[#This Row],[Variance]]</f>
        <v>4.349790444258173</v>
      </c>
      <c r="O447" s="5" t="str">
        <f>TEXT(Table4[[#This Row],[Date]],"mmm")</f>
        <v>Dec</v>
      </c>
      <c r="P447" s="5">
        <f>ABS(Table4[[#This Row],[Variance]])</f>
        <v>107370</v>
      </c>
      <c r="Q447" s="5" t="str">
        <f>IF(Table4[[#This Row],[AB Variances ]]&gt;$P$2,"Anomaly","Normal")</f>
        <v>Anomaly</v>
      </c>
      <c r="R447" s="5">
        <f>SUMIFS(Table4[BudgetAmount],Table4[ActualExpense],"pending")</f>
        <v>0</v>
      </c>
    </row>
    <row r="448" spans="1:18">
      <c r="A448" t="s">
        <v>853</v>
      </c>
      <c r="B448" t="s">
        <v>854</v>
      </c>
      <c r="C448" t="s">
        <v>33</v>
      </c>
      <c r="D448" t="s">
        <v>16</v>
      </c>
      <c r="E448" t="s">
        <v>27</v>
      </c>
      <c r="F448" t="s">
        <v>28</v>
      </c>
      <c r="G448" s="2">
        <v>444320</v>
      </c>
      <c r="H448" s="1">
        <v>604755</v>
      </c>
      <c r="I448">
        <v>160435</v>
      </c>
      <c r="J448" t="s">
        <v>37</v>
      </c>
      <c r="K448" t="s">
        <v>41</v>
      </c>
      <c r="L448" t="s">
        <v>68</v>
      </c>
      <c r="M448" t="s">
        <v>22</v>
      </c>
      <c r="N448" s="5">
        <f>Table4[[#This Row],[BudgetAmount]]/Table4[[#This Row],[Variance]]</f>
        <v>2.7694705020724903</v>
      </c>
      <c r="O448" s="5" t="str">
        <f>TEXT(Table4[[#This Row],[Date]],"mmm")</f>
        <v>Nov</v>
      </c>
      <c r="P448" s="5">
        <f>ABS(Table4[[#This Row],[Variance]])</f>
        <v>160435</v>
      </c>
      <c r="Q448" s="5" t="str">
        <f>IF(Table4[[#This Row],[AB Variances ]]&gt;$P$2,"Anomaly","Normal")</f>
        <v>Anomaly</v>
      </c>
      <c r="R448" s="5">
        <f>SUMIFS(Table4[BudgetAmount],Table4[ActualExpense],"pending")</f>
        <v>0</v>
      </c>
    </row>
    <row r="449" spans="1:18">
      <c r="A449" t="s">
        <v>855</v>
      </c>
      <c r="B449" t="s">
        <v>856</v>
      </c>
      <c r="C449" t="s">
        <v>45</v>
      </c>
      <c r="D449" t="s">
        <v>61</v>
      </c>
      <c r="E449" t="s">
        <v>85</v>
      </c>
      <c r="F449" t="s">
        <v>86</v>
      </c>
      <c r="G449" s="2">
        <v>109069</v>
      </c>
      <c r="H449" s="1">
        <v>127577</v>
      </c>
      <c r="I449">
        <v>18508</v>
      </c>
      <c r="J449" t="s">
        <v>19</v>
      </c>
      <c r="K449" t="s">
        <v>41</v>
      </c>
      <c r="L449" t="s">
        <v>21</v>
      </c>
      <c r="M449" t="s">
        <v>22</v>
      </c>
      <c r="N449" s="5">
        <f>Table4[[#This Row],[BudgetAmount]]/Table4[[#This Row],[Variance]]</f>
        <v>5.893073265614869</v>
      </c>
      <c r="O449" s="5" t="str">
        <f>TEXT(Table4[[#This Row],[Date]],"mmm")</f>
        <v>May</v>
      </c>
      <c r="P449" s="5">
        <f>ABS(Table4[[#This Row],[Variance]])</f>
        <v>18508</v>
      </c>
      <c r="Q449" s="5" t="str">
        <f>IF(Table4[[#This Row],[AB Variances ]]&gt;$P$2,"Anomaly","Normal")</f>
        <v>Anomaly</v>
      </c>
      <c r="R449" s="5">
        <f>SUMIFS(Table4[BudgetAmount],Table4[ActualExpense],"pending")</f>
        <v>0</v>
      </c>
    </row>
    <row r="450" spans="1:18">
      <c r="A450" t="s">
        <v>857</v>
      </c>
      <c r="B450" t="s">
        <v>554</v>
      </c>
      <c r="C450" t="s">
        <v>64</v>
      </c>
      <c r="D450" t="s">
        <v>16</v>
      </c>
      <c r="E450" t="s">
        <v>17</v>
      </c>
      <c r="F450" t="s">
        <v>18</v>
      </c>
      <c r="G450" s="2">
        <v>86886</v>
      </c>
      <c r="H450" s="1">
        <v>70117</v>
      </c>
      <c r="I450">
        <v>-16769</v>
      </c>
      <c r="J450" t="s">
        <v>54</v>
      </c>
      <c r="K450" t="s">
        <v>41</v>
      </c>
      <c r="L450" t="s">
        <v>21</v>
      </c>
      <c r="M450" t="s">
        <v>22</v>
      </c>
      <c r="N450" s="5">
        <f>Table4[[#This Row],[BudgetAmount]]/Table4[[#This Row],[Variance]]</f>
        <v>-5.1813465322917285</v>
      </c>
      <c r="O450" s="5" t="str">
        <f>TEXT(Table4[[#This Row],[Date]],"mmm")</f>
        <v>Apr</v>
      </c>
      <c r="P450" s="5">
        <f>ABS(Table4[[#This Row],[Variance]])</f>
        <v>16769</v>
      </c>
      <c r="Q450" s="5" t="str">
        <f>IF(Table4[[#This Row],[AB Variances ]]&gt;$P$2,"Anomaly","Normal")</f>
        <v>Normal</v>
      </c>
      <c r="R450" s="5">
        <f>SUMIFS(Table4[BudgetAmount],Table4[ActualExpense],"pending")</f>
        <v>0</v>
      </c>
    </row>
    <row r="451" spans="1:18">
      <c r="A451" t="s">
        <v>858</v>
      </c>
      <c r="B451" t="s">
        <v>859</v>
      </c>
      <c r="C451" t="s">
        <v>15</v>
      </c>
      <c r="D451" t="s">
        <v>34</v>
      </c>
      <c r="E451" t="s">
        <v>85</v>
      </c>
      <c r="F451" t="s">
        <v>86</v>
      </c>
      <c r="G451" s="2">
        <v>408372</v>
      </c>
      <c r="H451" s="1">
        <v>296904</v>
      </c>
      <c r="I451">
        <v>-111468</v>
      </c>
      <c r="J451" t="s">
        <v>54</v>
      </c>
      <c r="K451" t="s">
        <v>20</v>
      </c>
      <c r="L451" t="s">
        <v>30</v>
      </c>
      <c r="M451" t="s">
        <v>22</v>
      </c>
      <c r="N451" s="5">
        <f>Table4[[#This Row],[BudgetAmount]]/Table4[[#This Row],[Variance]]</f>
        <v>-3.6635805791796749</v>
      </c>
      <c r="O451" s="5" t="str">
        <f>TEXT(Table4[[#This Row],[Date]],"mmm")</f>
        <v>Apr</v>
      </c>
      <c r="P451" s="5">
        <f>ABS(Table4[[#This Row],[Variance]])</f>
        <v>111468</v>
      </c>
      <c r="Q451" s="5" t="str">
        <f>IF(Table4[[#This Row],[AB Variances ]]&gt;$P$2,"Anomaly","Normal")</f>
        <v>Anomaly</v>
      </c>
      <c r="R451" s="5">
        <f>SUMIFS(Table4[BudgetAmount],Table4[ActualExpense],"pending")</f>
        <v>0</v>
      </c>
    </row>
    <row r="452" spans="1:18">
      <c r="A452" t="s">
        <v>860</v>
      </c>
      <c r="B452" t="s">
        <v>154</v>
      </c>
      <c r="C452" t="s">
        <v>33</v>
      </c>
      <c r="D452" t="s">
        <v>40</v>
      </c>
      <c r="E452" t="s">
        <v>46</v>
      </c>
      <c r="F452" t="s">
        <v>47</v>
      </c>
      <c r="G452" s="2">
        <v>212005</v>
      </c>
      <c r="H452" s="1">
        <v>225198</v>
      </c>
      <c r="I452">
        <v>13193</v>
      </c>
      <c r="J452" t="s">
        <v>19</v>
      </c>
      <c r="K452" t="s">
        <v>20</v>
      </c>
      <c r="L452" t="s">
        <v>21</v>
      </c>
      <c r="M452" t="s">
        <v>42</v>
      </c>
      <c r="N452" s="5">
        <f>Table4[[#This Row],[BudgetAmount]]/Table4[[#This Row],[Variance]]</f>
        <v>16.069506556507239</v>
      </c>
      <c r="O452" s="5" t="str">
        <f>TEXT(Table4[[#This Row],[Date]],"mmm")</f>
        <v>Feb</v>
      </c>
      <c r="P452" s="5">
        <f>ABS(Table4[[#This Row],[Variance]])</f>
        <v>13193</v>
      </c>
      <c r="Q452" s="5" t="str">
        <f>IF(Table4[[#This Row],[AB Variances ]]&gt;$P$2,"Anomaly","Normal")</f>
        <v>Normal</v>
      </c>
      <c r="R452" s="5">
        <f>SUMIFS(Table4[BudgetAmount],Table4[ActualExpense],"pending")</f>
        <v>0</v>
      </c>
    </row>
    <row r="453" spans="1:18">
      <c r="A453" t="s">
        <v>861</v>
      </c>
      <c r="B453" t="s">
        <v>590</v>
      </c>
      <c r="C453" t="s">
        <v>33</v>
      </c>
      <c r="D453" t="s">
        <v>26</v>
      </c>
      <c r="E453" t="s">
        <v>46</v>
      </c>
      <c r="F453" t="s">
        <v>47</v>
      </c>
      <c r="G453" s="2">
        <v>281598</v>
      </c>
      <c r="H453" s="1">
        <v>305970</v>
      </c>
      <c r="I453">
        <v>24372</v>
      </c>
      <c r="J453" t="s">
        <v>54</v>
      </c>
      <c r="K453" t="s">
        <v>20</v>
      </c>
      <c r="L453" t="s">
        <v>30</v>
      </c>
      <c r="M453" t="s">
        <v>22</v>
      </c>
      <c r="N453" s="5">
        <f>Table4[[#This Row],[BudgetAmount]]/Table4[[#This Row],[Variance]]</f>
        <v>11.554160512063023</v>
      </c>
      <c r="O453" s="5" t="str">
        <f>TEXT(Table4[[#This Row],[Date]],"mmm")</f>
        <v>Oct</v>
      </c>
      <c r="P453" s="5">
        <f>ABS(Table4[[#This Row],[Variance]])</f>
        <v>24372</v>
      </c>
      <c r="Q453" s="5" t="str">
        <f>IF(Table4[[#This Row],[AB Variances ]]&gt;$P$2,"Anomaly","Normal")</f>
        <v>Anomaly</v>
      </c>
      <c r="R453" s="5">
        <f>SUMIFS(Table4[BudgetAmount],Table4[ActualExpense],"pending")</f>
        <v>0</v>
      </c>
    </row>
    <row r="454" spans="1:18">
      <c r="A454" t="s">
        <v>862</v>
      </c>
      <c r="B454" t="s">
        <v>863</v>
      </c>
      <c r="C454" t="s">
        <v>25</v>
      </c>
      <c r="D454" t="s">
        <v>26</v>
      </c>
      <c r="E454" t="s">
        <v>27</v>
      </c>
      <c r="F454" t="s">
        <v>28</v>
      </c>
      <c r="G454" s="2">
        <v>423604</v>
      </c>
      <c r="H454" s="1">
        <v>577714</v>
      </c>
      <c r="I454">
        <v>154110</v>
      </c>
      <c r="J454" t="s">
        <v>19</v>
      </c>
      <c r="K454" t="s">
        <v>48</v>
      </c>
      <c r="L454" t="s">
        <v>68</v>
      </c>
      <c r="M454" t="s">
        <v>42</v>
      </c>
      <c r="N454" s="5">
        <f>Table4[[#This Row],[BudgetAmount]]/Table4[[#This Row],[Variance]]</f>
        <v>2.7487119589903317</v>
      </c>
      <c r="O454" s="5" t="str">
        <f>TEXT(Table4[[#This Row],[Date]],"mmm")</f>
        <v>Oct</v>
      </c>
      <c r="P454" s="5">
        <f>ABS(Table4[[#This Row],[Variance]])</f>
        <v>154110</v>
      </c>
      <c r="Q454" s="5" t="str">
        <f>IF(Table4[[#This Row],[AB Variances ]]&gt;$P$2,"Anomaly","Normal")</f>
        <v>Anomaly</v>
      </c>
      <c r="R454" s="5">
        <f>SUMIFS(Table4[BudgetAmount],Table4[ActualExpense],"pending")</f>
        <v>0</v>
      </c>
    </row>
    <row r="455" spans="1:18">
      <c r="A455" t="s">
        <v>864</v>
      </c>
      <c r="B455" t="s">
        <v>865</v>
      </c>
      <c r="C455" t="s">
        <v>45</v>
      </c>
      <c r="D455" t="s">
        <v>34</v>
      </c>
      <c r="E455" t="s">
        <v>27</v>
      </c>
      <c r="F455" t="s">
        <v>28</v>
      </c>
      <c r="G455" s="2">
        <v>287277</v>
      </c>
      <c r="H455" s="1">
        <v>359231</v>
      </c>
      <c r="I455">
        <v>71954</v>
      </c>
      <c r="J455" t="s">
        <v>54</v>
      </c>
      <c r="K455" t="s">
        <v>41</v>
      </c>
      <c r="L455" t="s">
        <v>68</v>
      </c>
      <c r="M455" t="s">
        <v>22</v>
      </c>
      <c r="N455" s="5">
        <f>Table4[[#This Row],[BudgetAmount]]/Table4[[#This Row],[Variance]]</f>
        <v>3.992509103038052</v>
      </c>
      <c r="O455" s="5" t="str">
        <f>TEXT(Table4[[#This Row],[Date]],"mmm")</f>
        <v>Jan</v>
      </c>
      <c r="P455" s="5">
        <f>ABS(Table4[[#This Row],[Variance]])</f>
        <v>71954</v>
      </c>
      <c r="Q455" s="5" t="str">
        <f>IF(Table4[[#This Row],[AB Variances ]]&gt;$P$2,"Anomaly","Normal")</f>
        <v>Anomaly</v>
      </c>
      <c r="R455" s="5">
        <f>SUMIFS(Table4[BudgetAmount],Table4[ActualExpense],"pending")</f>
        <v>0</v>
      </c>
    </row>
    <row r="456" spans="1:18">
      <c r="A456" t="s">
        <v>866</v>
      </c>
      <c r="B456" t="s">
        <v>867</v>
      </c>
      <c r="C456" t="s">
        <v>25</v>
      </c>
      <c r="D456" t="s">
        <v>26</v>
      </c>
      <c r="E456" t="s">
        <v>17</v>
      </c>
      <c r="F456" t="s">
        <v>18</v>
      </c>
      <c r="G456" s="2">
        <v>167024</v>
      </c>
      <c r="H456" s="1">
        <v>203671</v>
      </c>
      <c r="I456">
        <v>36647</v>
      </c>
      <c r="J456" t="s">
        <v>37</v>
      </c>
      <c r="K456" t="s">
        <v>48</v>
      </c>
      <c r="L456" t="s">
        <v>30</v>
      </c>
      <c r="M456" t="s">
        <v>42</v>
      </c>
      <c r="N456" s="5">
        <f>Table4[[#This Row],[BudgetAmount]]/Table4[[#This Row],[Variance]]</f>
        <v>4.5576445548066689</v>
      </c>
      <c r="O456" s="5" t="str">
        <f>TEXT(Table4[[#This Row],[Date]],"mmm")</f>
        <v>Mar</v>
      </c>
      <c r="P456" s="5">
        <f>ABS(Table4[[#This Row],[Variance]])</f>
        <v>36647</v>
      </c>
      <c r="Q456" s="5" t="str">
        <f>IF(Table4[[#This Row],[AB Variances ]]&gt;$P$2,"Anomaly","Normal")</f>
        <v>Anomaly</v>
      </c>
      <c r="R456" s="5">
        <f>SUMIFS(Table4[BudgetAmount],Table4[ActualExpense],"pending")</f>
        <v>0</v>
      </c>
    </row>
    <row r="457" spans="1:18">
      <c r="A457" t="s">
        <v>868</v>
      </c>
      <c r="B457" t="s">
        <v>255</v>
      </c>
      <c r="C457" t="s">
        <v>33</v>
      </c>
      <c r="D457" t="s">
        <v>34</v>
      </c>
      <c r="E457" t="s">
        <v>27</v>
      </c>
      <c r="F457" t="s">
        <v>28</v>
      </c>
      <c r="G457" s="2">
        <v>215360</v>
      </c>
      <c r="H457" s="1">
        <v>299063</v>
      </c>
      <c r="I457">
        <v>83703</v>
      </c>
      <c r="J457" t="s">
        <v>37</v>
      </c>
      <c r="K457" t="s">
        <v>48</v>
      </c>
      <c r="L457" t="s">
        <v>30</v>
      </c>
      <c r="M457" t="s">
        <v>42</v>
      </c>
      <c r="N457" s="5">
        <f>Table4[[#This Row],[BudgetAmount]]/Table4[[#This Row],[Variance]]</f>
        <v>2.572906586382806</v>
      </c>
      <c r="O457" s="5" t="str">
        <f>TEXT(Table4[[#This Row],[Date]],"mmm")</f>
        <v>May</v>
      </c>
      <c r="P457" s="5">
        <f>ABS(Table4[[#This Row],[Variance]])</f>
        <v>83703</v>
      </c>
      <c r="Q457" s="5" t="str">
        <f>IF(Table4[[#This Row],[AB Variances ]]&gt;$P$2,"Anomaly","Normal")</f>
        <v>Anomaly</v>
      </c>
      <c r="R457" s="5">
        <f>SUMIFS(Table4[BudgetAmount],Table4[ActualExpense],"pending")</f>
        <v>0</v>
      </c>
    </row>
    <row r="458" spans="1:18">
      <c r="A458" t="s">
        <v>869</v>
      </c>
      <c r="B458" t="s">
        <v>870</v>
      </c>
      <c r="C458" t="s">
        <v>64</v>
      </c>
      <c r="D458" t="s">
        <v>16</v>
      </c>
      <c r="E458" t="s">
        <v>71</v>
      </c>
      <c r="F458" t="s">
        <v>72</v>
      </c>
      <c r="G458" s="2">
        <v>236409</v>
      </c>
      <c r="H458" s="1">
        <v>319453</v>
      </c>
      <c r="I458">
        <v>83044</v>
      </c>
      <c r="J458" t="s">
        <v>19</v>
      </c>
      <c r="K458" t="s">
        <v>48</v>
      </c>
      <c r="L458" t="s">
        <v>68</v>
      </c>
      <c r="M458" t="s">
        <v>42</v>
      </c>
      <c r="N458" s="5">
        <f>Table4[[#This Row],[BudgetAmount]]/Table4[[#This Row],[Variance]]</f>
        <v>2.8467920620394009</v>
      </c>
      <c r="O458" s="5" t="str">
        <f>TEXT(Table4[[#This Row],[Date]],"mmm")</f>
        <v>Dec</v>
      </c>
      <c r="P458" s="5">
        <f>ABS(Table4[[#This Row],[Variance]])</f>
        <v>83044</v>
      </c>
      <c r="Q458" s="5" t="str">
        <f>IF(Table4[[#This Row],[AB Variances ]]&gt;$P$2,"Anomaly","Normal")</f>
        <v>Anomaly</v>
      </c>
      <c r="R458" s="5">
        <f>SUMIFS(Table4[BudgetAmount],Table4[ActualExpense],"pending")</f>
        <v>0</v>
      </c>
    </row>
    <row r="459" spans="1:18">
      <c r="A459" t="s">
        <v>871</v>
      </c>
      <c r="B459" t="s">
        <v>872</v>
      </c>
      <c r="C459" t="s">
        <v>35</v>
      </c>
      <c r="D459" t="s">
        <v>26</v>
      </c>
      <c r="E459" t="s">
        <v>85</v>
      </c>
      <c r="F459" t="s">
        <v>86</v>
      </c>
      <c r="G459" s="2">
        <v>85077</v>
      </c>
      <c r="H459" s="1">
        <v>97368</v>
      </c>
      <c r="I459">
        <v>12291</v>
      </c>
      <c r="J459" t="s">
        <v>37</v>
      </c>
      <c r="K459" t="s">
        <v>29</v>
      </c>
      <c r="L459" t="s">
        <v>30</v>
      </c>
      <c r="M459" t="s">
        <v>42</v>
      </c>
      <c r="N459" s="5">
        <f>Table4[[#This Row],[BudgetAmount]]/Table4[[#This Row],[Variance]]</f>
        <v>6.9218940688308521</v>
      </c>
      <c r="O459" s="5" t="str">
        <f>TEXT(Table4[[#This Row],[Date]],"mmm")</f>
        <v>Nov</v>
      </c>
      <c r="P459" s="5">
        <f>ABS(Table4[[#This Row],[Variance]])</f>
        <v>12291</v>
      </c>
      <c r="Q459" s="5" t="str">
        <f>IF(Table4[[#This Row],[AB Variances ]]&gt;$P$2,"Anomaly","Normal")</f>
        <v>Normal</v>
      </c>
      <c r="R459" s="5">
        <f>SUMIFS(Table4[BudgetAmount],Table4[ActualExpense],"pending")</f>
        <v>0</v>
      </c>
    </row>
    <row r="460" spans="1:18">
      <c r="A460" t="s">
        <v>873</v>
      </c>
      <c r="B460" t="s">
        <v>874</v>
      </c>
      <c r="C460" t="s">
        <v>35</v>
      </c>
      <c r="D460" t="s">
        <v>61</v>
      </c>
      <c r="E460" t="s">
        <v>17</v>
      </c>
      <c r="F460" t="s">
        <v>18</v>
      </c>
      <c r="G460" s="2">
        <v>301109</v>
      </c>
      <c r="H460" s="1">
        <v>305840</v>
      </c>
      <c r="I460">
        <v>4731</v>
      </c>
      <c r="J460" t="s">
        <v>37</v>
      </c>
      <c r="K460" t="s">
        <v>20</v>
      </c>
      <c r="L460" t="s">
        <v>68</v>
      </c>
      <c r="M460" t="s">
        <v>42</v>
      </c>
      <c r="N460" s="5">
        <f>Table4[[#This Row],[BudgetAmount]]/Table4[[#This Row],[Variance]]</f>
        <v>63.645952229972522</v>
      </c>
      <c r="O460" s="5" t="str">
        <f>TEXT(Table4[[#This Row],[Date]],"mmm")</f>
        <v>May</v>
      </c>
      <c r="P460" s="5">
        <f>ABS(Table4[[#This Row],[Variance]])</f>
        <v>4731</v>
      </c>
      <c r="Q460" s="5" t="str">
        <f>IF(Table4[[#This Row],[AB Variances ]]&gt;$P$2,"Anomaly","Normal")</f>
        <v>Normal</v>
      </c>
      <c r="R460" s="5">
        <f>SUMIFS(Table4[BudgetAmount],Table4[ActualExpense],"pending")</f>
        <v>0</v>
      </c>
    </row>
    <row r="461" spans="1:18">
      <c r="A461" t="s">
        <v>875</v>
      </c>
      <c r="B461" t="s">
        <v>302</v>
      </c>
      <c r="C461" t="s">
        <v>15</v>
      </c>
      <c r="D461" t="s">
        <v>16</v>
      </c>
      <c r="E461" t="s">
        <v>85</v>
      </c>
      <c r="F461" t="s">
        <v>86</v>
      </c>
      <c r="G461" s="2">
        <v>251148</v>
      </c>
      <c r="H461" s="1">
        <v>184742</v>
      </c>
      <c r="I461">
        <v>-66406</v>
      </c>
      <c r="J461" t="s">
        <v>54</v>
      </c>
      <c r="K461" t="s">
        <v>29</v>
      </c>
      <c r="L461" t="s">
        <v>68</v>
      </c>
      <c r="M461" t="s">
        <v>22</v>
      </c>
      <c r="N461" s="5">
        <f>Table4[[#This Row],[BudgetAmount]]/Table4[[#This Row],[Variance]]</f>
        <v>-3.7820076499111526</v>
      </c>
      <c r="O461" s="5" t="str">
        <f>TEXT(Table4[[#This Row],[Date]],"mmm")</f>
        <v>Jul</v>
      </c>
      <c r="P461" s="5">
        <f>ABS(Table4[[#This Row],[Variance]])</f>
        <v>66406</v>
      </c>
      <c r="Q461" s="5" t="str">
        <f>IF(Table4[[#This Row],[AB Variances ]]&gt;$P$2,"Anomaly","Normal")</f>
        <v>Anomaly</v>
      </c>
      <c r="R461" s="5">
        <f>SUMIFS(Table4[BudgetAmount],Table4[ActualExpense],"pending")</f>
        <v>0</v>
      </c>
    </row>
    <row r="462" spans="1:18">
      <c r="A462" t="s">
        <v>876</v>
      </c>
      <c r="B462" t="s">
        <v>877</v>
      </c>
      <c r="C462" t="s">
        <v>33</v>
      </c>
      <c r="D462" t="s">
        <v>34</v>
      </c>
      <c r="E462" t="s">
        <v>85</v>
      </c>
      <c r="F462" t="s">
        <v>86</v>
      </c>
      <c r="G462" s="2">
        <v>283635</v>
      </c>
      <c r="H462" s="1">
        <v>303522</v>
      </c>
      <c r="I462">
        <v>19887</v>
      </c>
      <c r="J462" t="s">
        <v>54</v>
      </c>
      <c r="K462" t="s">
        <v>41</v>
      </c>
      <c r="L462" t="s">
        <v>49</v>
      </c>
      <c r="M462" t="s">
        <v>42</v>
      </c>
      <c r="N462" s="5">
        <f>Table4[[#This Row],[BudgetAmount]]/Table4[[#This Row],[Variance]]</f>
        <v>14.262332176798914</v>
      </c>
      <c r="O462" s="5" t="str">
        <f>TEXT(Table4[[#This Row],[Date]],"mmm")</f>
        <v>Jan</v>
      </c>
      <c r="P462" s="5">
        <f>ABS(Table4[[#This Row],[Variance]])</f>
        <v>19887</v>
      </c>
      <c r="Q462" s="5" t="str">
        <f>IF(Table4[[#This Row],[AB Variances ]]&gt;$P$2,"Anomaly","Normal")</f>
        <v>Anomaly</v>
      </c>
      <c r="R462" s="5">
        <f>SUMIFS(Table4[BudgetAmount],Table4[ActualExpense],"pending")</f>
        <v>0</v>
      </c>
    </row>
    <row r="463" spans="1:18">
      <c r="A463" t="s">
        <v>878</v>
      </c>
      <c r="B463" t="s">
        <v>879</v>
      </c>
      <c r="C463" t="s">
        <v>25</v>
      </c>
      <c r="D463" t="s">
        <v>26</v>
      </c>
      <c r="E463" t="s">
        <v>71</v>
      </c>
      <c r="F463" t="s">
        <v>72</v>
      </c>
      <c r="G463" s="2">
        <v>491959</v>
      </c>
      <c r="H463" s="1">
        <v>426701</v>
      </c>
      <c r="I463">
        <v>-65258</v>
      </c>
      <c r="J463" t="s">
        <v>19</v>
      </c>
      <c r="K463" t="s">
        <v>29</v>
      </c>
      <c r="L463" t="s">
        <v>68</v>
      </c>
      <c r="M463" t="s">
        <v>42</v>
      </c>
      <c r="N463" s="5">
        <f>Table4[[#This Row],[BudgetAmount]]/Table4[[#This Row],[Variance]]</f>
        <v>-7.5386772502988135</v>
      </c>
      <c r="O463" s="5" t="str">
        <f>TEXT(Table4[[#This Row],[Date]],"mmm")</f>
        <v>May</v>
      </c>
      <c r="P463" s="5">
        <f>ABS(Table4[[#This Row],[Variance]])</f>
        <v>65258</v>
      </c>
      <c r="Q463" s="5" t="str">
        <f>IF(Table4[[#This Row],[AB Variances ]]&gt;$P$2,"Anomaly","Normal")</f>
        <v>Anomaly</v>
      </c>
      <c r="R463" s="5">
        <f>SUMIFS(Table4[BudgetAmount],Table4[ActualExpense],"pending")</f>
        <v>0</v>
      </c>
    </row>
    <row r="464" spans="1:18">
      <c r="A464" t="s">
        <v>880</v>
      </c>
      <c r="B464" t="s">
        <v>881</v>
      </c>
      <c r="C464" t="s">
        <v>35</v>
      </c>
      <c r="D464" t="s">
        <v>61</v>
      </c>
      <c r="E464" t="s">
        <v>46</v>
      </c>
      <c r="F464" t="s">
        <v>47</v>
      </c>
      <c r="G464" s="2">
        <v>312892</v>
      </c>
      <c r="H464" s="1">
        <v>333210</v>
      </c>
      <c r="I464">
        <v>20318</v>
      </c>
      <c r="J464" t="s">
        <v>37</v>
      </c>
      <c r="K464" t="s">
        <v>41</v>
      </c>
      <c r="L464" t="s">
        <v>68</v>
      </c>
      <c r="M464" t="s">
        <v>22</v>
      </c>
      <c r="N464" s="5">
        <f>Table4[[#This Row],[BudgetAmount]]/Table4[[#This Row],[Variance]]</f>
        <v>15.399744069298158</v>
      </c>
      <c r="O464" s="5" t="str">
        <f>TEXT(Table4[[#This Row],[Date]],"mmm")</f>
        <v>Jan</v>
      </c>
      <c r="P464" s="5">
        <f>ABS(Table4[[#This Row],[Variance]])</f>
        <v>20318</v>
      </c>
      <c r="Q464" s="5" t="str">
        <f>IF(Table4[[#This Row],[AB Variances ]]&gt;$P$2,"Anomaly","Normal")</f>
        <v>Anomaly</v>
      </c>
      <c r="R464" s="5">
        <f>SUMIFS(Table4[BudgetAmount],Table4[ActualExpense],"pending")</f>
        <v>0</v>
      </c>
    </row>
    <row r="465" spans="1:18">
      <c r="A465" t="s">
        <v>882</v>
      </c>
      <c r="B465" t="s">
        <v>883</v>
      </c>
      <c r="C465" t="s">
        <v>35</v>
      </c>
      <c r="D465" t="s">
        <v>34</v>
      </c>
      <c r="E465" t="s">
        <v>71</v>
      </c>
      <c r="F465" t="s">
        <v>72</v>
      </c>
      <c r="G465" s="2">
        <v>80099</v>
      </c>
      <c r="H465" s="1">
        <v>94785</v>
      </c>
      <c r="I465">
        <v>14686</v>
      </c>
      <c r="J465" t="s">
        <v>19</v>
      </c>
      <c r="K465" t="s">
        <v>48</v>
      </c>
      <c r="L465" t="s">
        <v>21</v>
      </c>
      <c r="M465" t="s">
        <v>22</v>
      </c>
      <c r="N465" s="5">
        <f>Table4[[#This Row],[BudgetAmount]]/Table4[[#This Row],[Variance]]</f>
        <v>5.4541059512460848</v>
      </c>
      <c r="O465" s="5" t="str">
        <f>TEXT(Table4[[#This Row],[Date]],"mmm")</f>
        <v>Mar</v>
      </c>
      <c r="P465" s="5">
        <f>ABS(Table4[[#This Row],[Variance]])</f>
        <v>14686</v>
      </c>
      <c r="Q465" s="5" t="str">
        <f>IF(Table4[[#This Row],[AB Variances ]]&gt;$P$2,"Anomaly","Normal")</f>
        <v>Normal</v>
      </c>
      <c r="R465" s="5">
        <f>SUMIFS(Table4[BudgetAmount],Table4[ActualExpense],"pending")</f>
        <v>0</v>
      </c>
    </row>
    <row r="466" spans="1:18">
      <c r="A466" t="s">
        <v>884</v>
      </c>
      <c r="B466" t="s">
        <v>885</v>
      </c>
      <c r="C466" t="s">
        <v>64</v>
      </c>
      <c r="D466" t="s">
        <v>40</v>
      </c>
      <c r="E466" t="s">
        <v>85</v>
      </c>
      <c r="F466" t="s">
        <v>86</v>
      </c>
      <c r="G466" s="2">
        <v>94611</v>
      </c>
      <c r="H466" s="1">
        <v>108962</v>
      </c>
      <c r="I466">
        <v>14351</v>
      </c>
      <c r="J466" t="s">
        <v>54</v>
      </c>
      <c r="K466" t="s">
        <v>48</v>
      </c>
      <c r="L466" t="s">
        <v>49</v>
      </c>
      <c r="M466" t="s">
        <v>42</v>
      </c>
      <c r="N466" s="5">
        <f>Table4[[#This Row],[BudgetAmount]]/Table4[[#This Row],[Variance]]</f>
        <v>6.5926416277611315</v>
      </c>
      <c r="O466" s="5" t="str">
        <f>TEXT(Table4[[#This Row],[Date]],"mmm")</f>
        <v>Aug</v>
      </c>
      <c r="P466" s="5">
        <f>ABS(Table4[[#This Row],[Variance]])</f>
        <v>14351</v>
      </c>
      <c r="Q466" s="5" t="str">
        <f>IF(Table4[[#This Row],[AB Variances ]]&gt;$P$2,"Anomaly","Normal")</f>
        <v>Normal</v>
      </c>
      <c r="R466" s="5">
        <f>SUMIFS(Table4[BudgetAmount],Table4[ActualExpense],"pending")</f>
        <v>0</v>
      </c>
    </row>
    <row r="467" spans="1:18">
      <c r="A467" t="s">
        <v>886</v>
      </c>
      <c r="B467" t="s">
        <v>887</v>
      </c>
      <c r="C467" t="s">
        <v>45</v>
      </c>
      <c r="D467" t="s">
        <v>16</v>
      </c>
      <c r="E467" t="s">
        <v>71</v>
      </c>
      <c r="F467" t="s">
        <v>72</v>
      </c>
      <c r="G467" s="2">
        <v>493138</v>
      </c>
      <c r="H467" s="1">
        <v>573161</v>
      </c>
      <c r="I467">
        <v>80023</v>
      </c>
      <c r="J467" t="s">
        <v>19</v>
      </c>
      <c r="K467" t="s">
        <v>48</v>
      </c>
      <c r="L467" t="s">
        <v>68</v>
      </c>
      <c r="M467" t="s">
        <v>22</v>
      </c>
      <c r="N467" s="5">
        <f>Table4[[#This Row],[BudgetAmount]]/Table4[[#This Row],[Variance]]</f>
        <v>6.1624532946777801</v>
      </c>
      <c r="O467" s="5" t="str">
        <f>TEXT(Table4[[#This Row],[Date]],"mmm")</f>
        <v>Jun</v>
      </c>
      <c r="P467" s="5">
        <f>ABS(Table4[[#This Row],[Variance]])</f>
        <v>80023</v>
      </c>
      <c r="Q467" s="5" t="str">
        <f>IF(Table4[[#This Row],[AB Variances ]]&gt;$P$2,"Anomaly","Normal")</f>
        <v>Anomaly</v>
      </c>
      <c r="R467" s="5">
        <f>SUMIFS(Table4[BudgetAmount],Table4[ActualExpense],"pending")</f>
        <v>0</v>
      </c>
    </row>
    <row r="468" spans="1:18">
      <c r="A468" t="s">
        <v>888</v>
      </c>
      <c r="B468" t="s">
        <v>889</v>
      </c>
      <c r="C468" t="s">
        <v>45</v>
      </c>
      <c r="D468" t="s">
        <v>40</v>
      </c>
      <c r="E468" t="s">
        <v>71</v>
      </c>
      <c r="F468" t="s">
        <v>72</v>
      </c>
      <c r="G468" s="2">
        <v>294899</v>
      </c>
      <c r="H468" s="1">
        <v>318705</v>
      </c>
      <c r="I468">
        <v>23806</v>
      </c>
      <c r="J468" t="s">
        <v>19</v>
      </c>
      <c r="K468" t="s">
        <v>20</v>
      </c>
      <c r="L468" t="s">
        <v>49</v>
      </c>
      <c r="M468" t="s">
        <v>42</v>
      </c>
      <c r="N468" s="5">
        <f>Table4[[#This Row],[BudgetAmount]]/Table4[[#This Row],[Variance]]</f>
        <v>12.387591363521802</v>
      </c>
      <c r="O468" s="5" t="str">
        <f>TEXT(Table4[[#This Row],[Date]],"mmm")</f>
        <v>Jun</v>
      </c>
      <c r="P468" s="5">
        <f>ABS(Table4[[#This Row],[Variance]])</f>
        <v>23806</v>
      </c>
      <c r="Q468" s="5" t="str">
        <f>IF(Table4[[#This Row],[AB Variances ]]&gt;$P$2,"Anomaly","Normal")</f>
        <v>Anomaly</v>
      </c>
      <c r="R468" s="5">
        <f>SUMIFS(Table4[BudgetAmount],Table4[ActualExpense],"pending")</f>
        <v>0</v>
      </c>
    </row>
    <row r="469" spans="1:18">
      <c r="A469" t="s">
        <v>890</v>
      </c>
      <c r="B469" t="s">
        <v>891</v>
      </c>
      <c r="C469" t="s">
        <v>64</v>
      </c>
      <c r="D469" t="s">
        <v>40</v>
      </c>
      <c r="E469" t="s">
        <v>71</v>
      </c>
      <c r="F469" t="s">
        <v>72</v>
      </c>
      <c r="G469" s="2">
        <v>476136</v>
      </c>
      <c r="H469" s="1">
        <v>516001</v>
      </c>
      <c r="I469">
        <v>39865</v>
      </c>
      <c r="J469" t="s">
        <v>19</v>
      </c>
      <c r="K469" t="s">
        <v>29</v>
      </c>
      <c r="L469" t="s">
        <v>68</v>
      </c>
      <c r="M469" t="s">
        <v>22</v>
      </c>
      <c r="N469" s="5">
        <f>Table4[[#This Row],[BudgetAmount]]/Table4[[#This Row],[Variance]]</f>
        <v>11.943710021321962</v>
      </c>
      <c r="O469" s="5" t="str">
        <f>TEXT(Table4[[#This Row],[Date]],"mmm")</f>
        <v>Mar</v>
      </c>
      <c r="P469" s="5">
        <f>ABS(Table4[[#This Row],[Variance]])</f>
        <v>39865</v>
      </c>
      <c r="Q469" s="5" t="str">
        <f>IF(Table4[[#This Row],[AB Variances ]]&gt;$P$2,"Anomaly","Normal")</f>
        <v>Anomaly</v>
      </c>
      <c r="R469" s="5">
        <f>SUMIFS(Table4[BudgetAmount],Table4[ActualExpense],"pending")</f>
        <v>0</v>
      </c>
    </row>
    <row r="470" spans="1:18">
      <c r="A470" t="s">
        <v>892</v>
      </c>
      <c r="B470" t="s">
        <v>887</v>
      </c>
      <c r="C470" t="s">
        <v>15</v>
      </c>
      <c r="D470" t="s">
        <v>26</v>
      </c>
      <c r="E470" t="s">
        <v>71</v>
      </c>
      <c r="F470" t="s">
        <v>72</v>
      </c>
      <c r="G470" s="2">
        <v>366424</v>
      </c>
      <c r="H470" s="1">
        <v>273280</v>
      </c>
      <c r="I470">
        <v>-93144</v>
      </c>
      <c r="J470" t="s">
        <v>54</v>
      </c>
      <c r="K470" t="s">
        <v>29</v>
      </c>
      <c r="L470" t="s">
        <v>30</v>
      </c>
      <c r="M470" t="s">
        <v>42</v>
      </c>
      <c r="N470" s="5">
        <f>Table4[[#This Row],[BudgetAmount]]/Table4[[#This Row],[Variance]]</f>
        <v>-3.9339517306536118</v>
      </c>
      <c r="O470" s="5" t="str">
        <f>TEXT(Table4[[#This Row],[Date]],"mmm")</f>
        <v>Jun</v>
      </c>
      <c r="P470" s="5">
        <f>ABS(Table4[[#This Row],[Variance]])</f>
        <v>93144</v>
      </c>
      <c r="Q470" s="5" t="str">
        <f>IF(Table4[[#This Row],[AB Variances ]]&gt;$P$2,"Anomaly","Normal")</f>
        <v>Anomaly</v>
      </c>
      <c r="R470" s="5">
        <f>SUMIFS(Table4[BudgetAmount],Table4[ActualExpense],"pending")</f>
        <v>0</v>
      </c>
    </row>
    <row r="471" spans="1:18">
      <c r="A471" t="s">
        <v>893</v>
      </c>
      <c r="B471" t="s">
        <v>699</v>
      </c>
      <c r="C471" t="s">
        <v>35</v>
      </c>
      <c r="D471" t="s">
        <v>26</v>
      </c>
      <c r="E471" t="s">
        <v>17</v>
      </c>
      <c r="F471" t="s">
        <v>18</v>
      </c>
      <c r="G471" s="2">
        <v>291963</v>
      </c>
      <c r="H471" s="1">
        <v>229985</v>
      </c>
      <c r="I471">
        <v>-61978</v>
      </c>
      <c r="J471" t="s">
        <v>54</v>
      </c>
      <c r="K471" t="s">
        <v>67</v>
      </c>
      <c r="L471" t="s">
        <v>30</v>
      </c>
      <c r="M471" t="s">
        <v>22</v>
      </c>
      <c r="N471" s="5">
        <f>Table4[[#This Row],[BudgetAmount]]/Table4[[#This Row],[Variance]]</f>
        <v>-4.7107522023943984</v>
      </c>
      <c r="O471" s="5" t="str">
        <f>TEXT(Table4[[#This Row],[Date]],"mmm")</f>
        <v>Aug</v>
      </c>
      <c r="P471" s="5">
        <f>ABS(Table4[[#This Row],[Variance]])</f>
        <v>61978</v>
      </c>
      <c r="Q471" s="5" t="str">
        <f>IF(Table4[[#This Row],[AB Variances ]]&gt;$P$2,"Anomaly","Normal")</f>
        <v>Anomaly</v>
      </c>
      <c r="R471" s="5">
        <f>SUMIFS(Table4[BudgetAmount],Table4[ActualExpense],"pending")</f>
        <v>0</v>
      </c>
    </row>
    <row r="472" spans="1:18">
      <c r="A472" t="s">
        <v>894</v>
      </c>
      <c r="B472" t="s">
        <v>895</v>
      </c>
      <c r="C472" t="s">
        <v>15</v>
      </c>
      <c r="D472" t="s">
        <v>40</v>
      </c>
      <c r="E472" t="s">
        <v>85</v>
      </c>
      <c r="F472" t="s">
        <v>86</v>
      </c>
      <c r="G472" s="2">
        <v>105745</v>
      </c>
      <c r="H472" s="1">
        <v>118718</v>
      </c>
      <c r="I472">
        <v>12973</v>
      </c>
      <c r="J472" t="s">
        <v>37</v>
      </c>
      <c r="K472" t="s">
        <v>67</v>
      </c>
      <c r="L472" t="s">
        <v>68</v>
      </c>
      <c r="M472" t="s">
        <v>22</v>
      </c>
      <c r="N472" s="5">
        <f>Table4[[#This Row],[BudgetAmount]]/Table4[[#This Row],[Variance]]</f>
        <v>8.1511601017497881</v>
      </c>
      <c r="O472" s="5" t="str">
        <f>TEXT(Table4[[#This Row],[Date]],"mmm")</f>
        <v>May</v>
      </c>
      <c r="P472" s="5">
        <f>ABS(Table4[[#This Row],[Variance]])</f>
        <v>12973</v>
      </c>
      <c r="Q472" s="5" t="str">
        <f>IF(Table4[[#This Row],[AB Variances ]]&gt;$P$2,"Anomaly","Normal")</f>
        <v>Normal</v>
      </c>
      <c r="R472" s="5">
        <f>SUMIFS(Table4[BudgetAmount],Table4[ActualExpense],"pending")</f>
        <v>0</v>
      </c>
    </row>
    <row r="473" spans="1:18">
      <c r="A473" t="s">
        <v>896</v>
      </c>
      <c r="B473" t="s">
        <v>760</v>
      </c>
      <c r="C473" t="s">
        <v>35</v>
      </c>
      <c r="D473" t="s">
        <v>34</v>
      </c>
      <c r="E473" t="s">
        <v>27</v>
      </c>
      <c r="F473" t="s">
        <v>28</v>
      </c>
      <c r="G473" s="2">
        <v>98985</v>
      </c>
      <c r="H473" s="1">
        <v>124210</v>
      </c>
      <c r="I473">
        <v>25225</v>
      </c>
      <c r="J473" t="s">
        <v>37</v>
      </c>
      <c r="K473" t="s">
        <v>20</v>
      </c>
      <c r="L473" t="s">
        <v>49</v>
      </c>
      <c r="M473" t="s">
        <v>22</v>
      </c>
      <c r="N473" s="5">
        <f>Table4[[#This Row],[BudgetAmount]]/Table4[[#This Row],[Variance]]</f>
        <v>3.9240832507433101</v>
      </c>
      <c r="O473" s="5" t="str">
        <f>TEXT(Table4[[#This Row],[Date]],"mmm")</f>
        <v>Aug</v>
      </c>
      <c r="P473" s="5">
        <f>ABS(Table4[[#This Row],[Variance]])</f>
        <v>25225</v>
      </c>
      <c r="Q473" s="5" t="str">
        <f>IF(Table4[[#This Row],[AB Variances ]]&gt;$P$2,"Anomaly","Normal")</f>
        <v>Anomaly</v>
      </c>
      <c r="R473" s="5">
        <f>SUMIFS(Table4[BudgetAmount],Table4[ActualExpense],"pending")</f>
        <v>0</v>
      </c>
    </row>
    <row r="474" spans="1:18">
      <c r="A474" t="s">
        <v>897</v>
      </c>
      <c r="B474" t="s">
        <v>898</v>
      </c>
      <c r="C474" t="s">
        <v>45</v>
      </c>
      <c r="D474" t="s">
        <v>16</v>
      </c>
      <c r="E474" t="s">
        <v>46</v>
      </c>
      <c r="F474" t="s">
        <v>47</v>
      </c>
      <c r="G474" s="2">
        <v>50467</v>
      </c>
      <c r="H474" s="1">
        <v>35746</v>
      </c>
      <c r="I474">
        <v>-14721</v>
      </c>
      <c r="J474" t="s">
        <v>37</v>
      </c>
      <c r="K474" t="s">
        <v>48</v>
      </c>
      <c r="L474" t="s">
        <v>68</v>
      </c>
      <c r="M474" t="s">
        <v>42</v>
      </c>
      <c r="N474" s="5">
        <f>Table4[[#This Row],[BudgetAmount]]/Table4[[#This Row],[Variance]]</f>
        <v>-3.4282317777324911</v>
      </c>
      <c r="O474" s="5" t="str">
        <f>TEXT(Table4[[#This Row],[Date]],"mmm")</f>
        <v>May</v>
      </c>
      <c r="P474" s="5">
        <f>ABS(Table4[[#This Row],[Variance]])</f>
        <v>14721</v>
      </c>
      <c r="Q474" s="5" t="str">
        <f>IF(Table4[[#This Row],[AB Variances ]]&gt;$P$2,"Anomaly","Normal")</f>
        <v>Normal</v>
      </c>
      <c r="R474" s="5">
        <f>SUMIFS(Table4[BudgetAmount],Table4[ActualExpense],"pending")</f>
        <v>0</v>
      </c>
    </row>
    <row r="475" spans="1:18">
      <c r="A475" t="s">
        <v>899</v>
      </c>
      <c r="B475" t="s">
        <v>223</v>
      </c>
      <c r="C475" t="s">
        <v>33</v>
      </c>
      <c r="D475" t="s">
        <v>16</v>
      </c>
      <c r="E475" t="s">
        <v>71</v>
      </c>
      <c r="F475" t="s">
        <v>72</v>
      </c>
      <c r="G475" s="2">
        <v>265498</v>
      </c>
      <c r="H475" s="1">
        <v>269711</v>
      </c>
      <c r="I475">
        <v>4213</v>
      </c>
      <c r="J475" t="s">
        <v>54</v>
      </c>
      <c r="K475" t="s">
        <v>41</v>
      </c>
      <c r="L475" t="s">
        <v>49</v>
      </c>
      <c r="M475" t="s">
        <v>42</v>
      </c>
      <c r="N475" s="5">
        <f>Table4[[#This Row],[BudgetAmount]]/Table4[[#This Row],[Variance]]</f>
        <v>63.018751483503443</v>
      </c>
      <c r="O475" s="5" t="str">
        <f>TEXT(Table4[[#This Row],[Date]],"mmm")</f>
        <v>Nov</v>
      </c>
      <c r="P475" s="5">
        <f>ABS(Table4[[#This Row],[Variance]])</f>
        <v>4213</v>
      </c>
      <c r="Q475" s="5" t="str">
        <f>IF(Table4[[#This Row],[AB Variances ]]&gt;$P$2,"Anomaly","Normal")</f>
        <v>Normal</v>
      </c>
      <c r="R475" s="5">
        <f>SUMIFS(Table4[BudgetAmount],Table4[ActualExpense],"pending")</f>
        <v>0</v>
      </c>
    </row>
    <row r="476" spans="1:18">
      <c r="A476" t="s">
        <v>900</v>
      </c>
      <c r="B476" t="s">
        <v>439</v>
      </c>
      <c r="C476" t="s">
        <v>64</v>
      </c>
      <c r="D476" t="s">
        <v>16</v>
      </c>
      <c r="E476" t="s">
        <v>85</v>
      </c>
      <c r="F476" t="s">
        <v>86</v>
      </c>
      <c r="G476" s="2">
        <v>287177</v>
      </c>
      <c r="H476" s="1">
        <v>400133</v>
      </c>
      <c r="I476">
        <v>112956</v>
      </c>
      <c r="J476" t="s">
        <v>19</v>
      </c>
      <c r="K476" t="s">
        <v>29</v>
      </c>
      <c r="L476" t="s">
        <v>68</v>
      </c>
      <c r="M476" t="s">
        <v>42</v>
      </c>
      <c r="N476" s="5">
        <f>Table4[[#This Row],[BudgetAmount]]/Table4[[#This Row],[Variance]]</f>
        <v>2.5423793335458056</v>
      </c>
      <c r="O476" s="5" t="str">
        <f>TEXT(Table4[[#This Row],[Date]],"mmm")</f>
        <v>Jun</v>
      </c>
      <c r="P476" s="5">
        <f>ABS(Table4[[#This Row],[Variance]])</f>
        <v>112956</v>
      </c>
      <c r="Q476" s="5" t="str">
        <f>IF(Table4[[#This Row],[AB Variances ]]&gt;$P$2,"Anomaly","Normal")</f>
        <v>Anomaly</v>
      </c>
      <c r="R476" s="5">
        <f>SUMIFS(Table4[BudgetAmount],Table4[ActualExpense],"pending")</f>
        <v>0</v>
      </c>
    </row>
    <row r="477" spans="1:18">
      <c r="A477" t="s">
        <v>901</v>
      </c>
      <c r="B477" t="s">
        <v>902</v>
      </c>
      <c r="C477" t="s">
        <v>45</v>
      </c>
      <c r="D477" t="s">
        <v>61</v>
      </c>
      <c r="E477" t="s">
        <v>35</v>
      </c>
      <c r="F477" t="s">
        <v>36</v>
      </c>
      <c r="G477" s="2">
        <v>97379</v>
      </c>
      <c r="H477" s="1">
        <v>124623</v>
      </c>
      <c r="I477">
        <v>27244</v>
      </c>
      <c r="J477" t="s">
        <v>37</v>
      </c>
      <c r="K477" t="s">
        <v>48</v>
      </c>
      <c r="L477" t="s">
        <v>21</v>
      </c>
      <c r="M477" t="s">
        <v>42</v>
      </c>
      <c r="N477" s="5">
        <f>Table4[[#This Row],[BudgetAmount]]/Table4[[#This Row],[Variance]]</f>
        <v>3.5743282924680662</v>
      </c>
      <c r="O477" s="5" t="str">
        <f>TEXT(Table4[[#This Row],[Date]],"mmm")</f>
        <v>Jul</v>
      </c>
      <c r="P477" s="5">
        <f>ABS(Table4[[#This Row],[Variance]])</f>
        <v>27244</v>
      </c>
      <c r="Q477" s="5" t="str">
        <f>IF(Table4[[#This Row],[AB Variances ]]&gt;$P$2,"Anomaly","Normal")</f>
        <v>Anomaly</v>
      </c>
      <c r="R477" s="5">
        <f>SUMIFS(Table4[BudgetAmount],Table4[ActualExpense],"pending")</f>
        <v>0</v>
      </c>
    </row>
    <row r="478" spans="1:18">
      <c r="A478" t="s">
        <v>903</v>
      </c>
      <c r="B478" t="s">
        <v>904</v>
      </c>
      <c r="C478" t="s">
        <v>45</v>
      </c>
      <c r="D478" t="s">
        <v>40</v>
      </c>
      <c r="E478" t="s">
        <v>35</v>
      </c>
      <c r="F478" t="s">
        <v>36</v>
      </c>
      <c r="G478" s="2">
        <v>220615</v>
      </c>
      <c r="H478" s="1">
        <v>225443</v>
      </c>
      <c r="I478">
        <v>4828</v>
      </c>
      <c r="J478" t="s">
        <v>19</v>
      </c>
      <c r="K478" t="s">
        <v>48</v>
      </c>
      <c r="L478" t="s">
        <v>49</v>
      </c>
      <c r="M478" t="s">
        <v>42</v>
      </c>
      <c r="N478" s="5">
        <f>Table4[[#This Row],[BudgetAmount]]/Table4[[#This Row],[Variance]]</f>
        <v>45.694904722452364</v>
      </c>
      <c r="O478" s="5" t="str">
        <f>TEXT(Table4[[#This Row],[Date]],"mmm")</f>
        <v>Nov</v>
      </c>
      <c r="P478" s="5">
        <f>ABS(Table4[[#This Row],[Variance]])</f>
        <v>4828</v>
      </c>
      <c r="Q478" s="5" t="str">
        <f>IF(Table4[[#This Row],[AB Variances ]]&gt;$P$2,"Anomaly","Normal")</f>
        <v>Normal</v>
      </c>
      <c r="R478" s="5">
        <f>SUMIFS(Table4[BudgetAmount],Table4[ActualExpense],"pending")</f>
        <v>0</v>
      </c>
    </row>
    <row r="479" spans="1:18">
      <c r="A479" t="s">
        <v>905</v>
      </c>
      <c r="B479" t="s">
        <v>906</v>
      </c>
      <c r="C479" t="s">
        <v>33</v>
      </c>
      <c r="D479" t="s">
        <v>40</v>
      </c>
      <c r="E479" t="s">
        <v>27</v>
      </c>
      <c r="F479" t="s">
        <v>28</v>
      </c>
      <c r="G479" s="2">
        <v>281598</v>
      </c>
      <c r="H479" s="1">
        <v>291762</v>
      </c>
      <c r="I479">
        <v>10164</v>
      </c>
      <c r="J479" t="s">
        <v>19</v>
      </c>
      <c r="K479" t="s">
        <v>67</v>
      </c>
      <c r="L479" t="s">
        <v>30</v>
      </c>
      <c r="M479" t="s">
        <v>22</v>
      </c>
      <c r="N479" s="5">
        <f>Table4[[#This Row],[BudgetAmount]]/Table4[[#This Row],[Variance]]</f>
        <v>27.70543093270366</v>
      </c>
      <c r="O479" s="5" t="str">
        <f>TEXT(Table4[[#This Row],[Date]],"mmm")</f>
        <v>Aug</v>
      </c>
      <c r="P479" s="5">
        <f>ABS(Table4[[#This Row],[Variance]])</f>
        <v>10164</v>
      </c>
      <c r="Q479" s="5" t="str">
        <f>IF(Table4[[#This Row],[AB Variances ]]&gt;$P$2,"Anomaly","Normal")</f>
        <v>Normal</v>
      </c>
      <c r="R479" s="5">
        <f>SUMIFS(Table4[BudgetAmount],Table4[ActualExpense],"pending")</f>
        <v>0</v>
      </c>
    </row>
    <row r="480" spans="1:18">
      <c r="A480" t="s">
        <v>907</v>
      </c>
      <c r="B480" t="s">
        <v>908</v>
      </c>
      <c r="C480" t="s">
        <v>33</v>
      </c>
      <c r="D480" t="s">
        <v>61</v>
      </c>
      <c r="E480" t="s">
        <v>27</v>
      </c>
      <c r="F480" t="s">
        <v>28</v>
      </c>
      <c r="G480" s="2">
        <v>267909</v>
      </c>
      <c r="H480" s="1">
        <v>359088</v>
      </c>
      <c r="I480">
        <v>91179</v>
      </c>
      <c r="J480" t="s">
        <v>54</v>
      </c>
      <c r="K480" t="s">
        <v>20</v>
      </c>
      <c r="L480" t="s">
        <v>68</v>
      </c>
      <c r="M480" t="s">
        <v>22</v>
      </c>
      <c r="N480" s="5">
        <f>Table4[[#This Row],[BudgetAmount]]/Table4[[#This Row],[Variance]]</f>
        <v>2.9382752607508307</v>
      </c>
      <c r="O480" s="5" t="str">
        <f>TEXT(Table4[[#This Row],[Date]],"mmm")</f>
        <v>Mar</v>
      </c>
      <c r="P480" s="5">
        <f>ABS(Table4[[#This Row],[Variance]])</f>
        <v>91179</v>
      </c>
      <c r="Q480" s="5" t="str">
        <f>IF(Table4[[#This Row],[AB Variances ]]&gt;$P$2,"Anomaly","Normal")</f>
        <v>Anomaly</v>
      </c>
      <c r="R480" s="5">
        <f>SUMIFS(Table4[BudgetAmount],Table4[ActualExpense],"pending")</f>
        <v>0</v>
      </c>
    </row>
    <row r="481" spans="1:18">
      <c r="A481" t="s">
        <v>909</v>
      </c>
      <c r="B481" t="s">
        <v>910</v>
      </c>
      <c r="C481" t="s">
        <v>33</v>
      </c>
      <c r="D481" t="s">
        <v>16</v>
      </c>
      <c r="E481" t="s">
        <v>17</v>
      </c>
      <c r="F481" t="s">
        <v>18</v>
      </c>
      <c r="G481" s="2">
        <v>144131</v>
      </c>
      <c r="H481" s="1">
        <v>117232</v>
      </c>
      <c r="I481">
        <v>-26899</v>
      </c>
      <c r="J481" t="s">
        <v>54</v>
      </c>
      <c r="K481" t="s">
        <v>48</v>
      </c>
      <c r="L481" t="s">
        <v>21</v>
      </c>
      <c r="M481" t="s">
        <v>22</v>
      </c>
      <c r="N481" s="5">
        <f>Table4[[#This Row],[BudgetAmount]]/Table4[[#This Row],[Variance]]</f>
        <v>-5.3582289304435111</v>
      </c>
      <c r="O481" s="5" t="str">
        <f>TEXT(Table4[[#This Row],[Date]],"mmm")</f>
        <v>Apr</v>
      </c>
      <c r="P481" s="5">
        <f>ABS(Table4[[#This Row],[Variance]])</f>
        <v>26899</v>
      </c>
      <c r="Q481" s="5" t="str">
        <f>IF(Table4[[#This Row],[AB Variances ]]&gt;$P$2,"Anomaly","Normal")</f>
        <v>Anomaly</v>
      </c>
      <c r="R481" s="5">
        <f>SUMIFS(Table4[BudgetAmount],Table4[ActualExpense],"pending")</f>
        <v>0</v>
      </c>
    </row>
    <row r="482" spans="1:18">
      <c r="A482" t="s">
        <v>911</v>
      </c>
      <c r="B482" t="s">
        <v>912</v>
      </c>
      <c r="C482" t="s">
        <v>35</v>
      </c>
      <c r="D482" t="s">
        <v>40</v>
      </c>
      <c r="E482" t="s">
        <v>35</v>
      </c>
      <c r="F482" t="s">
        <v>36</v>
      </c>
      <c r="G482" s="2">
        <v>389184</v>
      </c>
      <c r="H482" s="1">
        <v>285665</v>
      </c>
      <c r="I482">
        <v>-103519</v>
      </c>
      <c r="J482" t="s">
        <v>54</v>
      </c>
      <c r="K482" t="s">
        <v>48</v>
      </c>
      <c r="L482" t="s">
        <v>68</v>
      </c>
      <c r="M482" t="s">
        <v>22</v>
      </c>
      <c r="N482" s="5">
        <f>Table4[[#This Row],[BudgetAmount]]/Table4[[#This Row],[Variance]]</f>
        <v>-3.7595417266395539</v>
      </c>
      <c r="O482" s="5" t="str">
        <f>TEXT(Table4[[#This Row],[Date]],"mmm")</f>
        <v>May</v>
      </c>
      <c r="P482" s="5">
        <f>ABS(Table4[[#This Row],[Variance]])</f>
        <v>103519</v>
      </c>
      <c r="Q482" s="5" t="str">
        <f>IF(Table4[[#This Row],[AB Variances ]]&gt;$P$2,"Anomaly","Normal")</f>
        <v>Anomaly</v>
      </c>
      <c r="R482" s="5">
        <f>SUMIFS(Table4[BudgetAmount],Table4[ActualExpense],"pending")</f>
        <v>0</v>
      </c>
    </row>
    <row r="483" spans="1:18">
      <c r="A483" t="s">
        <v>913</v>
      </c>
      <c r="B483" t="s">
        <v>914</v>
      </c>
      <c r="C483" t="s">
        <v>15</v>
      </c>
      <c r="D483" t="s">
        <v>40</v>
      </c>
      <c r="E483" t="s">
        <v>46</v>
      </c>
      <c r="F483" t="s">
        <v>47</v>
      </c>
      <c r="G483" s="2">
        <v>115842</v>
      </c>
      <c r="H483" s="1">
        <v>102445</v>
      </c>
      <c r="I483">
        <v>-13397</v>
      </c>
      <c r="J483" t="s">
        <v>19</v>
      </c>
      <c r="K483" t="s">
        <v>67</v>
      </c>
      <c r="L483" t="s">
        <v>68</v>
      </c>
      <c r="M483" t="s">
        <v>22</v>
      </c>
      <c r="N483" s="5">
        <f>Table4[[#This Row],[BudgetAmount]]/Table4[[#This Row],[Variance]]</f>
        <v>-8.646861237590505</v>
      </c>
      <c r="O483" s="5" t="str">
        <f>TEXT(Table4[[#This Row],[Date]],"mmm")</f>
        <v>Jun</v>
      </c>
      <c r="P483" s="5">
        <f>ABS(Table4[[#This Row],[Variance]])</f>
        <v>13397</v>
      </c>
      <c r="Q483" s="5" t="str">
        <f>IF(Table4[[#This Row],[AB Variances ]]&gt;$P$2,"Anomaly","Normal")</f>
        <v>Normal</v>
      </c>
      <c r="R483" s="5">
        <f>SUMIFS(Table4[BudgetAmount],Table4[ActualExpense],"pending")</f>
        <v>0</v>
      </c>
    </row>
    <row r="484" spans="1:18">
      <c r="A484" t="s">
        <v>915</v>
      </c>
      <c r="B484" t="s">
        <v>515</v>
      </c>
      <c r="C484" t="s">
        <v>35</v>
      </c>
      <c r="D484" t="s">
        <v>61</v>
      </c>
      <c r="E484" t="s">
        <v>46</v>
      </c>
      <c r="F484" t="s">
        <v>47</v>
      </c>
      <c r="G484" s="2">
        <v>248790</v>
      </c>
      <c r="H484" s="1">
        <v>296706</v>
      </c>
      <c r="I484">
        <v>47916</v>
      </c>
      <c r="J484" t="s">
        <v>37</v>
      </c>
      <c r="K484" t="s">
        <v>67</v>
      </c>
      <c r="L484" t="s">
        <v>30</v>
      </c>
      <c r="M484" t="s">
        <v>42</v>
      </c>
      <c r="N484" s="5">
        <f>Table4[[#This Row],[BudgetAmount]]/Table4[[#This Row],[Variance]]</f>
        <v>5.1922113698973202</v>
      </c>
      <c r="O484" s="5" t="str">
        <f>TEXT(Table4[[#This Row],[Date]],"mmm")</f>
        <v>May</v>
      </c>
      <c r="P484" s="5">
        <f>ABS(Table4[[#This Row],[Variance]])</f>
        <v>47916</v>
      </c>
      <c r="Q484" s="5" t="str">
        <f>IF(Table4[[#This Row],[AB Variances ]]&gt;$P$2,"Anomaly","Normal")</f>
        <v>Anomaly</v>
      </c>
      <c r="R484" s="5">
        <f>SUMIFS(Table4[BudgetAmount],Table4[ActualExpense],"pending")</f>
        <v>0</v>
      </c>
    </row>
    <row r="485" spans="1:18">
      <c r="A485" t="s">
        <v>916</v>
      </c>
      <c r="B485" t="s">
        <v>917</v>
      </c>
      <c r="C485" t="s">
        <v>15</v>
      </c>
      <c r="D485" t="s">
        <v>26</v>
      </c>
      <c r="E485" t="s">
        <v>35</v>
      </c>
      <c r="F485" t="s">
        <v>36</v>
      </c>
      <c r="G485" s="2">
        <v>422765</v>
      </c>
      <c r="H485" s="1">
        <v>551880</v>
      </c>
      <c r="I485">
        <v>129115</v>
      </c>
      <c r="J485" t="s">
        <v>37</v>
      </c>
      <c r="K485" t="s">
        <v>20</v>
      </c>
      <c r="L485" t="s">
        <v>49</v>
      </c>
      <c r="M485" t="s">
        <v>22</v>
      </c>
      <c r="N485" s="5">
        <f>Table4[[#This Row],[BudgetAmount]]/Table4[[#This Row],[Variance]]</f>
        <v>3.274329086473299</v>
      </c>
      <c r="O485" s="5" t="str">
        <f>TEXT(Table4[[#This Row],[Date]],"mmm")</f>
        <v>Jan</v>
      </c>
      <c r="P485" s="5">
        <f>ABS(Table4[[#This Row],[Variance]])</f>
        <v>129115</v>
      </c>
      <c r="Q485" s="5" t="str">
        <f>IF(Table4[[#This Row],[AB Variances ]]&gt;$P$2,"Anomaly","Normal")</f>
        <v>Anomaly</v>
      </c>
      <c r="R485" s="5">
        <f>SUMIFS(Table4[BudgetAmount],Table4[ActualExpense],"pending")</f>
        <v>0</v>
      </c>
    </row>
    <row r="486" spans="1:18">
      <c r="A486" t="s">
        <v>918</v>
      </c>
      <c r="B486" t="s">
        <v>919</v>
      </c>
      <c r="C486" t="s">
        <v>15</v>
      </c>
      <c r="D486" t="s">
        <v>40</v>
      </c>
      <c r="E486" t="s">
        <v>46</v>
      </c>
      <c r="F486" t="s">
        <v>47</v>
      </c>
      <c r="G486" s="2">
        <v>182451</v>
      </c>
      <c r="H486" s="1">
        <v>192135</v>
      </c>
      <c r="I486">
        <v>9684</v>
      </c>
      <c r="J486" t="s">
        <v>19</v>
      </c>
      <c r="K486" t="s">
        <v>29</v>
      </c>
      <c r="L486" t="s">
        <v>49</v>
      </c>
      <c r="M486" t="s">
        <v>22</v>
      </c>
      <c r="N486" s="5">
        <f>Table4[[#This Row],[BudgetAmount]]/Table4[[#This Row],[Variance]]</f>
        <v>18.840458488228006</v>
      </c>
      <c r="O486" s="5" t="str">
        <f>TEXT(Table4[[#This Row],[Date]],"mmm")</f>
        <v>Mar</v>
      </c>
      <c r="P486" s="5">
        <f>ABS(Table4[[#This Row],[Variance]])</f>
        <v>9684</v>
      </c>
      <c r="Q486" s="5" t="str">
        <f>IF(Table4[[#This Row],[AB Variances ]]&gt;$P$2,"Anomaly","Normal")</f>
        <v>Normal</v>
      </c>
      <c r="R486" s="5">
        <f>SUMIFS(Table4[BudgetAmount],Table4[ActualExpense],"pending")</f>
        <v>0</v>
      </c>
    </row>
    <row r="487" spans="1:18">
      <c r="A487" t="s">
        <v>920</v>
      </c>
      <c r="B487" t="s">
        <v>568</v>
      </c>
      <c r="C487" t="s">
        <v>33</v>
      </c>
      <c r="D487" t="s">
        <v>61</v>
      </c>
      <c r="E487" t="s">
        <v>35</v>
      </c>
      <c r="F487" t="s">
        <v>36</v>
      </c>
      <c r="G487" s="2">
        <v>160428</v>
      </c>
      <c r="H487" s="1">
        <v>118481</v>
      </c>
      <c r="I487">
        <v>-41947</v>
      </c>
      <c r="J487" t="s">
        <v>54</v>
      </c>
      <c r="K487" t="s">
        <v>41</v>
      </c>
      <c r="L487" t="s">
        <v>21</v>
      </c>
      <c r="M487" t="s">
        <v>22</v>
      </c>
      <c r="N487" s="5">
        <f>Table4[[#This Row],[BudgetAmount]]/Table4[[#This Row],[Variance]]</f>
        <v>-3.8245404915726988</v>
      </c>
      <c r="O487" s="5" t="str">
        <f>TEXT(Table4[[#This Row],[Date]],"mmm")</f>
        <v>Nov</v>
      </c>
      <c r="P487" s="5">
        <f>ABS(Table4[[#This Row],[Variance]])</f>
        <v>41947</v>
      </c>
      <c r="Q487" s="5" t="str">
        <f>IF(Table4[[#This Row],[AB Variances ]]&gt;$P$2,"Anomaly","Normal")</f>
        <v>Anomaly</v>
      </c>
      <c r="R487" s="5">
        <f>SUMIFS(Table4[BudgetAmount],Table4[ActualExpense],"pending")</f>
        <v>0</v>
      </c>
    </row>
    <row r="488" spans="1:18">
      <c r="A488" t="s">
        <v>921</v>
      </c>
      <c r="B488" t="s">
        <v>371</v>
      </c>
      <c r="C488" t="s">
        <v>35</v>
      </c>
      <c r="D488" t="s">
        <v>34</v>
      </c>
      <c r="E488" t="s">
        <v>17</v>
      </c>
      <c r="F488" t="s">
        <v>18</v>
      </c>
      <c r="G488" s="2">
        <v>487854</v>
      </c>
      <c r="H488" s="1">
        <v>414647</v>
      </c>
      <c r="I488">
        <v>-73207</v>
      </c>
      <c r="J488" t="s">
        <v>37</v>
      </c>
      <c r="K488" t="s">
        <v>67</v>
      </c>
      <c r="L488" t="s">
        <v>21</v>
      </c>
      <c r="M488" t="s">
        <v>42</v>
      </c>
      <c r="N488" s="5">
        <f>Table4[[#This Row],[BudgetAmount]]/Table4[[#This Row],[Variance]]</f>
        <v>-6.6640348600543664</v>
      </c>
      <c r="O488" s="5" t="str">
        <f>TEXT(Table4[[#This Row],[Date]],"mmm")</f>
        <v>Feb</v>
      </c>
      <c r="P488" s="5">
        <f>ABS(Table4[[#This Row],[Variance]])</f>
        <v>73207</v>
      </c>
      <c r="Q488" s="5" t="str">
        <f>IF(Table4[[#This Row],[AB Variances ]]&gt;$P$2,"Anomaly","Normal")</f>
        <v>Anomaly</v>
      </c>
      <c r="R488" s="5">
        <f>SUMIFS(Table4[BudgetAmount],Table4[ActualExpense],"pending")</f>
        <v>0</v>
      </c>
    </row>
    <row r="489" spans="1:18">
      <c r="A489" t="s">
        <v>922</v>
      </c>
      <c r="B489" t="s">
        <v>586</v>
      </c>
      <c r="C489" t="s">
        <v>15</v>
      </c>
      <c r="D489" t="s">
        <v>16</v>
      </c>
      <c r="E489" t="s">
        <v>46</v>
      </c>
      <c r="F489" t="s">
        <v>47</v>
      </c>
      <c r="G489" s="2">
        <v>493010</v>
      </c>
      <c r="H489" s="1">
        <v>589077</v>
      </c>
      <c r="I489">
        <v>96067</v>
      </c>
      <c r="J489" t="s">
        <v>54</v>
      </c>
      <c r="K489" t="s">
        <v>41</v>
      </c>
      <c r="L489" t="s">
        <v>21</v>
      </c>
      <c r="M489" t="s">
        <v>22</v>
      </c>
      <c r="N489" s="5">
        <f>Table4[[#This Row],[BudgetAmount]]/Table4[[#This Row],[Variance]]</f>
        <v>5.1319391674560464</v>
      </c>
      <c r="O489" s="5" t="str">
        <f>TEXT(Table4[[#This Row],[Date]],"mmm")</f>
        <v>Mar</v>
      </c>
      <c r="P489" s="5">
        <f>ABS(Table4[[#This Row],[Variance]])</f>
        <v>96067</v>
      </c>
      <c r="Q489" s="5" t="str">
        <f>IF(Table4[[#This Row],[AB Variances ]]&gt;$P$2,"Anomaly","Normal")</f>
        <v>Anomaly</v>
      </c>
      <c r="R489" s="5">
        <f>SUMIFS(Table4[BudgetAmount],Table4[ActualExpense],"pending")</f>
        <v>0</v>
      </c>
    </row>
    <row r="490" spans="1:18">
      <c r="A490" t="s">
        <v>923</v>
      </c>
      <c r="B490" t="s">
        <v>924</v>
      </c>
      <c r="C490" t="s">
        <v>25</v>
      </c>
      <c r="D490" t="s">
        <v>40</v>
      </c>
      <c r="E490" t="s">
        <v>85</v>
      </c>
      <c r="F490" t="s">
        <v>86</v>
      </c>
      <c r="G490" s="2">
        <v>284663</v>
      </c>
      <c r="H490" s="1">
        <v>270811</v>
      </c>
      <c r="I490">
        <v>-13852</v>
      </c>
      <c r="J490" t="s">
        <v>37</v>
      </c>
      <c r="K490" t="s">
        <v>29</v>
      </c>
      <c r="L490" t="s">
        <v>30</v>
      </c>
      <c r="M490" t="s">
        <v>42</v>
      </c>
      <c r="N490" s="5">
        <f>Table4[[#This Row],[BudgetAmount]]/Table4[[#This Row],[Variance]]</f>
        <v>-20.550317643661565</v>
      </c>
      <c r="O490" s="5" t="str">
        <f>TEXT(Table4[[#This Row],[Date]],"mmm")</f>
        <v>Jan</v>
      </c>
      <c r="P490" s="5">
        <f>ABS(Table4[[#This Row],[Variance]])</f>
        <v>13852</v>
      </c>
      <c r="Q490" s="5" t="str">
        <f>IF(Table4[[#This Row],[AB Variances ]]&gt;$P$2,"Anomaly","Normal")</f>
        <v>Normal</v>
      </c>
      <c r="R490" s="5">
        <f>SUMIFS(Table4[BudgetAmount],Table4[ActualExpense],"pending")</f>
        <v>0</v>
      </c>
    </row>
    <row r="491" spans="1:18">
      <c r="A491" t="s">
        <v>925</v>
      </c>
      <c r="B491" t="s">
        <v>910</v>
      </c>
      <c r="C491" t="s">
        <v>15</v>
      </c>
      <c r="D491" t="s">
        <v>40</v>
      </c>
      <c r="E491" t="s">
        <v>46</v>
      </c>
      <c r="F491" t="s">
        <v>47</v>
      </c>
      <c r="G491" s="2">
        <v>109350</v>
      </c>
      <c r="H491" s="1">
        <v>79875</v>
      </c>
      <c r="I491">
        <v>-29475</v>
      </c>
      <c r="J491" t="s">
        <v>19</v>
      </c>
      <c r="K491" t="s">
        <v>41</v>
      </c>
      <c r="L491" t="s">
        <v>49</v>
      </c>
      <c r="M491" t="s">
        <v>22</v>
      </c>
      <c r="N491" s="5">
        <f>Table4[[#This Row],[BudgetAmount]]/Table4[[#This Row],[Variance]]</f>
        <v>-3.7099236641221376</v>
      </c>
      <c r="O491" s="5" t="str">
        <f>TEXT(Table4[[#This Row],[Date]],"mmm")</f>
        <v>Apr</v>
      </c>
      <c r="P491" s="5">
        <f>ABS(Table4[[#This Row],[Variance]])</f>
        <v>29475</v>
      </c>
      <c r="Q491" s="5" t="str">
        <f>IF(Table4[[#This Row],[AB Variances ]]&gt;$P$2,"Anomaly","Normal")</f>
        <v>Anomaly</v>
      </c>
      <c r="R491" s="5">
        <f>SUMIFS(Table4[BudgetAmount],Table4[ActualExpense],"pending")</f>
        <v>0</v>
      </c>
    </row>
    <row r="492" spans="1:18">
      <c r="A492" t="s">
        <v>926</v>
      </c>
      <c r="B492" t="s">
        <v>714</v>
      </c>
      <c r="C492" t="s">
        <v>15</v>
      </c>
      <c r="D492" t="s">
        <v>61</v>
      </c>
      <c r="E492" t="s">
        <v>27</v>
      </c>
      <c r="F492" t="s">
        <v>28</v>
      </c>
      <c r="G492" s="2">
        <v>267508</v>
      </c>
      <c r="H492" s="1">
        <v>332767</v>
      </c>
      <c r="I492">
        <v>65259</v>
      </c>
      <c r="J492" t="s">
        <v>19</v>
      </c>
      <c r="K492" t="s">
        <v>41</v>
      </c>
      <c r="L492" t="s">
        <v>49</v>
      </c>
      <c r="M492" t="s">
        <v>42</v>
      </c>
      <c r="N492" s="5">
        <f>Table4[[#This Row],[BudgetAmount]]/Table4[[#This Row],[Variance]]</f>
        <v>4.0991740602828726</v>
      </c>
      <c r="O492" s="5" t="str">
        <f>TEXT(Table4[[#This Row],[Date]],"mmm")</f>
        <v>Apr</v>
      </c>
      <c r="P492" s="5">
        <f>ABS(Table4[[#This Row],[Variance]])</f>
        <v>65259</v>
      </c>
      <c r="Q492" s="5" t="str">
        <f>IF(Table4[[#This Row],[AB Variances ]]&gt;$P$2,"Anomaly","Normal")</f>
        <v>Anomaly</v>
      </c>
      <c r="R492" s="5">
        <f>SUMIFS(Table4[BudgetAmount],Table4[ActualExpense],"pending")</f>
        <v>0</v>
      </c>
    </row>
    <row r="493" spans="1:18">
      <c r="A493" t="s">
        <v>927</v>
      </c>
      <c r="B493" t="s">
        <v>928</v>
      </c>
      <c r="C493" t="s">
        <v>35</v>
      </c>
      <c r="D493" t="s">
        <v>34</v>
      </c>
      <c r="E493" t="s">
        <v>17</v>
      </c>
      <c r="F493" t="s">
        <v>18</v>
      </c>
      <c r="G493" s="2">
        <v>458590</v>
      </c>
      <c r="H493" s="1">
        <v>387307</v>
      </c>
      <c r="I493">
        <v>-71283</v>
      </c>
      <c r="J493" t="s">
        <v>37</v>
      </c>
      <c r="K493" t="s">
        <v>20</v>
      </c>
      <c r="L493" t="s">
        <v>21</v>
      </c>
      <c r="M493" t="s">
        <v>22</v>
      </c>
      <c r="N493" s="5">
        <f>Table4[[#This Row],[BudgetAmount]]/Table4[[#This Row],[Variance]]</f>
        <v>-6.4333712105270537</v>
      </c>
      <c r="O493" s="5" t="str">
        <f>TEXT(Table4[[#This Row],[Date]],"mmm")</f>
        <v>Jan</v>
      </c>
      <c r="P493" s="5">
        <f>ABS(Table4[[#This Row],[Variance]])</f>
        <v>71283</v>
      </c>
      <c r="Q493" s="5" t="str">
        <f>IF(Table4[[#This Row],[AB Variances ]]&gt;$P$2,"Anomaly","Normal")</f>
        <v>Anomaly</v>
      </c>
      <c r="R493" s="5">
        <f>SUMIFS(Table4[BudgetAmount],Table4[ActualExpense],"pending")</f>
        <v>0</v>
      </c>
    </row>
    <row r="494" spans="1:18">
      <c r="A494" t="s">
        <v>929</v>
      </c>
      <c r="B494" t="s">
        <v>188</v>
      </c>
      <c r="C494" t="s">
        <v>15</v>
      </c>
      <c r="D494" t="s">
        <v>34</v>
      </c>
      <c r="E494" t="s">
        <v>46</v>
      </c>
      <c r="F494" t="s">
        <v>47</v>
      </c>
      <c r="G494" s="2">
        <v>208311</v>
      </c>
      <c r="H494" s="1">
        <v>236289</v>
      </c>
      <c r="I494">
        <v>27978</v>
      </c>
      <c r="J494" t="s">
        <v>37</v>
      </c>
      <c r="K494" t="s">
        <v>29</v>
      </c>
      <c r="L494" t="s">
        <v>30</v>
      </c>
      <c r="M494" t="s">
        <v>42</v>
      </c>
      <c r="N494" s="5">
        <f>Table4[[#This Row],[BudgetAmount]]/Table4[[#This Row],[Variance]]</f>
        <v>7.4455286296375727</v>
      </c>
      <c r="O494" s="5" t="str">
        <f>TEXT(Table4[[#This Row],[Date]],"mmm")</f>
        <v>Aug</v>
      </c>
      <c r="P494" s="5">
        <f>ABS(Table4[[#This Row],[Variance]])</f>
        <v>27978</v>
      </c>
      <c r="Q494" s="5" t="str">
        <f>IF(Table4[[#This Row],[AB Variances ]]&gt;$P$2,"Anomaly","Normal")</f>
        <v>Anomaly</v>
      </c>
      <c r="R494" s="5">
        <f>SUMIFS(Table4[BudgetAmount],Table4[ActualExpense],"pending")</f>
        <v>0</v>
      </c>
    </row>
    <row r="495" spans="1:18">
      <c r="A495" t="s">
        <v>930</v>
      </c>
      <c r="B495" t="s">
        <v>451</v>
      </c>
      <c r="C495" t="s">
        <v>15</v>
      </c>
      <c r="D495" t="s">
        <v>16</v>
      </c>
      <c r="E495" t="s">
        <v>85</v>
      </c>
      <c r="F495" t="s">
        <v>86</v>
      </c>
      <c r="G495" s="2">
        <v>480158</v>
      </c>
      <c r="H495" s="1">
        <v>568919</v>
      </c>
      <c r="I495">
        <v>88761</v>
      </c>
      <c r="J495" t="s">
        <v>54</v>
      </c>
      <c r="K495" t="s">
        <v>29</v>
      </c>
      <c r="L495" t="s">
        <v>68</v>
      </c>
      <c r="M495" t="s">
        <v>22</v>
      </c>
      <c r="N495" s="5">
        <f>Table4[[#This Row],[BudgetAmount]]/Table4[[#This Row],[Variance]]</f>
        <v>5.409560505176823</v>
      </c>
      <c r="O495" s="5" t="str">
        <f>TEXT(Table4[[#This Row],[Date]],"mmm")</f>
        <v>Feb</v>
      </c>
      <c r="P495" s="5">
        <f>ABS(Table4[[#This Row],[Variance]])</f>
        <v>88761</v>
      </c>
      <c r="Q495" s="5" t="str">
        <f>IF(Table4[[#This Row],[AB Variances ]]&gt;$P$2,"Anomaly","Normal")</f>
        <v>Anomaly</v>
      </c>
      <c r="R495" s="5">
        <f>SUMIFS(Table4[BudgetAmount],Table4[ActualExpense],"pending")</f>
        <v>0</v>
      </c>
    </row>
    <row r="496" spans="1:18">
      <c r="A496" t="s">
        <v>931</v>
      </c>
      <c r="B496" t="s">
        <v>932</v>
      </c>
      <c r="C496" t="s">
        <v>15</v>
      </c>
      <c r="D496" t="s">
        <v>61</v>
      </c>
      <c r="E496" t="s">
        <v>46</v>
      </c>
      <c r="F496" t="s">
        <v>47</v>
      </c>
      <c r="G496" s="2">
        <v>92245</v>
      </c>
      <c r="H496" s="1">
        <v>89514</v>
      </c>
      <c r="I496">
        <v>-2731</v>
      </c>
      <c r="J496" t="s">
        <v>19</v>
      </c>
      <c r="K496" t="s">
        <v>67</v>
      </c>
      <c r="L496" t="s">
        <v>68</v>
      </c>
      <c r="M496" t="s">
        <v>42</v>
      </c>
      <c r="N496" s="5">
        <f>Table4[[#This Row],[BudgetAmount]]/Table4[[#This Row],[Variance]]</f>
        <v>-33.777004760161113</v>
      </c>
      <c r="O496" s="5" t="str">
        <f>TEXT(Table4[[#This Row],[Date]],"mmm")</f>
        <v>Jan</v>
      </c>
      <c r="P496" s="5">
        <f>ABS(Table4[[#This Row],[Variance]])</f>
        <v>2731</v>
      </c>
      <c r="Q496" s="5" t="str">
        <f>IF(Table4[[#This Row],[AB Variances ]]&gt;$P$2,"Anomaly","Normal")</f>
        <v>Normal</v>
      </c>
      <c r="R496" s="5">
        <f>SUMIFS(Table4[BudgetAmount],Table4[ActualExpense],"pending")</f>
        <v>0</v>
      </c>
    </row>
    <row r="497" spans="1:18">
      <c r="A497" t="s">
        <v>933</v>
      </c>
      <c r="B497" t="s">
        <v>934</v>
      </c>
      <c r="C497" t="s">
        <v>45</v>
      </c>
      <c r="D497" t="s">
        <v>34</v>
      </c>
      <c r="E497" t="s">
        <v>71</v>
      </c>
      <c r="F497" t="s">
        <v>72</v>
      </c>
      <c r="G497" s="2">
        <v>118241</v>
      </c>
      <c r="H497" s="1">
        <v>145550</v>
      </c>
      <c r="I497">
        <v>27309</v>
      </c>
      <c r="J497" t="s">
        <v>37</v>
      </c>
      <c r="K497" t="s">
        <v>20</v>
      </c>
      <c r="L497" t="s">
        <v>49</v>
      </c>
      <c r="M497" t="s">
        <v>22</v>
      </c>
      <c r="N497" s="5">
        <f>Table4[[#This Row],[BudgetAmount]]/Table4[[#This Row],[Variance]]</f>
        <v>4.3297447727855287</v>
      </c>
      <c r="O497" s="5" t="str">
        <f>TEXT(Table4[[#This Row],[Date]],"mmm")</f>
        <v>Oct</v>
      </c>
      <c r="P497" s="5">
        <f>ABS(Table4[[#This Row],[Variance]])</f>
        <v>27309</v>
      </c>
      <c r="Q497" s="5" t="str">
        <f>IF(Table4[[#This Row],[AB Variances ]]&gt;$P$2,"Anomaly","Normal")</f>
        <v>Anomaly</v>
      </c>
      <c r="R497" s="5">
        <f>SUMIFS(Table4[BudgetAmount],Table4[ActualExpense],"pending")</f>
        <v>0</v>
      </c>
    </row>
    <row r="498" spans="1:18">
      <c r="A498" t="s">
        <v>935</v>
      </c>
      <c r="B498" t="s">
        <v>936</v>
      </c>
      <c r="C498" t="s">
        <v>64</v>
      </c>
      <c r="D498" t="s">
        <v>26</v>
      </c>
      <c r="E498" t="s">
        <v>46</v>
      </c>
      <c r="F498" t="s">
        <v>47</v>
      </c>
      <c r="G498" s="2">
        <v>96657</v>
      </c>
      <c r="H498" s="1">
        <v>114612</v>
      </c>
      <c r="I498">
        <v>17955</v>
      </c>
      <c r="J498" t="s">
        <v>54</v>
      </c>
      <c r="K498" t="s">
        <v>48</v>
      </c>
      <c r="L498" t="s">
        <v>30</v>
      </c>
      <c r="M498" t="s">
        <v>22</v>
      </c>
      <c r="N498" s="5">
        <f>Table4[[#This Row],[BudgetAmount]]/Table4[[#This Row],[Variance]]</f>
        <v>5.3832915622389308</v>
      </c>
      <c r="O498" s="5" t="str">
        <f>TEXT(Table4[[#This Row],[Date]],"mmm")</f>
        <v>May</v>
      </c>
      <c r="P498" s="5">
        <f>ABS(Table4[[#This Row],[Variance]])</f>
        <v>17955</v>
      </c>
      <c r="Q498" s="5" t="str">
        <f>IF(Table4[[#This Row],[AB Variances ]]&gt;$P$2,"Anomaly","Normal")</f>
        <v>Anomaly</v>
      </c>
      <c r="R498" s="5">
        <f>SUMIFS(Table4[BudgetAmount],Table4[ActualExpense],"pending")</f>
        <v>0</v>
      </c>
    </row>
    <row r="499" spans="1:18">
      <c r="A499" t="s">
        <v>937</v>
      </c>
      <c r="B499" t="s">
        <v>938</v>
      </c>
      <c r="C499" t="s">
        <v>35</v>
      </c>
      <c r="D499" t="s">
        <v>26</v>
      </c>
      <c r="E499" t="s">
        <v>85</v>
      </c>
      <c r="F499" t="s">
        <v>86</v>
      </c>
      <c r="G499" s="2">
        <v>414058</v>
      </c>
      <c r="H499" s="1">
        <v>559755</v>
      </c>
      <c r="I499">
        <v>145697</v>
      </c>
      <c r="J499" t="s">
        <v>19</v>
      </c>
      <c r="K499" t="s">
        <v>67</v>
      </c>
      <c r="L499" t="s">
        <v>21</v>
      </c>
      <c r="M499" t="s">
        <v>42</v>
      </c>
      <c r="N499" s="5">
        <f>Table4[[#This Row],[BudgetAmount]]/Table4[[#This Row],[Variance]]</f>
        <v>2.8419116385375127</v>
      </c>
      <c r="O499" s="5" t="str">
        <f>TEXT(Table4[[#This Row],[Date]],"mmm")</f>
        <v>Dec</v>
      </c>
      <c r="P499" s="5">
        <f>ABS(Table4[[#This Row],[Variance]])</f>
        <v>145697</v>
      </c>
      <c r="Q499" s="5" t="str">
        <f>IF(Table4[[#This Row],[AB Variances ]]&gt;$P$2,"Anomaly","Normal")</f>
        <v>Anomaly</v>
      </c>
      <c r="R499" s="5">
        <f>SUMIFS(Table4[BudgetAmount],Table4[ActualExpense],"pending")</f>
        <v>0</v>
      </c>
    </row>
    <row r="500" spans="1:18">
      <c r="A500" t="s">
        <v>939</v>
      </c>
      <c r="B500" t="s">
        <v>940</v>
      </c>
      <c r="C500" t="s">
        <v>64</v>
      </c>
      <c r="D500" t="s">
        <v>26</v>
      </c>
      <c r="E500" t="s">
        <v>85</v>
      </c>
      <c r="F500" t="s">
        <v>86</v>
      </c>
      <c r="G500" s="2">
        <v>353227</v>
      </c>
      <c r="H500" s="1">
        <v>442456</v>
      </c>
      <c r="I500">
        <v>89229</v>
      </c>
      <c r="J500" t="s">
        <v>54</v>
      </c>
      <c r="K500" t="s">
        <v>67</v>
      </c>
      <c r="L500" t="s">
        <v>30</v>
      </c>
      <c r="M500" t="s">
        <v>22</v>
      </c>
      <c r="N500" s="5">
        <f>Table4[[#This Row],[BudgetAmount]]/Table4[[#This Row],[Variance]]</f>
        <v>3.9586569388875814</v>
      </c>
      <c r="O500" s="5" t="str">
        <f>TEXT(Table4[[#This Row],[Date]],"mmm")</f>
        <v>Nov</v>
      </c>
      <c r="P500" s="5">
        <f>ABS(Table4[[#This Row],[Variance]])</f>
        <v>89229</v>
      </c>
      <c r="Q500" s="5" t="str">
        <f>IF(Table4[[#This Row],[AB Variances ]]&gt;$P$2,"Anomaly","Normal")</f>
        <v>Anomaly</v>
      </c>
      <c r="R500" s="5">
        <f>SUMIFS(Table4[BudgetAmount],Table4[ActualExpense],"pending")</f>
        <v>0</v>
      </c>
    </row>
    <row r="501" spans="1:18">
      <c r="A501" t="s">
        <v>941</v>
      </c>
      <c r="B501" t="s">
        <v>942</v>
      </c>
      <c r="C501" t="s">
        <v>35</v>
      </c>
      <c r="D501" t="s">
        <v>26</v>
      </c>
      <c r="E501" t="s">
        <v>85</v>
      </c>
      <c r="F501" t="s">
        <v>86</v>
      </c>
      <c r="G501" s="2">
        <v>388215</v>
      </c>
      <c r="H501" s="1">
        <v>294323</v>
      </c>
      <c r="I501">
        <v>-93892</v>
      </c>
      <c r="J501" t="s">
        <v>37</v>
      </c>
      <c r="K501" t="s">
        <v>20</v>
      </c>
      <c r="L501" t="s">
        <v>21</v>
      </c>
      <c r="M501" t="s">
        <v>42</v>
      </c>
      <c r="N501" s="5">
        <f>Table4[[#This Row],[BudgetAmount]]/Table4[[#This Row],[Variance]]</f>
        <v>-4.134697311805053</v>
      </c>
      <c r="O501" s="5" t="str">
        <f>TEXT(Table4[[#This Row],[Date]],"mmm")</f>
        <v>Dec</v>
      </c>
      <c r="P501" s="5">
        <f>ABS(Table4[[#This Row],[Variance]])</f>
        <v>93892</v>
      </c>
      <c r="Q501" s="5" t="str">
        <f>IF(Table4[[#This Row],[AB Variances ]]&gt;$P$2,"Anomaly","Normal")</f>
        <v>Anomaly</v>
      </c>
      <c r="R501" s="5">
        <f>SUMIFS(Table4[BudgetAmount],Table4[ActualExpense],"pending")</f>
        <v>0</v>
      </c>
    </row>
    <row r="502" spans="1:18">
      <c r="A502" t="s">
        <v>943</v>
      </c>
      <c r="B502" t="s">
        <v>32</v>
      </c>
      <c r="C502" t="s">
        <v>15</v>
      </c>
      <c r="D502" t="s">
        <v>40</v>
      </c>
      <c r="E502" t="s">
        <v>46</v>
      </c>
      <c r="F502" t="s">
        <v>47</v>
      </c>
      <c r="G502" s="2">
        <v>339735</v>
      </c>
      <c r="H502" s="1">
        <v>421566</v>
      </c>
      <c r="I502">
        <v>81831</v>
      </c>
      <c r="J502" t="s">
        <v>54</v>
      </c>
      <c r="K502" t="s">
        <v>20</v>
      </c>
      <c r="L502" t="s">
        <v>30</v>
      </c>
      <c r="M502" t="s">
        <v>42</v>
      </c>
      <c r="N502" s="5">
        <f>Table4[[#This Row],[BudgetAmount]]/Table4[[#This Row],[Variance]]</f>
        <v>4.1516662389558965</v>
      </c>
      <c r="O502" s="5" t="str">
        <f>TEXT(Table4[[#This Row],[Date]],"mmm")</f>
        <v>Sep</v>
      </c>
      <c r="P502" s="5">
        <f>ABS(Table4[[#This Row],[Variance]])</f>
        <v>81831</v>
      </c>
      <c r="Q502" s="5" t="str">
        <f>IF(Table4[[#This Row],[AB Variances ]]&gt;$P$2,"Anomaly","Normal")</f>
        <v>Anomaly</v>
      </c>
      <c r="R502" s="5">
        <f>SUMIFS(Table4[BudgetAmount],Table4[ActualExpense],"pending")</f>
        <v>0</v>
      </c>
    </row>
    <row r="503" spans="1:18">
      <c r="A503" t="s">
        <v>944</v>
      </c>
      <c r="B503" t="s">
        <v>643</v>
      </c>
      <c r="C503" t="s">
        <v>64</v>
      </c>
      <c r="D503" t="s">
        <v>34</v>
      </c>
      <c r="E503" t="s">
        <v>35</v>
      </c>
      <c r="F503" t="s">
        <v>36</v>
      </c>
      <c r="G503" s="2">
        <v>436207</v>
      </c>
      <c r="H503" s="1">
        <v>544865</v>
      </c>
      <c r="I503">
        <v>108658</v>
      </c>
      <c r="J503" t="s">
        <v>37</v>
      </c>
      <c r="K503" t="s">
        <v>41</v>
      </c>
      <c r="L503" t="s">
        <v>21</v>
      </c>
      <c r="M503" t="s">
        <v>42</v>
      </c>
      <c r="N503" s="5">
        <f>Table4[[#This Row],[BudgetAmount]]/Table4[[#This Row],[Variance]]</f>
        <v>4.0144950210753008</v>
      </c>
      <c r="O503" s="5" t="str">
        <f>TEXT(Table4[[#This Row],[Date]],"mmm")</f>
        <v>Jan</v>
      </c>
      <c r="P503" s="5">
        <f>ABS(Table4[[#This Row],[Variance]])</f>
        <v>108658</v>
      </c>
      <c r="Q503" s="5" t="str">
        <f>IF(Table4[[#This Row],[AB Variances ]]&gt;$P$2,"Anomaly","Normal")</f>
        <v>Anomaly</v>
      </c>
      <c r="R503" s="5">
        <f>SUMIFS(Table4[BudgetAmount],Table4[ActualExpense],"pending")</f>
        <v>0</v>
      </c>
    </row>
    <row r="504" spans="1:18">
      <c r="A504" t="s">
        <v>945</v>
      </c>
      <c r="B504" t="s">
        <v>946</v>
      </c>
      <c r="C504" t="s">
        <v>15</v>
      </c>
      <c r="D504" t="s">
        <v>16</v>
      </c>
      <c r="E504" t="s">
        <v>27</v>
      </c>
      <c r="F504" t="s">
        <v>28</v>
      </c>
      <c r="G504" s="2">
        <v>411713</v>
      </c>
      <c r="H504" s="1">
        <v>429483</v>
      </c>
      <c r="I504">
        <v>17770</v>
      </c>
      <c r="J504" t="s">
        <v>37</v>
      </c>
      <c r="K504" t="s">
        <v>48</v>
      </c>
      <c r="L504" t="s">
        <v>30</v>
      </c>
      <c r="M504" t="s">
        <v>22</v>
      </c>
      <c r="N504" s="5">
        <f>Table4[[#This Row],[BudgetAmount]]/Table4[[#This Row],[Variance]]</f>
        <v>23.168992684299383</v>
      </c>
      <c r="O504" s="5" t="str">
        <f>TEXT(Table4[[#This Row],[Date]],"mmm")</f>
        <v>Feb</v>
      </c>
      <c r="P504" s="5">
        <f>ABS(Table4[[#This Row],[Variance]])</f>
        <v>17770</v>
      </c>
      <c r="Q504" s="5" t="str">
        <f>IF(Table4[[#This Row],[AB Variances ]]&gt;$P$2,"Anomaly","Normal")</f>
        <v>Anomaly</v>
      </c>
      <c r="R504" s="5">
        <f>SUMIFS(Table4[BudgetAmount],Table4[ActualExpense],"pending")</f>
        <v>0</v>
      </c>
    </row>
    <row r="505" spans="1:18">
      <c r="A505" t="s">
        <v>947</v>
      </c>
      <c r="B505" t="s">
        <v>227</v>
      </c>
      <c r="C505" t="s">
        <v>64</v>
      </c>
      <c r="D505" t="s">
        <v>26</v>
      </c>
      <c r="E505" t="s">
        <v>35</v>
      </c>
      <c r="F505" t="s">
        <v>36</v>
      </c>
      <c r="G505" s="2">
        <v>306468</v>
      </c>
      <c r="H505" s="1">
        <v>224986</v>
      </c>
      <c r="I505">
        <v>-81482</v>
      </c>
      <c r="J505" t="s">
        <v>19</v>
      </c>
      <c r="K505" t="s">
        <v>67</v>
      </c>
      <c r="L505" t="s">
        <v>21</v>
      </c>
      <c r="M505" t="s">
        <v>42</v>
      </c>
      <c r="N505" s="5">
        <f>Table4[[#This Row],[BudgetAmount]]/Table4[[#This Row],[Variance]]</f>
        <v>-3.7611742470729732</v>
      </c>
      <c r="O505" s="5" t="str">
        <f>TEXT(Table4[[#This Row],[Date]],"mmm")</f>
        <v>Feb</v>
      </c>
      <c r="P505" s="5">
        <f>ABS(Table4[[#This Row],[Variance]])</f>
        <v>81482</v>
      </c>
      <c r="Q505" s="5" t="str">
        <f>IF(Table4[[#This Row],[AB Variances ]]&gt;$P$2,"Anomaly","Normal")</f>
        <v>Anomaly</v>
      </c>
      <c r="R505" s="5">
        <f>SUMIFS(Table4[BudgetAmount],Table4[ActualExpense],"pending")</f>
        <v>0</v>
      </c>
    </row>
    <row r="506" spans="1:18">
      <c r="A506" t="s">
        <v>948</v>
      </c>
      <c r="B506" t="s">
        <v>949</v>
      </c>
      <c r="C506" t="s">
        <v>64</v>
      </c>
      <c r="D506" t="s">
        <v>26</v>
      </c>
      <c r="E506" t="s">
        <v>27</v>
      </c>
      <c r="F506" t="s">
        <v>28</v>
      </c>
      <c r="G506" s="2">
        <v>451413</v>
      </c>
      <c r="H506" s="1">
        <v>436808</v>
      </c>
      <c r="I506">
        <v>-14605</v>
      </c>
      <c r="J506" t="s">
        <v>19</v>
      </c>
      <c r="K506" t="s">
        <v>20</v>
      </c>
      <c r="L506" t="s">
        <v>30</v>
      </c>
      <c r="M506" t="s">
        <v>22</v>
      </c>
      <c r="N506" s="5">
        <f>Table4[[#This Row],[BudgetAmount]]/Table4[[#This Row],[Variance]]</f>
        <v>-30.908113659705581</v>
      </c>
      <c r="O506" s="5" t="str">
        <f>TEXT(Table4[[#This Row],[Date]],"mmm")</f>
        <v>Jan</v>
      </c>
      <c r="P506" s="5">
        <f>ABS(Table4[[#This Row],[Variance]])</f>
        <v>14605</v>
      </c>
      <c r="Q506" s="5" t="str">
        <f>IF(Table4[[#This Row],[AB Variances ]]&gt;$P$2,"Anomaly","Normal")</f>
        <v>Normal</v>
      </c>
      <c r="R506" s="5">
        <f>SUMIFS(Table4[BudgetAmount],Table4[ActualExpense],"pending")</f>
        <v>0</v>
      </c>
    </row>
    <row r="507" spans="1:18">
      <c r="A507" t="s">
        <v>950</v>
      </c>
      <c r="B507" t="s">
        <v>951</v>
      </c>
      <c r="C507" t="s">
        <v>33</v>
      </c>
      <c r="D507" t="s">
        <v>61</v>
      </c>
      <c r="E507" t="s">
        <v>71</v>
      </c>
      <c r="F507" t="s">
        <v>72</v>
      </c>
      <c r="G507" s="2">
        <v>307691</v>
      </c>
      <c r="H507" s="1">
        <v>300097</v>
      </c>
      <c r="I507">
        <v>-7594</v>
      </c>
      <c r="J507" t="s">
        <v>37</v>
      </c>
      <c r="K507" t="s">
        <v>48</v>
      </c>
      <c r="L507" t="s">
        <v>49</v>
      </c>
      <c r="M507" t="s">
        <v>42</v>
      </c>
      <c r="N507" s="5">
        <f>Table4[[#This Row],[BudgetAmount]]/Table4[[#This Row],[Variance]]</f>
        <v>-40.517645509612855</v>
      </c>
      <c r="O507" s="5" t="str">
        <f>TEXT(Table4[[#This Row],[Date]],"mmm")</f>
        <v>Jan</v>
      </c>
      <c r="P507" s="5">
        <f>ABS(Table4[[#This Row],[Variance]])</f>
        <v>7594</v>
      </c>
      <c r="Q507" s="5" t="str">
        <f>IF(Table4[[#This Row],[AB Variances ]]&gt;$P$2,"Anomaly","Normal")</f>
        <v>Normal</v>
      </c>
      <c r="R507" s="5">
        <f>SUMIFS(Table4[BudgetAmount],Table4[ActualExpense],"pending")</f>
        <v>0</v>
      </c>
    </row>
    <row r="508" spans="1:18">
      <c r="A508" t="s">
        <v>952</v>
      </c>
      <c r="B508" t="s">
        <v>953</v>
      </c>
      <c r="C508" t="s">
        <v>35</v>
      </c>
      <c r="D508" t="s">
        <v>26</v>
      </c>
      <c r="E508" t="s">
        <v>46</v>
      </c>
      <c r="F508" t="s">
        <v>47</v>
      </c>
      <c r="G508" s="2">
        <v>198374</v>
      </c>
      <c r="H508" s="1">
        <v>156061</v>
      </c>
      <c r="I508">
        <v>-42313</v>
      </c>
      <c r="J508" t="s">
        <v>37</v>
      </c>
      <c r="K508" t="s">
        <v>41</v>
      </c>
      <c r="L508" t="s">
        <v>30</v>
      </c>
      <c r="M508" t="s">
        <v>22</v>
      </c>
      <c r="N508" s="5">
        <f>Table4[[#This Row],[BudgetAmount]]/Table4[[#This Row],[Variance]]</f>
        <v>-4.6882518374967503</v>
      </c>
      <c r="O508" s="5" t="str">
        <f>TEXT(Table4[[#This Row],[Date]],"mmm")</f>
        <v>Sep</v>
      </c>
      <c r="P508" s="5">
        <f>ABS(Table4[[#This Row],[Variance]])</f>
        <v>42313</v>
      </c>
      <c r="Q508" s="5" t="str">
        <f>IF(Table4[[#This Row],[AB Variances ]]&gt;$P$2,"Anomaly","Normal")</f>
        <v>Anomaly</v>
      </c>
      <c r="R508" s="5">
        <f>SUMIFS(Table4[BudgetAmount],Table4[ActualExpense],"pending")</f>
        <v>0</v>
      </c>
    </row>
    <row r="509" spans="1:18">
      <c r="A509" t="s">
        <v>954</v>
      </c>
      <c r="B509" t="s">
        <v>96</v>
      </c>
      <c r="C509" t="s">
        <v>45</v>
      </c>
      <c r="D509" t="s">
        <v>26</v>
      </c>
      <c r="E509" t="s">
        <v>27</v>
      </c>
      <c r="F509" t="s">
        <v>28</v>
      </c>
      <c r="G509" s="2">
        <v>82080</v>
      </c>
      <c r="H509" s="1">
        <v>73825</v>
      </c>
      <c r="I509">
        <v>-8255</v>
      </c>
      <c r="J509" t="s">
        <v>19</v>
      </c>
      <c r="K509" t="s">
        <v>20</v>
      </c>
      <c r="L509" t="s">
        <v>30</v>
      </c>
      <c r="M509" t="s">
        <v>22</v>
      </c>
      <c r="N509" s="5">
        <f>Table4[[#This Row],[BudgetAmount]]/Table4[[#This Row],[Variance]]</f>
        <v>-9.9430648092065415</v>
      </c>
      <c r="O509" s="5" t="str">
        <f>TEXT(Table4[[#This Row],[Date]],"mmm")</f>
        <v>Jul</v>
      </c>
      <c r="P509" s="5">
        <f>ABS(Table4[[#This Row],[Variance]])</f>
        <v>8255</v>
      </c>
      <c r="Q509" s="5" t="str">
        <f>IF(Table4[[#This Row],[AB Variances ]]&gt;$P$2,"Anomaly","Normal")</f>
        <v>Normal</v>
      </c>
      <c r="R509" s="5">
        <f>SUMIFS(Table4[BudgetAmount],Table4[ActualExpense],"pending")</f>
        <v>0</v>
      </c>
    </row>
    <row r="510" spans="1:18">
      <c r="A510" t="s">
        <v>955</v>
      </c>
      <c r="B510" t="s">
        <v>956</v>
      </c>
      <c r="C510" t="s">
        <v>25</v>
      </c>
      <c r="D510" t="s">
        <v>26</v>
      </c>
      <c r="E510" t="s">
        <v>71</v>
      </c>
      <c r="F510" t="s">
        <v>72</v>
      </c>
      <c r="G510" s="2">
        <v>82422</v>
      </c>
      <c r="H510" s="1">
        <v>109624</v>
      </c>
      <c r="I510">
        <v>27202</v>
      </c>
      <c r="J510" t="s">
        <v>37</v>
      </c>
      <c r="K510" t="s">
        <v>20</v>
      </c>
      <c r="L510" t="s">
        <v>68</v>
      </c>
      <c r="M510" t="s">
        <v>22</v>
      </c>
      <c r="N510" s="5">
        <f>Table4[[#This Row],[BudgetAmount]]/Table4[[#This Row],[Variance]]</f>
        <v>3.0299977942798324</v>
      </c>
      <c r="O510" s="5" t="str">
        <f>TEXT(Table4[[#This Row],[Date]],"mmm")</f>
        <v>Jan</v>
      </c>
      <c r="P510" s="5">
        <f>ABS(Table4[[#This Row],[Variance]])</f>
        <v>27202</v>
      </c>
      <c r="Q510" s="5" t="str">
        <f>IF(Table4[[#This Row],[AB Variances ]]&gt;$P$2,"Anomaly","Normal")</f>
        <v>Anomaly</v>
      </c>
      <c r="R510" s="5">
        <f>SUMIFS(Table4[BudgetAmount],Table4[ActualExpense],"pending")</f>
        <v>0</v>
      </c>
    </row>
    <row r="511" spans="1:18">
      <c r="A511" t="s">
        <v>957</v>
      </c>
      <c r="B511" t="s">
        <v>359</v>
      </c>
      <c r="C511" t="s">
        <v>15</v>
      </c>
      <c r="D511" t="s">
        <v>61</v>
      </c>
      <c r="E511" t="s">
        <v>35</v>
      </c>
      <c r="F511" t="s">
        <v>36</v>
      </c>
      <c r="G511" s="2">
        <v>283017</v>
      </c>
      <c r="H511" s="1">
        <v>291210</v>
      </c>
      <c r="I511">
        <v>8193</v>
      </c>
      <c r="J511" t="s">
        <v>54</v>
      </c>
      <c r="K511" t="s">
        <v>48</v>
      </c>
      <c r="L511" t="s">
        <v>68</v>
      </c>
      <c r="M511" t="s">
        <v>22</v>
      </c>
      <c r="N511" s="5">
        <f>Table4[[#This Row],[BudgetAmount]]/Table4[[#This Row],[Variance]]</f>
        <v>34.543756865616992</v>
      </c>
      <c r="O511" s="5" t="str">
        <f>TEXT(Table4[[#This Row],[Date]],"mmm")</f>
        <v>Feb</v>
      </c>
      <c r="P511" s="5">
        <f>ABS(Table4[[#This Row],[Variance]])</f>
        <v>8193</v>
      </c>
      <c r="Q511" s="5" t="str">
        <f>IF(Table4[[#This Row],[AB Variances ]]&gt;$P$2,"Anomaly","Normal")</f>
        <v>Normal</v>
      </c>
      <c r="R511" s="5">
        <f>SUMIFS(Table4[BudgetAmount],Table4[ActualExpense],"pending")</f>
        <v>0</v>
      </c>
    </row>
    <row r="512" spans="1:18">
      <c r="A512" t="s">
        <v>958</v>
      </c>
      <c r="B512" t="s">
        <v>959</v>
      </c>
      <c r="C512" t="s">
        <v>45</v>
      </c>
      <c r="D512" t="s">
        <v>61</v>
      </c>
      <c r="E512" t="s">
        <v>85</v>
      </c>
      <c r="F512" t="s">
        <v>86</v>
      </c>
      <c r="G512" s="2">
        <v>479580</v>
      </c>
      <c r="H512" s="1">
        <v>582035</v>
      </c>
      <c r="I512">
        <v>102455</v>
      </c>
      <c r="J512" t="s">
        <v>54</v>
      </c>
      <c r="K512" t="s">
        <v>48</v>
      </c>
      <c r="L512" t="s">
        <v>49</v>
      </c>
      <c r="M512" t="s">
        <v>22</v>
      </c>
      <c r="N512" s="5">
        <f>Table4[[#This Row],[BudgetAmount]]/Table4[[#This Row],[Variance]]</f>
        <v>4.6808842906641939</v>
      </c>
      <c r="O512" s="5" t="str">
        <f>TEXT(Table4[[#This Row],[Date]],"mmm")</f>
        <v>May</v>
      </c>
      <c r="P512" s="5">
        <f>ABS(Table4[[#This Row],[Variance]])</f>
        <v>102455</v>
      </c>
      <c r="Q512" s="5" t="str">
        <f>IF(Table4[[#This Row],[AB Variances ]]&gt;$P$2,"Anomaly","Normal")</f>
        <v>Anomaly</v>
      </c>
      <c r="R512" s="5">
        <f>SUMIFS(Table4[BudgetAmount],Table4[ActualExpense],"pending")</f>
        <v>0</v>
      </c>
    </row>
    <row r="513" spans="1:18">
      <c r="A513" t="s">
        <v>960</v>
      </c>
      <c r="B513" t="s">
        <v>961</v>
      </c>
      <c r="C513" t="s">
        <v>35</v>
      </c>
      <c r="D513" t="s">
        <v>26</v>
      </c>
      <c r="E513" t="s">
        <v>46</v>
      </c>
      <c r="F513" t="s">
        <v>47</v>
      </c>
      <c r="G513" s="2">
        <v>159823</v>
      </c>
      <c r="H513" s="1">
        <v>153872</v>
      </c>
      <c r="I513">
        <v>-5951</v>
      </c>
      <c r="J513" t="s">
        <v>19</v>
      </c>
      <c r="K513" t="s">
        <v>41</v>
      </c>
      <c r="L513" t="s">
        <v>21</v>
      </c>
      <c r="M513" t="s">
        <v>42</v>
      </c>
      <c r="N513" s="5">
        <f>Table4[[#This Row],[BudgetAmount]]/Table4[[#This Row],[Variance]]</f>
        <v>-26.856494706771972</v>
      </c>
      <c r="O513" s="5" t="str">
        <f>TEXT(Table4[[#This Row],[Date]],"mmm")</f>
        <v>Jul</v>
      </c>
      <c r="P513" s="5">
        <f>ABS(Table4[[#This Row],[Variance]])</f>
        <v>5951</v>
      </c>
      <c r="Q513" s="5" t="str">
        <f>IF(Table4[[#This Row],[AB Variances ]]&gt;$P$2,"Anomaly","Normal")</f>
        <v>Normal</v>
      </c>
      <c r="R513" s="5">
        <f>SUMIFS(Table4[BudgetAmount],Table4[ActualExpense],"pending")</f>
        <v>0</v>
      </c>
    </row>
    <row r="514" spans="1:18">
      <c r="A514" t="s">
        <v>962</v>
      </c>
      <c r="B514" t="s">
        <v>963</v>
      </c>
      <c r="C514" t="s">
        <v>35</v>
      </c>
      <c r="D514" t="s">
        <v>61</v>
      </c>
      <c r="E514" t="s">
        <v>17</v>
      </c>
      <c r="F514" t="s">
        <v>18</v>
      </c>
      <c r="G514" s="2">
        <v>276555</v>
      </c>
      <c r="H514" s="1">
        <v>269635</v>
      </c>
      <c r="I514">
        <v>-6920</v>
      </c>
      <c r="J514" t="s">
        <v>37</v>
      </c>
      <c r="K514" t="s">
        <v>20</v>
      </c>
      <c r="L514" t="s">
        <v>21</v>
      </c>
      <c r="M514" t="s">
        <v>42</v>
      </c>
      <c r="N514" s="5">
        <f>Table4[[#This Row],[BudgetAmount]]/Table4[[#This Row],[Variance]]</f>
        <v>-39.964595375722546</v>
      </c>
      <c r="O514" s="5" t="str">
        <f>TEXT(Table4[[#This Row],[Date]],"mmm")</f>
        <v>May</v>
      </c>
      <c r="P514" s="5">
        <f>ABS(Table4[[#This Row],[Variance]])</f>
        <v>6920</v>
      </c>
      <c r="Q514" s="5" t="str">
        <f>IF(Table4[[#This Row],[AB Variances ]]&gt;$P$2,"Anomaly","Normal")</f>
        <v>Normal</v>
      </c>
      <c r="R514" s="5">
        <f>SUMIFS(Table4[BudgetAmount],Table4[ActualExpense],"pending")</f>
        <v>0</v>
      </c>
    </row>
    <row r="515" spans="1:18">
      <c r="A515" t="s">
        <v>964</v>
      </c>
      <c r="B515" t="s">
        <v>460</v>
      </c>
      <c r="C515" t="s">
        <v>45</v>
      </c>
      <c r="D515" t="s">
        <v>61</v>
      </c>
      <c r="E515" t="s">
        <v>46</v>
      </c>
      <c r="F515" t="s">
        <v>47</v>
      </c>
      <c r="G515" s="2">
        <v>300373</v>
      </c>
      <c r="H515" s="1">
        <v>279893</v>
      </c>
      <c r="I515">
        <v>-20480</v>
      </c>
      <c r="J515" t="s">
        <v>19</v>
      </c>
      <c r="K515" t="s">
        <v>67</v>
      </c>
      <c r="L515" t="s">
        <v>30</v>
      </c>
      <c r="M515" t="s">
        <v>42</v>
      </c>
      <c r="N515" s="5">
        <f>Table4[[#This Row],[BudgetAmount]]/Table4[[#This Row],[Variance]]</f>
        <v>-14.666650390625</v>
      </c>
      <c r="O515" s="5" t="str">
        <f>TEXT(Table4[[#This Row],[Date]],"mmm")</f>
        <v>Jan</v>
      </c>
      <c r="P515" s="5">
        <f>ABS(Table4[[#This Row],[Variance]])</f>
        <v>20480</v>
      </c>
      <c r="Q515" s="5" t="str">
        <f>IF(Table4[[#This Row],[AB Variances ]]&gt;$P$2,"Anomaly","Normal")</f>
        <v>Anomaly</v>
      </c>
      <c r="R515" s="5">
        <f>SUMIFS(Table4[BudgetAmount],Table4[ActualExpense],"pending")</f>
        <v>0</v>
      </c>
    </row>
    <row r="516" spans="1:18">
      <c r="A516" t="s">
        <v>965</v>
      </c>
      <c r="B516" t="s">
        <v>966</v>
      </c>
      <c r="C516" t="s">
        <v>35</v>
      </c>
      <c r="D516" t="s">
        <v>61</v>
      </c>
      <c r="E516" t="s">
        <v>17</v>
      </c>
      <c r="F516" t="s">
        <v>18</v>
      </c>
      <c r="G516" s="2">
        <v>349342</v>
      </c>
      <c r="H516" s="1">
        <v>418697</v>
      </c>
      <c r="I516">
        <v>69355</v>
      </c>
      <c r="J516" t="s">
        <v>37</v>
      </c>
      <c r="K516" t="s">
        <v>29</v>
      </c>
      <c r="L516" t="s">
        <v>21</v>
      </c>
      <c r="M516" t="s">
        <v>22</v>
      </c>
      <c r="N516" s="5">
        <f>Table4[[#This Row],[BudgetAmount]]/Table4[[#This Row],[Variance]]</f>
        <v>5.0370124720640188</v>
      </c>
      <c r="O516" s="5" t="str">
        <f>TEXT(Table4[[#This Row],[Date]],"mmm")</f>
        <v>Apr</v>
      </c>
      <c r="P516" s="5">
        <f>ABS(Table4[[#This Row],[Variance]])</f>
        <v>69355</v>
      </c>
      <c r="Q516" s="5" t="str">
        <f>IF(Table4[[#This Row],[AB Variances ]]&gt;$P$2,"Anomaly","Normal")</f>
        <v>Anomaly</v>
      </c>
      <c r="R516" s="5">
        <f>SUMIFS(Table4[BudgetAmount],Table4[ActualExpense],"pending")</f>
        <v>0</v>
      </c>
    </row>
    <row r="517" spans="1:18">
      <c r="A517" t="s">
        <v>967</v>
      </c>
      <c r="B517" t="s">
        <v>764</v>
      </c>
      <c r="C517" t="s">
        <v>45</v>
      </c>
      <c r="D517" t="s">
        <v>16</v>
      </c>
      <c r="E517" t="s">
        <v>17</v>
      </c>
      <c r="F517" t="s">
        <v>18</v>
      </c>
      <c r="G517" s="2">
        <v>257826</v>
      </c>
      <c r="H517" s="1">
        <v>251871</v>
      </c>
      <c r="I517">
        <v>-5955</v>
      </c>
      <c r="J517" t="s">
        <v>54</v>
      </c>
      <c r="K517" t="s">
        <v>48</v>
      </c>
      <c r="L517" t="s">
        <v>49</v>
      </c>
      <c r="M517" t="s">
        <v>42</v>
      </c>
      <c r="N517" s="5">
        <f>Table4[[#This Row],[BudgetAmount]]/Table4[[#This Row],[Variance]]</f>
        <v>-43.29571788413098</v>
      </c>
      <c r="O517" s="5" t="str">
        <f>TEXT(Table4[[#This Row],[Date]],"mmm")</f>
        <v>May</v>
      </c>
      <c r="P517" s="5">
        <f>ABS(Table4[[#This Row],[Variance]])</f>
        <v>5955</v>
      </c>
      <c r="Q517" s="5" t="str">
        <f>IF(Table4[[#This Row],[AB Variances ]]&gt;$P$2,"Anomaly","Normal")</f>
        <v>Normal</v>
      </c>
      <c r="R517" s="5">
        <f>SUMIFS(Table4[BudgetAmount],Table4[ActualExpense],"pending")</f>
        <v>0</v>
      </c>
    </row>
    <row r="518" spans="1:18">
      <c r="A518" t="s">
        <v>968</v>
      </c>
      <c r="B518" t="s">
        <v>257</v>
      </c>
      <c r="C518" t="s">
        <v>45</v>
      </c>
      <c r="D518" t="s">
        <v>61</v>
      </c>
      <c r="E518" t="s">
        <v>35</v>
      </c>
      <c r="F518" t="s">
        <v>36</v>
      </c>
      <c r="G518" s="2">
        <v>467616</v>
      </c>
      <c r="H518" s="1">
        <v>561860</v>
      </c>
      <c r="I518">
        <v>94244</v>
      </c>
      <c r="J518" t="s">
        <v>54</v>
      </c>
      <c r="K518" t="s">
        <v>20</v>
      </c>
      <c r="L518" t="s">
        <v>68</v>
      </c>
      <c r="M518" t="s">
        <v>42</v>
      </c>
      <c r="N518" s="5">
        <f>Table4[[#This Row],[BudgetAmount]]/Table4[[#This Row],[Variance]]</f>
        <v>4.961758838758966</v>
      </c>
      <c r="O518" s="5" t="str">
        <f>TEXT(Table4[[#This Row],[Date]],"mmm")</f>
        <v>Aug</v>
      </c>
      <c r="P518" s="5">
        <f>ABS(Table4[[#This Row],[Variance]])</f>
        <v>94244</v>
      </c>
      <c r="Q518" s="5" t="str">
        <f>IF(Table4[[#This Row],[AB Variances ]]&gt;$P$2,"Anomaly","Normal")</f>
        <v>Anomaly</v>
      </c>
      <c r="R518" s="5">
        <f>SUMIFS(Table4[BudgetAmount],Table4[ActualExpense],"pending")</f>
        <v>0</v>
      </c>
    </row>
    <row r="519" spans="1:18">
      <c r="A519" t="s">
        <v>969</v>
      </c>
      <c r="B519" t="s">
        <v>970</v>
      </c>
      <c r="C519" t="s">
        <v>33</v>
      </c>
      <c r="D519" t="s">
        <v>34</v>
      </c>
      <c r="E519" t="s">
        <v>46</v>
      </c>
      <c r="F519" t="s">
        <v>47</v>
      </c>
      <c r="G519" s="2">
        <v>221689</v>
      </c>
      <c r="H519" s="1">
        <v>223597</v>
      </c>
      <c r="I519">
        <v>1908</v>
      </c>
      <c r="J519" t="s">
        <v>19</v>
      </c>
      <c r="K519" t="s">
        <v>48</v>
      </c>
      <c r="L519" t="s">
        <v>68</v>
      </c>
      <c r="M519" t="s">
        <v>22</v>
      </c>
      <c r="N519" s="5">
        <f>Table4[[#This Row],[BudgetAmount]]/Table4[[#This Row],[Variance]]</f>
        <v>116.18920335429769</v>
      </c>
      <c r="O519" s="5" t="str">
        <f>TEXT(Table4[[#This Row],[Date]],"mmm")</f>
        <v>Feb</v>
      </c>
      <c r="P519" s="5">
        <f>ABS(Table4[[#This Row],[Variance]])</f>
        <v>1908</v>
      </c>
      <c r="Q519" s="5" t="str">
        <f>IF(Table4[[#This Row],[AB Variances ]]&gt;$P$2,"Anomaly","Normal")</f>
        <v>Normal</v>
      </c>
      <c r="R519" s="5">
        <f>SUMIFS(Table4[BudgetAmount],Table4[ActualExpense],"pending")</f>
        <v>0</v>
      </c>
    </row>
    <row r="520" spans="1:18">
      <c r="A520" t="s">
        <v>971</v>
      </c>
      <c r="B520" t="s">
        <v>748</v>
      </c>
      <c r="C520" t="s">
        <v>45</v>
      </c>
      <c r="D520" t="s">
        <v>26</v>
      </c>
      <c r="E520" t="s">
        <v>46</v>
      </c>
      <c r="F520" t="s">
        <v>47</v>
      </c>
      <c r="G520" s="2">
        <v>478223</v>
      </c>
      <c r="H520" s="1">
        <v>587289</v>
      </c>
      <c r="I520">
        <v>109066</v>
      </c>
      <c r="J520" t="s">
        <v>54</v>
      </c>
      <c r="K520" t="s">
        <v>41</v>
      </c>
      <c r="L520" t="s">
        <v>68</v>
      </c>
      <c r="M520" t="s">
        <v>42</v>
      </c>
      <c r="N520" s="5">
        <f>Table4[[#This Row],[BudgetAmount]]/Table4[[#This Row],[Variance]]</f>
        <v>4.3847120092421106</v>
      </c>
      <c r="O520" s="5" t="str">
        <f>TEXT(Table4[[#This Row],[Date]],"mmm")</f>
        <v>Mar</v>
      </c>
      <c r="P520" s="5">
        <f>ABS(Table4[[#This Row],[Variance]])</f>
        <v>109066</v>
      </c>
      <c r="Q520" s="5" t="str">
        <f>IF(Table4[[#This Row],[AB Variances ]]&gt;$P$2,"Anomaly","Normal")</f>
        <v>Anomaly</v>
      </c>
      <c r="R520" s="5">
        <f>SUMIFS(Table4[BudgetAmount],Table4[ActualExpense],"pending")</f>
        <v>0</v>
      </c>
    </row>
    <row r="521" spans="1:18">
      <c r="A521" t="s">
        <v>972</v>
      </c>
      <c r="B521" t="s">
        <v>51</v>
      </c>
      <c r="C521" t="s">
        <v>64</v>
      </c>
      <c r="D521" t="s">
        <v>40</v>
      </c>
      <c r="E521" t="s">
        <v>35</v>
      </c>
      <c r="F521" t="s">
        <v>36</v>
      </c>
      <c r="G521" s="2">
        <v>398680</v>
      </c>
      <c r="H521" s="1">
        <v>497061</v>
      </c>
      <c r="I521">
        <v>98381</v>
      </c>
      <c r="J521" t="s">
        <v>19</v>
      </c>
      <c r="K521" t="s">
        <v>67</v>
      </c>
      <c r="L521" t="s">
        <v>49</v>
      </c>
      <c r="M521" t="s">
        <v>22</v>
      </c>
      <c r="N521" s="5">
        <f>Table4[[#This Row],[BudgetAmount]]/Table4[[#This Row],[Variance]]</f>
        <v>4.052408493509926</v>
      </c>
      <c r="O521" s="5" t="str">
        <f>TEXT(Table4[[#This Row],[Date]],"mmm")</f>
        <v>Oct</v>
      </c>
      <c r="P521" s="5">
        <f>ABS(Table4[[#This Row],[Variance]])</f>
        <v>98381</v>
      </c>
      <c r="Q521" s="5" t="str">
        <f>IF(Table4[[#This Row],[AB Variances ]]&gt;$P$2,"Anomaly","Normal")</f>
        <v>Anomaly</v>
      </c>
      <c r="R521" s="5">
        <f>SUMIFS(Table4[BudgetAmount],Table4[ActualExpense],"pending")</f>
        <v>0</v>
      </c>
    </row>
    <row r="522" spans="1:18">
      <c r="A522" t="s">
        <v>973</v>
      </c>
      <c r="B522" t="s">
        <v>974</v>
      </c>
      <c r="C522" t="s">
        <v>45</v>
      </c>
      <c r="D522" t="s">
        <v>40</v>
      </c>
      <c r="E522" t="s">
        <v>35</v>
      </c>
      <c r="F522" t="s">
        <v>36</v>
      </c>
      <c r="G522" s="2">
        <v>280295</v>
      </c>
      <c r="H522" s="1">
        <v>341584</v>
      </c>
      <c r="I522">
        <v>61289</v>
      </c>
      <c r="J522" t="s">
        <v>54</v>
      </c>
      <c r="K522" t="s">
        <v>20</v>
      </c>
      <c r="L522" t="s">
        <v>21</v>
      </c>
      <c r="M522" t="s">
        <v>42</v>
      </c>
      <c r="N522" s="5">
        <f>Table4[[#This Row],[BudgetAmount]]/Table4[[#This Row],[Variance]]</f>
        <v>4.5733328982362247</v>
      </c>
      <c r="O522" s="5" t="str">
        <f>TEXT(Table4[[#This Row],[Date]],"mmm")</f>
        <v>Aug</v>
      </c>
      <c r="P522" s="5">
        <f>ABS(Table4[[#This Row],[Variance]])</f>
        <v>61289</v>
      </c>
      <c r="Q522" s="5" t="str">
        <f>IF(Table4[[#This Row],[AB Variances ]]&gt;$P$2,"Anomaly","Normal")</f>
        <v>Anomaly</v>
      </c>
      <c r="R522" s="5">
        <f>SUMIFS(Table4[BudgetAmount],Table4[ActualExpense],"pending")</f>
        <v>0</v>
      </c>
    </row>
    <row r="523" spans="1:18">
      <c r="A523" t="s">
        <v>975</v>
      </c>
      <c r="B523" t="s">
        <v>976</v>
      </c>
      <c r="C523" t="s">
        <v>15</v>
      </c>
      <c r="D523" t="s">
        <v>16</v>
      </c>
      <c r="E523" t="s">
        <v>27</v>
      </c>
      <c r="F523" t="s">
        <v>28</v>
      </c>
      <c r="G523" s="2">
        <v>391875</v>
      </c>
      <c r="H523" s="1">
        <v>327433</v>
      </c>
      <c r="I523">
        <v>-64442</v>
      </c>
      <c r="J523" t="s">
        <v>19</v>
      </c>
      <c r="K523" t="s">
        <v>67</v>
      </c>
      <c r="L523" t="s">
        <v>30</v>
      </c>
      <c r="M523" t="s">
        <v>22</v>
      </c>
      <c r="N523" s="5">
        <f>Table4[[#This Row],[BudgetAmount]]/Table4[[#This Row],[Variance]]</f>
        <v>-6.0810496260202971</v>
      </c>
      <c r="O523" s="5" t="str">
        <f>TEXT(Table4[[#This Row],[Date]],"mmm")</f>
        <v>May</v>
      </c>
      <c r="P523" s="5">
        <f>ABS(Table4[[#This Row],[Variance]])</f>
        <v>64442</v>
      </c>
      <c r="Q523" s="5" t="str">
        <f>IF(Table4[[#This Row],[AB Variances ]]&gt;$P$2,"Anomaly","Normal")</f>
        <v>Anomaly</v>
      </c>
      <c r="R523" s="5">
        <f>SUMIFS(Table4[BudgetAmount],Table4[ActualExpense],"pending")</f>
        <v>0</v>
      </c>
    </row>
    <row r="524" spans="1:18">
      <c r="A524" t="s">
        <v>977</v>
      </c>
      <c r="B524" t="s">
        <v>966</v>
      </c>
      <c r="C524" t="s">
        <v>25</v>
      </c>
      <c r="D524" t="s">
        <v>61</v>
      </c>
      <c r="E524" t="s">
        <v>71</v>
      </c>
      <c r="F524" t="s">
        <v>72</v>
      </c>
      <c r="G524" s="2">
        <v>271178</v>
      </c>
      <c r="H524" s="1">
        <v>201849</v>
      </c>
      <c r="I524">
        <v>-69329</v>
      </c>
      <c r="J524" t="s">
        <v>37</v>
      </c>
      <c r="K524" t="s">
        <v>20</v>
      </c>
      <c r="L524" t="s">
        <v>49</v>
      </c>
      <c r="M524" t="s">
        <v>22</v>
      </c>
      <c r="N524" s="5">
        <f>Table4[[#This Row],[BudgetAmount]]/Table4[[#This Row],[Variance]]</f>
        <v>-3.9114656204474318</v>
      </c>
      <c r="O524" s="5" t="str">
        <f>TEXT(Table4[[#This Row],[Date]],"mmm")</f>
        <v>Apr</v>
      </c>
      <c r="P524" s="5">
        <f>ABS(Table4[[#This Row],[Variance]])</f>
        <v>69329</v>
      </c>
      <c r="Q524" s="5" t="str">
        <f>IF(Table4[[#This Row],[AB Variances ]]&gt;$P$2,"Anomaly","Normal")</f>
        <v>Anomaly</v>
      </c>
      <c r="R524" s="5">
        <f>SUMIFS(Table4[BudgetAmount],Table4[ActualExpense],"pending")</f>
        <v>0</v>
      </c>
    </row>
    <row r="525" spans="1:18">
      <c r="A525" t="s">
        <v>978</v>
      </c>
      <c r="B525" t="s">
        <v>451</v>
      </c>
      <c r="C525" t="s">
        <v>25</v>
      </c>
      <c r="D525" t="s">
        <v>61</v>
      </c>
      <c r="E525" t="s">
        <v>46</v>
      </c>
      <c r="F525" t="s">
        <v>47</v>
      </c>
      <c r="G525" s="2">
        <v>406635</v>
      </c>
      <c r="H525" s="1">
        <v>336139</v>
      </c>
      <c r="I525">
        <v>-70496</v>
      </c>
      <c r="J525" t="s">
        <v>54</v>
      </c>
      <c r="K525" t="s">
        <v>48</v>
      </c>
      <c r="L525" t="s">
        <v>68</v>
      </c>
      <c r="M525" t="s">
        <v>22</v>
      </c>
      <c r="N525" s="5">
        <f>Table4[[#This Row],[BudgetAmount]]/Table4[[#This Row],[Variance]]</f>
        <v>-5.7681996141625058</v>
      </c>
      <c r="O525" s="5" t="str">
        <f>TEXT(Table4[[#This Row],[Date]],"mmm")</f>
        <v>Feb</v>
      </c>
      <c r="P525" s="5">
        <f>ABS(Table4[[#This Row],[Variance]])</f>
        <v>70496</v>
      </c>
      <c r="Q525" s="5" t="str">
        <f>IF(Table4[[#This Row],[AB Variances ]]&gt;$P$2,"Anomaly","Normal")</f>
        <v>Anomaly</v>
      </c>
      <c r="R525" s="5">
        <f>SUMIFS(Table4[BudgetAmount],Table4[ActualExpense],"pending")</f>
        <v>0</v>
      </c>
    </row>
    <row r="526" spans="1:18">
      <c r="A526" t="s">
        <v>979</v>
      </c>
      <c r="B526" t="s">
        <v>142</v>
      </c>
      <c r="C526" t="s">
        <v>64</v>
      </c>
      <c r="D526" t="s">
        <v>34</v>
      </c>
      <c r="E526" t="s">
        <v>35</v>
      </c>
      <c r="F526" t="s">
        <v>36</v>
      </c>
      <c r="G526" s="2">
        <v>69494</v>
      </c>
      <c r="H526" s="1">
        <v>80593</v>
      </c>
      <c r="I526">
        <v>11099</v>
      </c>
      <c r="J526" t="s">
        <v>19</v>
      </c>
      <c r="K526" t="s">
        <v>41</v>
      </c>
      <c r="L526" t="s">
        <v>49</v>
      </c>
      <c r="M526" t="s">
        <v>42</v>
      </c>
      <c r="N526" s="5">
        <f>Table4[[#This Row],[BudgetAmount]]/Table4[[#This Row],[Variance]]</f>
        <v>6.2612848004324713</v>
      </c>
      <c r="O526" s="5" t="str">
        <f>TEXT(Table4[[#This Row],[Date]],"mmm")</f>
        <v>Jul</v>
      </c>
      <c r="P526" s="5">
        <f>ABS(Table4[[#This Row],[Variance]])</f>
        <v>11099</v>
      </c>
      <c r="Q526" s="5" t="str">
        <f>IF(Table4[[#This Row],[AB Variances ]]&gt;$P$2,"Anomaly","Normal")</f>
        <v>Normal</v>
      </c>
      <c r="R526" s="5">
        <f>SUMIFS(Table4[BudgetAmount],Table4[ActualExpense],"pending")</f>
        <v>0</v>
      </c>
    </row>
    <row r="527" spans="1:18">
      <c r="A527" t="s">
        <v>980</v>
      </c>
      <c r="B527" t="s">
        <v>512</v>
      </c>
      <c r="C527" t="s">
        <v>25</v>
      </c>
      <c r="D527" t="s">
        <v>40</v>
      </c>
      <c r="E527" t="s">
        <v>71</v>
      </c>
      <c r="F527" t="s">
        <v>72</v>
      </c>
      <c r="G527" s="2">
        <v>355510</v>
      </c>
      <c r="H527" s="1">
        <v>319871</v>
      </c>
      <c r="I527">
        <v>-35639</v>
      </c>
      <c r="J527" t="s">
        <v>19</v>
      </c>
      <c r="K527" t="s">
        <v>29</v>
      </c>
      <c r="L527" t="s">
        <v>68</v>
      </c>
      <c r="M527" t="s">
        <v>22</v>
      </c>
      <c r="N527" s="5">
        <f>Table4[[#This Row],[BudgetAmount]]/Table4[[#This Row],[Variance]]</f>
        <v>-9.9753079491568233</v>
      </c>
      <c r="O527" s="5" t="str">
        <f>TEXT(Table4[[#This Row],[Date]],"mmm")</f>
        <v>Mar</v>
      </c>
      <c r="P527" s="5">
        <f>ABS(Table4[[#This Row],[Variance]])</f>
        <v>35639</v>
      </c>
      <c r="Q527" s="5" t="str">
        <f>IF(Table4[[#This Row],[AB Variances ]]&gt;$P$2,"Anomaly","Normal")</f>
        <v>Anomaly</v>
      </c>
      <c r="R527" s="5">
        <f>SUMIFS(Table4[BudgetAmount],Table4[ActualExpense],"pending")</f>
        <v>0</v>
      </c>
    </row>
    <row r="528" spans="1:18">
      <c r="A528" t="s">
        <v>981</v>
      </c>
      <c r="B528" t="s">
        <v>328</v>
      </c>
      <c r="C528" t="s">
        <v>64</v>
      </c>
      <c r="D528" t="s">
        <v>61</v>
      </c>
      <c r="E528" t="s">
        <v>46</v>
      </c>
      <c r="F528" t="s">
        <v>47</v>
      </c>
      <c r="G528" s="2">
        <v>171163</v>
      </c>
      <c r="H528" s="1">
        <v>127028</v>
      </c>
      <c r="I528">
        <v>-44135</v>
      </c>
      <c r="J528" t="s">
        <v>19</v>
      </c>
      <c r="K528" t="s">
        <v>48</v>
      </c>
      <c r="L528" t="s">
        <v>21</v>
      </c>
      <c r="M528" t="s">
        <v>22</v>
      </c>
      <c r="N528" s="5">
        <f>Table4[[#This Row],[BudgetAmount]]/Table4[[#This Row],[Variance]]</f>
        <v>-3.8781692534269854</v>
      </c>
      <c r="O528" s="5" t="str">
        <f>TEXT(Table4[[#This Row],[Date]],"mmm")</f>
        <v>May</v>
      </c>
      <c r="P528" s="5">
        <f>ABS(Table4[[#This Row],[Variance]])</f>
        <v>44135</v>
      </c>
      <c r="Q528" s="5" t="str">
        <f>IF(Table4[[#This Row],[AB Variances ]]&gt;$P$2,"Anomaly","Normal")</f>
        <v>Anomaly</v>
      </c>
      <c r="R528" s="5">
        <f>SUMIFS(Table4[BudgetAmount],Table4[ActualExpense],"pending")</f>
        <v>0</v>
      </c>
    </row>
    <row r="529" spans="1:18">
      <c r="A529" t="s">
        <v>982</v>
      </c>
      <c r="B529" t="s">
        <v>983</v>
      </c>
      <c r="C529" t="s">
        <v>64</v>
      </c>
      <c r="D529" t="s">
        <v>34</v>
      </c>
      <c r="E529" t="s">
        <v>71</v>
      </c>
      <c r="F529" t="s">
        <v>72</v>
      </c>
      <c r="G529" s="2">
        <v>436530</v>
      </c>
      <c r="H529" s="1">
        <v>574964</v>
      </c>
      <c r="I529">
        <v>138434</v>
      </c>
      <c r="J529" t="s">
        <v>54</v>
      </c>
      <c r="K529" t="s">
        <v>48</v>
      </c>
      <c r="L529" t="s">
        <v>30</v>
      </c>
      <c r="M529" t="s">
        <v>22</v>
      </c>
      <c r="N529" s="5">
        <f>Table4[[#This Row],[BudgetAmount]]/Table4[[#This Row],[Variance]]</f>
        <v>3.1533438317176414</v>
      </c>
      <c r="O529" s="5" t="str">
        <f>TEXT(Table4[[#This Row],[Date]],"mmm")</f>
        <v>Aug</v>
      </c>
      <c r="P529" s="5">
        <f>ABS(Table4[[#This Row],[Variance]])</f>
        <v>138434</v>
      </c>
      <c r="Q529" s="5" t="str">
        <f>IF(Table4[[#This Row],[AB Variances ]]&gt;$P$2,"Anomaly","Normal")</f>
        <v>Anomaly</v>
      </c>
      <c r="R529" s="5">
        <f>SUMIFS(Table4[BudgetAmount],Table4[ActualExpense],"pending")</f>
        <v>0</v>
      </c>
    </row>
    <row r="530" spans="1:18">
      <c r="A530" t="s">
        <v>984</v>
      </c>
      <c r="B530" t="s">
        <v>985</v>
      </c>
      <c r="C530" t="s">
        <v>64</v>
      </c>
      <c r="D530" t="s">
        <v>40</v>
      </c>
      <c r="E530" t="s">
        <v>71</v>
      </c>
      <c r="F530" t="s">
        <v>72</v>
      </c>
      <c r="G530" s="2">
        <v>185167</v>
      </c>
      <c r="H530" s="1">
        <v>204986</v>
      </c>
      <c r="I530">
        <v>19819</v>
      </c>
      <c r="J530" t="s">
        <v>54</v>
      </c>
      <c r="K530" t="s">
        <v>48</v>
      </c>
      <c r="L530" t="s">
        <v>68</v>
      </c>
      <c r="M530" t="s">
        <v>42</v>
      </c>
      <c r="N530" s="5">
        <f>Table4[[#This Row],[BudgetAmount]]/Table4[[#This Row],[Variance]]</f>
        <v>9.3429032746354501</v>
      </c>
      <c r="O530" s="5" t="str">
        <f>TEXT(Table4[[#This Row],[Date]],"mmm")</f>
        <v>Dec</v>
      </c>
      <c r="P530" s="5">
        <f>ABS(Table4[[#This Row],[Variance]])</f>
        <v>19819</v>
      </c>
      <c r="Q530" s="5" t="str">
        <f>IF(Table4[[#This Row],[AB Variances ]]&gt;$P$2,"Anomaly","Normal")</f>
        <v>Anomaly</v>
      </c>
      <c r="R530" s="5">
        <f>SUMIFS(Table4[BudgetAmount],Table4[ActualExpense],"pending")</f>
        <v>0</v>
      </c>
    </row>
    <row r="531" spans="1:18">
      <c r="A531" t="s">
        <v>986</v>
      </c>
      <c r="B531" t="s">
        <v>987</v>
      </c>
      <c r="C531" t="s">
        <v>35</v>
      </c>
      <c r="D531" t="s">
        <v>61</v>
      </c>
      <c r="E531" t="s">
        <v>27</v>
      </c>
      <c r="F531" t="s">
        <v>28</v>
      </c>
      <c r="G531" s="2">
        <v>226233</v>
      </c>
      <c r="H531" s="1">
        <v>275822</v>
      </c>
      <c r="I531">
        <v>49589</v>
      </c>
      <c r="J531" t="s">
        <v>54</v>
      </c>
      <c r="K531" t="s">
        <v>20</v>
      </c>
      <c r="L531" t="s">
        <v>21</v>
      </c>
      <c r="M531" t="s">
        <v>42</v>
      </c>
      <c r="N531" s="5">
        <f>Table4[[#This Row],[BudgetAmount]]/Table4[[#This Row],[Variance]]</f>
        <v>4.5621609631168205</v>
      </c>
      <c r="O531" s="5" t="str">
        <f>TEXT(Table4[[#This Row],[Date]],"mmm")</f>
        <v>Oct</v>
      </c>
      <c r="P531" s="5">
        <f>ABS(Table4[[#This Row],[Variance]])</f>
        <v>49589</v>
      </c>
      <c r="Q531" s="5" t="str">
        <f>IF(Table4[[#This Row],[AB Variances ]]&gt;$P$2,"Anomaly","Normal")</f>
        <v>Anomaly</v>
      </c>
      <c r="R531" s="5">
        <f>SUMIFS(Table4[BudgetAmount],Table4[ActualExpense],"pending")</f>
        <v>0</v>
      </c>
    </row>
    <row r="532" spans="1:18">
      <c r="A532" t="s">
        <v>988</v>
      </c>
      <c r="B532" t="s">
        <v>369</v>
      </c>
      <c r="C532" t="s">
        <v>25</v>
      </c>
      <c r="D532" t="s">
        <v>61</v>
      </c>
      <c r="E532" t="s">
        <v>17</v>
      </c>
      <c r="F532" t="s">
        <v>18</v>
      </c>
      <c r="G532" s="2">
        <v>188154</v>
      </c>
      <c r="H532" s="1">
        <v>150012</v>
      </c>
      <c r="I532">
        <v>-38142</v>
      </c>
      <c r="J532" t="s">
        <v>37</v>
      </c>
      <c r="K532" t="s">
        <v>29</v>
      </c>
      <c r="L532" t="s">
        <v>68</v>
      </c>
      <c r="M532" t="s">
        <v>22</v>
      </c>
      <c r="N532" s="5">
        <f>Table4[[#This Row],[BudgetAmount]]/Table4[[#This Row],[Variance]]</f>
        <v>-4.9329872581406322</v>
      </c>
      <c r="O532" s="5" t="str">
        <f>TEXT(Table4[[#This Row],[Date]],"mmm")</f>
        <v>Dec</v>
      </c>
      <c r="P532" s="5">
        <f>ABS(Table4[[#This Row],[Variance]])</f>
        <v>38142</v>
      </c>
      <c r="Q532" s="5" t="str">
        <f>IF(Table4[[#This Row],[AB Variances ]]&gt;$P$2,"Anomaly","Normal")</f>
        <v>Anomaly</v>
      </c>
      <c r="R532" s="5">
        <f>SUMIFS(Table4[BudgetAmount],Table4[ActualExpense],"pending")</f>
        <v>0</v>
      </c>
    </row>
    <row r="533" spans="1:18">
      <c r="A533" t="s">
        <v>989</v>
      </c>
      <c r="B533" t="s">
        <v>990</v>
      </c>
      <c r="C533" t="s">
        <v>15</v>
      </c>
      <c r="D533" t="s">
        <v>34</v>
      </c>
      <c r="E533" t="s">
        <v>46</v>
      </c>
      <c r="F533" t="s">
        <v>47</v>
      </c>
      <c r="G533" s="2">
        <v>421860</v>
      </c>
      <c r="H533" s="1">
        <v>525386</v>
      </c>
      <c r="I533">
        <v>103526</v>
      </c>
      <c r="J533" t="s">
        <v>54</v>
      </c>
      <c r="K533" t="s">
        <v>41</v>
      </c>
      <c r="L533" t="s">
        <v>68</v>
      </c>
      <c r="M533" t="s">
        <v>22</v>
      </c>
      <c r="N533" s="5">
        <f>Table4[[#This Row],[BudgetAmount]]/Table4[[#This Row],[Variance]]</f>
        <v>4.0749183779920024</v>
      </c>
      <c r="O533" s="5" t="str">
        <f>TEXT(Table4[[#This Row],[Date]],"mmm")</f>
        <v>Jan</v>
      </c>
      <c r="P533" s="5">
        <f>ABS(Table4[[#This Row],[Variance]])</f>
        <v>103526</v>
      </c>
      <c r="Q533" s="5" t="str">
        <f>IF(Table4[[#This Row],[AB Variances ]]&gt;$P$2,"Anomaly","Normal")</f>
        <v>Anomaly</v>
      </c>
      <c r="R533" s="5">
        <f>SUMIFS(Table4[BudgetAmount],Table4[ActualExpense],"pending")</f>
        <v>0</v>
      </c>
    </row>
    <row r="534" spans="1:18">
      <c r="A534" t="s">
        <v>991</v>
      </c>
      <c r="B534" t="s">
        <v>992</v>
      </c>
      <c r="C534" t="s">
        <v>25</v>
      </c>
      <c r="D534" t="s">
        <v>40</v>
      </c>
      <c r="E534" t="s">
        <v>85</v>
      </c>
      <c r="F534" t="s">
        <v>86</v>
      </c>
      <c r="G534" s="2">
        <v>123494</v>
      </c>
      <c r="H534" s="1">
        <v>160998</v>
      </c>
      <c r="I534">
        <v>37504</v>
      </c>
      <c r="J534" t="s">
        <v>37</v>
      </c>
      <c r="K534" t="s">
        <v>20</v>
      </c>
      <c r="L534" t="s">
        <v>68</v>
      </c>
      <c r="M534" t="s">
        <v>42</v>
      </c>
      <c r="N534" s="5">
        <f>Table4[[#This Row],[BudgetAmount]]/Table4[[#This Row],[Variance]]</f>
        <v>3.2928220989761092</v>
      </c>
      <c r="O534" s="5" t="str">
        <f>TEXT(Table4[[#This Row],[Date]],"mmm")</f>
        <v>Dec</v>
      </c>
      <c r="P534" s="5">
        <f>ABS(Table4[[#This Row],[Variance]])</f>
        <v>37504</v>
      </c>
      <c r="Q534" s="5" t="str">
        <f>IF(Table4[[#This Row],[AB Variances ]]&gt;$P$2,"Anomaly","Normal")</f>
        <v>Anomaly</v>
      </c>
      <c r="R534" s="5">
        <f>SUMIFS(Table4[BudgetAmount],Table4[ActualExpense],"pending")</f>
        <v>0</v>
      </c>
    </row>
    <row r="535" spans="1:18">
      <c r="A535" t="s">
        <v>993</v>
      </c>
      <c r="B535" t="s">
        <v>808</v>
      </c>
      <c r="C535" t="s">
        <v>15</v>
      </c>
      <c r="D535" t="s">
        <v>61</v>
      </c>
      <c r="E535" t="s">
        <v>35</v>
      </c>
      <c r="F535" t="s">
        <v>36</v>
      </c>
      <c r="G535" s="2">
        <v>94240</v>
      </c>
      <c r="H535" s="1">
        <v>89037</v>
      </c>
      <c r="I535">
        <v>-5203</v>
      </c>
      <c r="J535" t="s">
        <v>19</v>
      </c>
      <c r="K535" t="s">
        <v>29</v>
      </c>
      <c r="L535" t="s">
        <v>30</v>
      </c>
      <c r="M535" t="s">
        <v>42</v>
      </c>
      <c r="N535" s="5">
        <f>Table4[[#This Row],[BudgetAmount]]/Table4[[#This Row],[Variance]]</f>
        <v>-18.112627330386317</v>
      </c>
      <c r="O535" s="5" t="str">
        <f>TEXT(Table4[[#This Row],[Date]],"mmm")</f>
        <v>Jan</v>
      </c>
      <c r="P535" s="5">
        <f>ABS(Table4[[#This Row],[Variance]])</f>
        <v>5203</v>
      </c>
      <c r="Q535" s="5" t="str">
        <f>IF(Table4[[#This Row],[AB Variances ]]&gt;$P$2,"Anomaly","Normal")</f>
        <v>Normal</v>
      </c>
      <c r="R535" s="5">
        <f>SUMIFS(Table4[BudgetAmount],Table4[ActualExpense],"pending")</f>
        <v>0</v>
      </c>
    </row>
    <row r="536" spans="1:18">
      <c r="A536" t="s">
        <v>994</v>
      </c>
      <c r="B536" t="s">
        <v>995</v>
      </c>
      <c r="C536" t="s">
        <v>15</v>
      </c>
      <c r="D536" t="s">
        <v>16</v>
      </c>
      <c r="E536" t="s">
        <v>17</v>
      </c>
      <c r="F536" t="s">
        <v>18</v>
      </c>
      <c r="G536" s="2">
        <v>207218</v>
      </c>
      <c r="H536" s="1">
        <v>224373</v>
      </c>
      <c r="I536">
        <v>17155</v>
      </c>
      <c r="J536" t="s">
        <v>54</v>
      </c>
      <c r="K536" t="s">
        <v>29</v>
      </c>
      <c r="L536" t="s">
        <v>68</v>
      </c>
      <c r="M536" t="s">
        <v>42</v>
      </c>
      <c r="N536" s="5">
        <f>Table4[[#This Row],[BudgetAmount]]/Table4[[#This Row],[Variance]]</f>
        <v>12.079160594578839</v>
      </c>
      <c r="O536" s="5" t="str">
        <f>TEXT(Table4[[#This Row],[Date]],"mmm")</f>
        <v>Feb</v>
      </c>
      <c r="P536" s="5">
        <f>ABS(Table4[[#This Row],[Variance]])</f>
        <v>17155</v>
      </c>
      <c r="Q536" s="5" t="str">
        <f>IF(Table4[[#This Row],[AB Variances ]]&gt;$P$2,"Anomaly","Normal")</f>
        <v>Normal</v>
      </c>
      <c r="R536" s="5">
        <f>SUMIFS(Table4[BudgetAmount],Table4[ActualExpense],"pending")</f>
        <v>0</v>
      </c>
    </row>
    <row r="537" spans="1:18">
      <c r="A537" t="s">
        <v>996</v>
      </c>
      <c r="B537" t="s">
        <v>997</v>
      </c>
      <c r="C537" t="s">
        <v>64</v>
      </c>
      <c r="D537" t="s">
        <v>26</v>
      </c>
      <c r="E537" t="s">
        <v>17</v>
      </c>
      <c r="F537" t="s">
        <v>18</v>
      </c>
      <c r="G537" s="2">
        <v>422648</v>
      </c>
      <c r="H537" s="1">
        <v>411551</v>
      </c>
      <c r="I537">
        <v>-11097</v>
      </c>
      <c r="J537" t="s">
        <v>37</v>
      </c>
      <c r="K537" t="s">
        <v>41</v>
      </c>
      <c r="L537" t="s">
        <v>21</v>
      </c>
      <c r="M537" t="s">
        <v>22</v>
      </c>
      <c r="N537" s="5">
        <f>Table4[[#This Row],[BudgetAmount]]/Table4[[#This Row],[Variance]]</f>
        <v>-38.086690096422458</v>
      </c>
      <c r="O537" s="5" t="str">
        <f>TEXT(Table4[[#This Row],[Date]],"mmm")</f>
        <v>Aug</v>
      </c>
      <c r="P537" s="5">
        <f>ABS(Table4[[#This Row],[Variance]])</f>
        <v>11097</v>
      </c>
      <c r="Q537" s="5" t="str">
        <f>IF(Table4[[#This Row],[AB Variances ]]&gt;$P$2,"Anomaly","Normal")</f>
        <v>Normal</v>
      </c>
      <c r="R537" s="5">
        <f>SUMIFS(Table4[BudgetAmount],Table4[ActualExpense],"pending")</f>
        <v>0</v>
      </c>
    </row>
    <row r="538" spans="1:18">
      <c r="A538" t="s">
        <v>998</v>
      </c>
      <c r="B538" t="s">
        <v>859</v>
      </c>
      <c r="C538" t="s">
        <v>35</v>
      </c>
      <c r="D538" t="s">
        <v>34</v>
      </c>
      <c r="E538" t="s">
        <v>17</v>
      </c>
      <c r="F538" t="s">
        <v>18</v>
      </c>
      <c r="G538" s="2">
        <v>452220</v>
      </c>
      <c r="H538" s="1">
        <v>381960</v>
      </c>
      <c r="I538">
        <v>-70260</v>
      </c>
      <c r="J538" t="s">
        <v>19</v>
      </c>
      <c r="K538" t="s">
        <v>41</v>
      </c>
      <c r="L538" t="s">
        <v>21</v>
      </c>
      <c r="M538" t="s">
        <v>42</v>
      </c>
      <c r="N538" s="5">
        <f>Table4[[#This Row],[BudgetAmount]]/Table4[[#This Row],[Variance]]</f>
        <v>-6.4363791631084544</v>
      </c>
      <c r="O538" s="5" t="str">
        <f>TEXT(Table4[[#This Row],[Date]],"mmm")</f>
        <v>Apr</v>
      </c>
      <c r="P538" s="5">
        <f>ABS(Table4[[#This Row],[Variance]])</f>
        <v>70260</v>
      </c>
      <c r="Q538" s="5" t="str">
        <f>IF(Table4[[#This Row],[AB Variances ]]&gt;$P$2,"Anomaly","Normal")</f>
        <v>Anomaly</v>
      </c>
      <c r="R538" s="5">
        <f>SUMIFS(Table4[BudgetAmount],Table4[ActualExpense],"pending")</f>
        <v>0</v>
      </c>
    </row>
    <row r="539" spans="1:18">
      <c r="A539" t="s">
        <v>999</v>
      </c>
      <c r="B539" t="s">
        <v>385</v>
      </c>
      <c r="C539" t="s">
        <v>45</v>
      </c>
      <c r="D539" t="s">
        <v>16</v>
      </c>
      <c r="E539" t="s">
        <v>46</v>
      </c>
      <c r="F539" t="s">
        <v>47</v>
      </c>
      <c r="G539" s="2">
        <v>418610</v>
      </c>
      <c r="H539" s="1">
        <v>510173</v>
      </c>
      <c r="I539">
        <v>91563</v>
      </c>
      <c r="J539" t="s">
        <v>37</v>
      </c>
      <c r="K539" t="s">
        <v>41</v>
      </c>
      <c r="L539" t="s">
        <v>49</v>
      </c>
      <c r="M539" t="s">
        <v>22</v>
      </c>
      <c r="N539" s="5">
        <f>Table4[[#This Row],[BudgetAmount]]/Table4[[#This Row],[Variance]]</f>
        <v>4.5718248637550101</v>
      </c>
      <c r="O539" s="5" t="str">
        <f>TEXT(Table4[[#This Row],[Date]],"mmm")</f>
        <v>Aug</v>
      </c>
      <c r="P539" s="5">
        <f>ABS(Table4[[#This Row],[Variance]])</f>
        <v>91563</v>
      </c>
      <c r="Q539" s="5" t="str">
        <f>IF(Table4[[#This Row],[AB Variances ]]&gt;$P$2,"Anomaly","Normal")</f>
        <v>Anomaly</v>
      </c>
      <c r="R539" s="5">
        <f>SUMIFS(Table4[BudgetAmount],Table4[ActualExpense],"pending")</f>
        <v>0</v>
      </c>
    </row>
    <row r="540" spans="1:18">
      <c r="A540" t="s">
        <v>1000</v>
      </c>
      <c r="B540" t="s">
        <v>1001</v>
      </c>
      <c r="C540" t="s">
        <v>33</v>
      </c>
      <c r="D540" t="s">
        <v>40</v>
      </c>
      <c r="E540" t="s">
        <v>85</v>
      </c>
      <c r="F540" t="s">
        <v>86</v>
      </c>
      <c r="G540" s="2">
        <v>91070</v>
      </c>
      <c r="H540" s="1">
        <v>123383</v>
      </c>
      <c r="I540">
        <v>32313</v>
      </c>
      <c r="J540" t="s">
        <v>54</v>
      </c>
      <c r="K540" t="s">
        <v>67</v>
      </c>
      <c r="L540" t="s">
        <v>49</v>
      </c>
      <c r="M540" t="s">
        <v>42</v>
      </c>
      <c r="N540" s="5">
        <f>Table4[[#This Row],[BudgetAmount]]/Table4[[#This Row],[Variance]]</f>
        <v>2.8183703153529538</v>
      </c>
      <c r="O540" s="5" t="str">
        <f>TEXT(Table4[[#This Row],[Date]],"mmm")</f>
        <v>Jul</v>
      </c>
      <c r="P540" s="5">
        <f>ABS(Table4[[#This Row],[Variance]])</f>
        <v>32313</v>
      </c>
      <c r="Q540" s="5" t="str">
        <f>IF(Table4[[#This Row],[AB Variances ]]&gt;$P$2,"Anomaly","Normal")</f>
        <v>Anomaly</v>
      </c>
      <c r="R540" s="5">
        <f>SUMIFS(Table4[BudgetAmount],Table4[ActualExpense],"pending")</f>
        <v>0</v>
      </c>
    </row>
    <row r="541" spans="1:18">
      <c r="A541" t="s">
        <v>1002</v>
      </c>
      <c r="B541" t="s">
        <v>223</v>
      </c>
      <c r="C541" t="s">
        <v>64</v>
      </c>
      <c r="D541" t="s">
        <v>34</v>
      </c>
      <c r="E541" t="s">
        <v>17</v>
      </c>
      <c r="F541" t="s">
        <v>18</v>
      </c>
      <c r="G541" s="2">
        <v>134593</v>
      </c>
      <c r="H541" s="1">
        <v>180561</v>
      </c>
      <c r="I541">
        <v>45968</v>
      </c>
      <c r="J541" t="s">
        <v>19</v>
      </c>
      <c r="K541" t="s">
        <v>20</v>
      </c>
      <c r="L541" t="s">
        <v>30</v>
      </c>
      <c r="M541" t="s">
        <v>22</v>
      </c>
      <c r="N541" s="5">
        <f>Table4[[#This Row],[BudgetAmount]]/Table4[[#This Row],[Variance]]</f>
        <v>2.9279716324399581</v>
      </c>
      <c r="O541" s="5" t="str">
        <f>TEXT(Table4[[#This Row],[Date]],"mmm")</f>
        <v>Nov</v>
      </c>
      <c r="P541" s="5">
        <f>ABS(Table4[[#This Row],[Variance]])</f>
        <v>45968</v>
      </c>
      <c r="Q541" s="5" t="str">
        <f>IF(Table4[[#This Row],[AB Variances ]]&gt;$P$2,"Anomaly","Normal")</f>
        <v>Anomaly</v>
      </c>
      <c r="R541" s="5">
        <f>SUMIFS(Table4[BudgetAmount],Table4[ActualExpense],"pending")</f>
        <v>0</v>
      </c>
    </row>
    <row r="542" spans="1:18">
      <c r="A542" t="s">
        <v>1003</v>
      </c>
      <c r="B542" t="s">
        <v>1004</v>
      </c>
      <c r="C542" t="s">
        <v>33</v>
      </c>
      <c r="D542" t="s">
        <v>61</v>
      </c>
      <c r="E542" t="s">
        <v>35</v>
      </c>
      <c r="F542" t="s">
        <v>36</v>
      </c>
      <c r="G542" s="2">
        <v>359354</v>
      </c>
      <c r="H542" s="1">
        <v>395263</v>
      </c>
      <c r="I542">
        <v>35909</v>
      </c>
      <c r="J542" t="s">
        <v>54</v>
      </c>
      <c r="K542" t="s">
        <v>29</v>
      </c>
      <c r="L542" t="s">
        <v>21</v>
      </c>
      <c r="M542" t="s">
        <v>22</v>
      </c>
      <c r="N542" s="5">
        <f>Table4[[#This Row],[BudgetAmount]]/Table4[[#This Row],[Variance]]</f>
        <v>10.007351917346627</v>
      </c>
      <c r="O542" s="5" t="str">
        <f>TEXT(Table4[[#This Row],[Date]],"mmm")</f>
        <v>Jun</v>
      </c>
      <c r="P542" s="5">
        <f>ABS(Table4[[#This Row],[Variance]])</f>
        <v>35909</v>
      </c>
      <c r="Q542" s="5" t="str">
        <f>IF(Table4[[#This Row],[AB Variances ]]&gt;$P$2,"Anomaly","Normal")</f>
        <v>Anomaly</v>
      </c>
      <c r="R542" s="5">
        <f>SUMIFS(Table4[BudgetAmount],Table4[ActualExpense],"pending")</f>
        <v>0</v>
      </c>
    </row>
    <row r="543" spans="1:18">
      <c r="A543" t="s">
        <v>1005</v>
      </c>
      <c r="B543" t="s">
        <v>1006</v>
      </c>
      <c r="C543" t="s">
        <v>15</v>
      </c>
      <c r="D543" t="s">
        <v>34</v>
      </c>
      <c r="E543" t="s">
        <v>17</v>
      </c>
      <c r="F543" t="s">
        <v>18</v>
      </c>
      <c r="G543" s="2">
        <v>253051</v>
      </c>
      <c r="H543" s="1">
        <v>209637</v>
      </c>
      <c r="I543">
        <v>-43414</v>
      </c>
      <c r="J543" t="s">
        <v>37</v>
      </c>
      <c r="K543" t="s">
        <v>29</v>
      </c>
      <c r="L543" t="s">
        <v>68</v>
      </c>
      <c r="M543" t="s">
        <v>42</v>
      </c>
      <c r="N543" s="5">
        <f>Table4[[#This Row],[BudgetAmount]]/Table4[[#This Row],[Variance]]</f>
        <v>-5.8287879485880127</v>
      </c>
      <c r="O543" s="5" t="str">
        <f>TEXT(Table4[[#This Row],[Date]],"mmm")</f>
        <v>Jan</v>
      </c>
      <c r="P543" s="5">
        <f>ABS(Table4[[#This Row],[Variance]])</f>
        <v>43414</v>
      </c>
      <c r="Q543" s="5" t="str">
        <f>IF(Table4[[#This Row],[AB Variances ]]&gt;$P$2,"Anomaly","Normal")</f>
        <v>Anomaly</v>
      </c>
      <c r="R543" s="5">
        <f>SUMIFS(Table4[BudgetAmount],Table4[ActualExpense],"pending")</f>
        <v>0</v>
      </c>
    </row>
    <row r="544" spans="1:18">
      <c r="A544" t="s">
        <v>1007</v>
      </c>
      <c r="B544" t="s">
        <v>1008</v>
      </c>
      <c r="C544" t="s">
        <v>33</v>
      </c>
      <c r="D544" t="s">
        <v>40</v>
      </c>
      <c r="E544" t="s">
        <v>71</v>
      </c>
      <c r="F544" t="s">
        <v>72</v>
      </c>
      <c r="G544" s="2">
        <v>167055</v>
      </c>
      <c r="H544" s="1">
        <v>146243</v>
      </c>
      <c r="I544">
        <v>-20812</v>
      </c>
      <c r="J544" t="s">
        <v>19</v>
      </c>
      <c r="K544" t="s">
        <v>29</v>
      </c>
      <c r="L544" t="s">
        <v>30</v>
      </c>
      <c r="M544" t="s">
        <v>42</v>
      </c>
      <c r="N544" s="5">
        <f>Table4[[#This Row],[BudgetAmount]]/Table4[[#This Row],[Variance]]</f>
        <v>-8.026859504132231</v>
      </c>
      <c r="O544" s="5" t="str">
        <f>TEXT(Table4[[#This Row],[Date]],"mmm")</f>
        <v>Oct</v>
      </c>
      <c r="P544" s="5">
        <f>ABS(Table4[[#This Row],[Variance]])</f>
        <v>20812</v>
      </c>
      <c r="Q544" s="5" t="str">
        <f>IF(Table4[[#This Row],[AB Variances ]]&gt;$P$2,"Anomaly","Normal")</f>
        <v>Anomaly</v>
      </c>
      <c r="R544" s="5">
        <f>SUMIFS(Table4[BudgetAmount],Table4[ActualExpense],"pending")</f>
        <v>0</v>
      </c>
    </row>
    <row r="545" spans="1:18">
      <c r="A545" t="s">
        <v>1009</v>
      </c>
      <c r="B545" t="s">
        <v>1010</v>
      </c>
      <c r="C545" t="s">
        <v>15</v>
      </c>
      <c r="D545" t="s">
        <v>26</v>
      </c>
      <c r="E545" t="s">
        <v>35</v>
      </c>
      <c r="F545" t="s">
        <v>36</v>
      </c>
      <c r="G545" s="2">
        <v>149223</v>
      </c>
      <c r="H545" s="1">
        <v>190419</v>
      </c>
      <c r="I545">
        <v>41196</v>
      </c>
      <c r="J545" t="s">
        <v>54</v>
      </c>
      <c r="K545" t="s">
        <v>67</v>
      </c>
      <c r="L545" t="s">
        <v>30</v>
      </c>
      <c r="M545" t="s">
        <v>42</v>
      </c>
      <c r="N545" s="5">
        <f>Table4[[#This Row],[BudgetAmount]]/Table4[[#This Row],[Variance]]</f>
        <v>3.622269152344888</v>
      </c>
      <c r="O545" s="5" t="str">
        <f>TEXT(Table4[[#This Row],[Date]],"mmm")</f>
        <v>Mar</v>
      </c>
      <c r="P545" s="5">
        <f>ABS(Table4[[#This Row],[Variance]])</f>
        <v>41196</v>
      </c>
      <c r="Q545" s="5" t="str">
        <f>IF(Table4[[#This Row],[AB Variances ]]&gt;$P$2,"Anomaly","Normal")</f>
        <v>Anomaly</v>
      </c>
      <c r="R545" s="5">
        <f>SUMIFS(Table4[BudgetAmount],Table4[ActualExpense],"pending")</f>
        <v>0</v>
      </c>
    </row>
    <row r="546" spans="1:18">
      <c r="A546" t="s">
        <v>1011</v>
      </c>
      <c r="B546" t="s">
        <v>1012</v>
      </c>
      <c r="C546" t="s">
        <v>25</v>
      </c>
      <c r="D546" t="s">
        <v>40</v>
      </c>
      <c r="E546" t="s">
        <v>17</v>
      </c>
      <c r="F546" t="s">
        <v>18</v>
      </c>
      <c r="G546" s="2">
        <v>168208</v>
      </c>
      <c r="H546" s="1">
        <v>208879</v>
      </c>
      <c r="I546">
        <v>40671</v>
      </c>
      <c r="J546" t="s">
        <v>37</v>
      </c>
      <c r="K546" t="s">
        <v>41</v>
      </c>
      <c r="L546" t="s">
        <v>68</v>
      </c>
      <c r="M546" t="s">
        <v>22</v>
      </c>
      <c r="N546" s="5">
        <f>Table4[[#This Row],[BudgetAmount]]/Table4[[#This Row],[Variance]]</f>
        <v>4.1358215927810971</v>
      </c>
      <c r="O546" s="5" t="str">
        <f>TEXT(Table4[[#This Row],[Date]],"mmm")</f>
        <v>Apr</v>
      </c>
      <c r="P546" s="5">
        <f>ABS(Table4[[#This Row],[Variance]])</f>
        <v>40671</v>
      </c>
      <c r="Q546" s="5" t="str">
        <f>IF(Table4[[#This Row],[AB Variances ]]&gt;$P$2,"Anomaly","Normal")</f>
        <v>Anomaly</v>
      </c>
      <c r="R546" s="5">
        <f>SUMIFS(Table4[BudgetAmount],Table4[ActualExpense],"pending")</f>
        <v>0</v>
      </c>
    </row>
    <row r="547" spans="1:18">
      <c r="A547" t="s">
        <v>1013</v>
      </c>
      <c r="B547" t="s">
        <v>1014</v>
      </c>
      <c r="C547" t="s">
        <v>35</v>
      </c>
      <c r="D547" t="s">
        <v>26</v>
      </c>
      <c r="E547" t="s">
        <v>46</v>
      </c>
      <c r="F547" t="s">
        <v>47</v>
      </c>
      <c r="G547" s="2">
        <v>219101</v>
      </c>
      <c r="H547" s="1">
        <v>301470</v>
      </c>
      <c r="I547">
        <v>82369</v>
      </c>
      <c r="J547" t="s">
        <v>54</v>
      </c>
      <c r="K547" t="s">
        <v>29</v>
      </c>
      <c r="L547" t="s">
        <v>30</v>
      </c>
      <c r="M547" t="s">
        <v>22</v>
      </c>
      <c r="N547" s="5">
        <f>Table4[[#This Row],[BudgetAmount]]/Table4[[#This Row],[Variance]]</f>
        <v>2.6599934441355364</v>
      </c>
      <c r="O547" s="5" t="str">
        <f>TEXT(Table4[[#This Row],[Date]],"mmm")</f>
        <v>Dec</v>
      </c>
      <c r="P547" s="5">
        <f>ABS(Table4[[#This Row],[Variance]])</f>
        <v>82369</v>
      </c>
      <c r="Q547" s="5" t="str">
        <f>IF(Table4[[#This Row],[AB Variances ]]&gt;$P$2,"Anomaly","Normal")</f>
        <v>Anomaly</v>
      </c>
      <c r="R547" s="5">
        <f>SUMIFS(Table4[BudgetAmount],Table4[ActualExpense],"pending")</f>
        <v>0</v>
      </c>
    </row>
    <row r="548" spans="1:18">
      <c r="A548" t="s">
        <v>1015</v>
      </c>
      <c r="B548" t="s">
        <v>1016</v>
      </c>
      <c r="C548" t="s">
        <v>64</v>
      </c>
      <c r="D548" t="s">
        <v>40</v>
      </c>
      <c r="E548" t="s">
        <v>71</v>
      </c>
      <c r="F548" t="s">
        <v>72</v>
      </c>
      <c r="G548" s="2">
        <v>325962</v>
      </c>
      <c r="H548" s="1">
        <v>354187</v>
      </c>
      <c r="I548">
        <v>28225</v>
      </c>
      <c r="J548" t="s">
        <v>19</v>
      </c>
      <c r="K548" t="s">
        <v>67</v>
      </c>
      <c r="L548" t="s">
        <v>68</v>
      </c>
      <c r="M548" t="s">
        <v>22</v>
      </c>
      <c r="N548" s="5">
        <f>Table4[[#This Row],[BudgetAmount]]/Table4[[#This Row],[Variance]]</f>
        <v>11.548697962798936</v>
      </c>
      <c r="O548" s="5" t="str">
        <f>TEXT(Table4[[#This Row],[Date]],"mmm")</f>
        <v>Jul</v>
      </c>
      <c r="P548" s="5">
        <f>ABS(Table4[[#This Row],[Variance]])</f>
        <v>28225</v>
      </c>
      <c r="Q548" s="5" t="str">
        <f>IF(Table4[[#This Row],[AB Variances ]]&gt;$P$2,"Anomaly","Normal")</f>
        <v>Anomaly</v>
      </c>
      <c r="R548" s="5">
        <f>SUMIFS(Table4[BudgetAmount],Table4[ActualExpense],"pending")</f>
        <v>0</v>
      </c>
    </row>
    <row r="549" spans="1:18">
      <c r="A549" t="s">
        <v>1017</v>
      </c>
      <c r="B549" t="s">
        <v>800</v>
      </c>
      <c r="C549" t="s">
        <v>33</v>
      </c>
      <c r="D549" t="s">
        <v>34</v>
      </c>
      <c r="E549" t="s">
        <v>46</v>
      </c>
      <c r="F549" t="s">
        <v>47</v>
      </c>
      <c r="G549" s="2">
        <v>286902</v>
      </c>
      <c r="H549" s="1">
        <v>374421</v>
      </c>
      <c r="I549">
        <v>87519</v>
      </c>
      <c r="J549" t="s">
        <v>37</v>
      </c>
      <c r="K549" t="s">
        <v>20</v>
      </c>
      <c r="L549" t="s">
        <v>30</v>
      </c>
      <c r="M549" t="s">
        <v>42</v>
      </c>
      <c r="N549" s="5">
        <f>Table4[[#This Row],[BudgetAmount]]/Table4[[#This Row],[Variance]]</f>
        <v>3.2781681691975457</v>
      </c>
      <c r="O549" s="5" t="str">
        <f>TEXT(Table4[[#This Row],[Date]],"mmm")</f>
        <v>Jun</v>
      </c>
      <c r="P549" s="5">
        <f>ABS(Table4[[#This Row],[Variance]])</f>
        <v>87519</v>
      </c>
      <c r="Q549" s="5" t="str">
        <f>IF(Table4[[#This Row],[AB Variances ]]&gt;$P$2,"Anomaly","Normal")</f>
        <v>Anomaly</v>
      </c>
      <c r="R549" s="5">
        <f>SUMIFS(Table4[BudgetAmount],Table4[ActualExpense],"pending")</f>
        <v>0</v>
      </c>
    </row>
    <row r="550" spans="1:18">
      <c r="A550" t="s">
        <v>1018</v>
      </c>
      <c r="B550" t="s">
        <v>1019</v>
      </c>
      <c r="C550" t="s">
        <v>15</v>
      </c>
      <c r="D550" t="s">
        <v>61</v>
      </c>
      <c r="E550" t="s">
        <v>85</v>
      </c>
      <c r="F550" t="s">
        <v>86</v>
      </c>
      <c r="G550" s="2">
        <v>347269</v>
      </c>
      <c r="H550" s="1">
        <v>476116</v>
      </c>
      <c r="I550">
        <v>128847</v>
      </c>
      <c r="J550" t="s">
        <v>19</v>
      </c>
      <c r="K550" t="s">
        <v>41</v>
      </c>
      <c r="L550" t="s">
        <v>68</v>
      </c>
      <c r="M550" t="s">
        <v>22</v>
      </c>
      <c r="N550" s="5">
        <f>Table4[[#This Row],[BudgetAmount]]/Table4[[#This Row],[Variance]]</f>
        <v>2.6952043897025155</v>
      </c>
      <c r="O550" s="5" t="str">
        <f>TEXT(Table4[[#This Row],[Date]],"mmm")</f>
        <v>Apr</v>
      </c>
      <c r="P550" s="5">
        <f>ABS(Table4[[#This Row],[Variance]])</f>
        <v>128847</v>
      </c>
      <c r="Q550" s="5" t="str">
        <f>IF(Table4[[#This Row],[AB Variances ]]&gt;$P$2,"Anomaly","Normal")</f>
        <v>Anomaly</v>
      </c>
      <c r="R550" s="5">
        <f>SUMIFS(Table4[BudgetAmount],Table4[ActualExpense],"pending")</f>
        <v>0</v>
      </c>
    </row>
    <row r="551" spans="1:18">
      <c r="A551" t="s">
        <v>1020</v>
      </c>
      <c r="B551" t="s">
        <v>354</v>
      </c>
      <c r="C551" t="s">
        <v>25</v>
      </c>
      <c r="D551" t="s">
        <v>40</v>
      </c>
      <c r="E551" t="s">
        <v>71</v>
      </c>
      <c r="F551" t="s">
        <v>72</v>
      </c>
      <c r="G551" s="2">
        <v>410625</v>
      </c>
      <c r="H551" s="1">
        <v>559788</v>
      </c>
      <c r="I551">
        <v>149163</v>
      </c>
      <c r="J551" t="s">
        <v>54</v>
      </c>
      <c r="K551" t="s">
        <v>41</v>
      </c>
      <c r="L551" t="s">
        <v>68</v>
      </c>
      <c r="M551" t="s">
        <v>22</v>
      </c>
      <c r="N551" s="5">
        <f>Table4[[#This Row],[BudgetAmount]]/Table4[[#This Row],[Variance]]</f>
        <v>2.7528609641801252</v>
      </c>
      <c r="O551" s="5" t="str">
        <f>TEXT(Table4[[#This Row],[Date]],"mmm")</f>
        <v>Jul</v>
      </c>
      <c r="P551" s="5">
        <f>ABS(Table4[[#This Row],[Variance]])</f>
        <v>149163</v>
      </c>
      <c r="Q551" s="5" t="str">
        <f>IF(Table4[[#This Row],[AB Variances ]]&gt;$P$2,"Anomaly","Normal")</f>
        <v>Anomaly</v>
      </c>
      <c r="R551" s="5">
        <f>SUMIFS(Table4[BudgetAmount],Table4[ActualExpense],"pending")</f>
        <v>0</v>
      </c>
    </row>
    <row r="552" spans="1:18">
      <c r="A552" t="s">
        <v>1021</v>
      </c>
      <c r="B552" t="s">
        <v>221</v>
      </c>
      <c r="C552" t="s">
        <v>45</v>
      </c>
      <c r="D552" t="s">
        <v>61</v>
      </c>
      <c r="E552" t="s">
        <v>17</v>
      </c>
      <c r="F552" t="s">
        <v>18</v>
      </c>
      <c r="G552" s="2">
        <v>499445</v>
      </c>
      <c r="H552" s="1">
        <v>403135</v>
      </c>
      <c r="I552">
        <v>-96310</v>
      </c>
      <c r="J552" t="s">
        <v>54</v>
      </c>
      <c r="K552" t="s">
        <v>41</v>
      </c>
      <c r="L552" t="s">
        <v>68</v>
      </c>
      <c r="M552" t="s">
        <v>22</v>
      </c>
      <c r="N552" s="5">
        <f>Table4[[#This Row],[BudgetAmount]]/Table4[[#This Row],[Variance]]</f>
        <v>-5.1858062506489464</v>
      </c>
      <c r="O552" s="5" t="str">
        <f>TEXT(Table4[[#This Row],[Date]],"mmm")</f>
        <v>May</v>
      </c>
      <c r="P552" s="5">
        <f>ABS(Table4[[#This Row],[Variance]])</f>
        <v>96310</v>
      </c>
      <c r="Q552" s="5" t="str">
        <f>IF(Table4[[#This Row],[AB Variances ]]&gt;$P$2,"Anomaly","Normal")</f>
        <v>Anomaly</v>
      </c>
      <c r="R552" s="5">
        <f>SUMIFS(Table4[BudgetAmount],Table4[ActualExpense],"pending")</f>
        <v>0</v>
      </c>
    </row>
    <row r="553" spans="1:18">
      <c r="A553" t="s">
        <v>1022</v>
      </c>
      <c r="B553" t="s">
        <v>1023</v>
      </c>
      <c r="C553" t="s">
        <v>45</v>
      </c>
      <c r="D553" t="s">
        <v>34</v>
      </c>
      <c r="E553" t="s">
        <v>17</v>
      </c>
      <c r="F553" t="s">
        <v>18</v>
      </c>
      <c r="G553" s="2">
        <v>476285</v>
      </c>
      <c r="H553" s="1">
        <v>421905</v>
      </c>
      <c r="I553">
        <v>-54380</v>
      </c>
      <c r="J553" t="s">
        <v>37</v>
      </c>
      <c r="K553" t="s">
        <v>20</v>
      </c>
      <c r="L553" t="s">
        <v>21</v>
      </c>
      <c r="M553" t="s">
        <v>42</v>
      </c>
      <c r="N553" s="5">
        <f>Table4[[#This Row],[BudgetAmount]]/Table4[[#This Row],[Variance]]</f>
        <v>-8.758458992276573</v>
      </c>
      <c r="O553" s="5" t="str">
        <f>TEXT(Table4[[#This Row],[Date]],"mmm")</f>
        <v>Jan</v>
      </c>
      <c r="P553" s="5">
        <f>ABS(Table4[[#This Row],[Variance]])</f>
        <v>54380</v>
      </c>
      <c r="Q553" s="5" t="str">
        <f>IF(Table4[[#This Row],[AB Variances ]]&gt;$P$2,"Anomaly","Normal")</f>
        <v>Anomaly</v>
      </c>
      <c r="R553" s="5">
        <f>SUMIFS(Table4[BudgetAmount],Table4[ActualExpense],"pending")</f>
        <v>0</v>
      </c>
    </row>
    <row r="554" spans="1:18">
      <c r="A554" t="s">
        <v>1024</v>
      </c>
      <c r="B554" t="s">
        <v>1025</v>
      </c>
      <c r="C554" t="s">
        <v>33</v>
      </c>
      <c r="D554" t="s">
        <v>16</v>
      </c>
      <c r="E554" t="s">
        <v>17</v>
      </c>
      <c r="F554" t="s">
        <v>18</v>
      </c>
      <c r="G554" s="2">
        <v>224816</v>
      </c>
      <c r="H554" s="1">
        <v>158953</v>
      </c>
      <c r="I554">
        <v>-65863</v>
      </c>
      <c r="J554" t="s">
        <v>19</v>
      </c>
      <c r="K554" t="s">
        <v>41</v>
      </c>
      <c r="L554" t="s">
        <v>30</v>
      </c>
      <c r="M554" t="s">
        <v>42</v>
      </c>
      <c r="N554" s="5">
        <f>Table4[[#This Row],[BudgetAmount]]/Table4[[#This Row],[Variance]]</f>
        <v>-3.4133883971273704</v>
      </c>
      <c r="O554" s="5" t="str">
        <f>TEXT(Table4[[#This Row],[Date]],"mmm")</f>
        <v>Apr</v>
      </c>
      <c r="P554" s="5">
        <f>ABS(Table4[[#This Row],[Variance]])</f>
        <v>65863</v>
      </c>
      <c r="Q554" s="5" t="str">
        <f>IF(Table4[[#This Row],[AB Variances ]]&gt;$P$2,"Anomaly","Normal")</f>
        <v>Anomaly</v>
      </c>
      <c r="R554" s="5">
        <f>SUMIFS(Table4[BudgetAmount],Table4[ActualExpense],"pending")</f>
        <v>0</v>
      </c>
    </row>
    <row r="555" spans="1:18">
      <c r="A555" t="s">
        <v>1026</v>
      </c>
      <c r="B555" t="s">
        <v>1027</v>
      </c>
      <c r="C555" t="s">
        <v>64</v>
      </c>
      <c r="D555" t="s">
        <v>34</v>
      </c>
      <c r="E555" t="s">
        <v>35</v>
      </c>
      <c r="F555" t="s">
        <v>36</v>
      </c>
      <c r="G555" s="2">
        <v>127041</v>
      </c>
      <c r="H555" s="1">
        <v>120787</v>
      </c>
      <c r="I555">
        <v>-6254</v>
      </c>
      <c r="J555" t="s">
        <v>37</v>
      </c>
      <c r="K555" t="s">
        <v>20</v>
      </c>
      <c r="L555" t="s">
        <v>49</v>
      </c>
      <c r="M555" t="s">
        <v>42</v>
      </c>
      <c r="N555" s="5">
        <f>Table4[[#This Row],[BudgetAmount]]/Table4[[#This Row],[Variance]]</f>
        <v>-20.3135593220339</v>
      </c>
      <c r="O555" s="5" t="str">
        <f>TEXT(Table4[[#This Row],[Date]],"mmm")</f>
        <v>Nov</v>
      </c>
      <c r="P555" s="5">
        <f>ABS(Table4[[#This Row],[Variance]])</f>
        <v>6254</v>
      </c>
      <c r="Q555" s="5" t="str">
        <f>IF(Table4[[#This Row],[AB Variances ]]&gt;$P$2,"Anomaly","Normal")</f>
        <v>Normal</v>
      </c>
      <c r="R555" s="5">
        <f>SUMIFS(Table4[BudgetAmount],Table4[ActualExpense],"pending")</f>
        <v>0</v>
      </c>
    </row>
    <row r="556" spans="1:18">
      <c r="A556" t="s">
        <v>1028</v>
      </c>
      <c r="B556" t="s">
        <v>956</v>
      </c>
      <c r="C556" t="s">
        <v>64</v>
      </c>
      <c r="D556" t="s">
        <v>34</v>
      </c>
      <c r="E556" t="s">
        <v>85</v>
      </c>
      <c r="F556" t="s">
        <v>86</v>
      </c>
      <c r="G556" s="2">
        <v>86981</v>
      </c>
      <c r="H556" s="1">
        <v>119459</v>
      </c>
      <c r="I556">
        <v>32478</v>
      </c>
      <c r="J556" t="s">
        <v>19</v>
      </c>
      <c r="K556" t="s">
        <v>41</v>
      </c>
      <c r="L556" t="s">
        <v>68</v>
      </c>
      <c r="M556" t="s">
        <v>22</v>
      </c>
      <c r="N556" s="5">
        <f>Table4[[#This Row],[BudgetAmount]]/Table4[[#This Row],[Variance]]</f>
        <v>2.6781513640002461</v>
      </c>
      <c r="O556" s="5" t="str">
        <f>TEXT(Table4[[#This Row],[Date]],"mmm")</f>
        <v>Jan</v>
      </c>
      <c r="P556" s="5">
        <f>ABS(Table4[[#This Row],[Variance]])</f>
        <v>32478</v>
      </c>
      <c r="Q556" s="5" t="str">
        <f>IF(Table4[[#This Row],[AB Variances ]]&gt;$P$2,"Anomaly","Normal")</f>
        <v>Anomaly</v>
      </c>
      <c r="R556" s="5">
        <f>SUMIFS(Table4[BudgetAmount],Table4[ActualExpense],"pending")</f>
        <v>0</v>
      </c>
    </row>
    <row r="557" spans="1:18">
      <c r="A557" t="s">
        <v>1029</v>
      </c>
      <c r="B557" t="s">
        <v>1030</v>
      </c>
      <c r="C557" t="s">
        <v>64</v>
      </c>
      <c r="D557" t="s">
        <v>40</v>
      </c>
      <c r="E557" t="s">
        <v>17</v>
      </c>
      <c r="F557" t="s">
        <v>18</v>
      </c>
      <c r="G557" s="2">
        <v>81434</v>
      </c>
      <c r="H557" s="1">
        <v>60691</v>
      </c>
      <c r="I557">
        <v>-20743</v>
      </c>
      <c r="J557" t="s">
        <v>37</v>
      </c>
      <c r="K557" t="s">
        <v>67</v>
      </c>
      <c r="L557" t="s">
        <v>21</v>
      </c>
      <c r="M557" t="s">
        <v>42</v>
      </c>
      <c r="N557" s="5">
        <f>Table4[[#This Row],[BudgetAmount]]/Table4[[#This Row],[Variance]]</f>
        <v>-3.9258545051342622</v>
      </c>
      <c r="O557" s="5" t="str">
        <f>TEXT(Table4[[#This Row],[Date]],"mmm")</f>
        <v>Jun</v>
      </c>
      <c r="P557" s="5">
        <f>ABS(Table4[[#This Row],[Variance]])</f>
        <v>20743</v>
      </c>
      <c r="Q557" s="5" t="str">
        <f>IF(Table4[[#This Row],[AB Variances ]]&gt;$P$2,"Anomaly","Normal")</f>
        <v>Anomaly</v>
      </c>
      <c r="R557" s="5">
        <f>SUMIFS(Table4[BudgetAmount],Table4[ActualExpense],"pending")</f>
        <v>0</v>
      </c>
    </row>
    <row r="558" spans="1:18">
      <c r="A558" t="s">
        <v>1031</v>
      </c>
      <c r="B558" t="s">
        <v>241</v>
      </c>
      <c r="C558" t="s">
        <v>15</v>
      </c>
      <c r="D558" t="s">
        <v>16</v>
      </c>
      <c r="E558" t="s">
        <v>27</v>
      </c>
      <c r="F558" t="s">
        <v>28</v>
      </c>
      <c r="G558" s="2">
        <v>478533</v>
      </c>
      <c r="H558" s="1">
        <v>623325</v>
      </c>
      <c r="I558">
        <v>144792</v>
      </c>
      <c r="J558" t="s">
        <v>54</v>
      </c>
      <c r="K558" t="s">
        <v>48</v>
      </c>
      <c r="L558" t="s">
        <v>49</v>
      </c>
      <c r="M558" t="s">
        <v>42</v>
      </c>
      <c r="N558" s="5">
        <f>Table4[[#This Row],[BudgetAmount]]/Table4[[#This Row],[Variance]]</f>
        <v>3.3049685065473229</v>
      </c>
      <c r="O558" s="5" t="str">
        <f>TEXT(Table4[[#This Row],[Date]],"mmm")</f>
        <v>Feb</v>
      </c>
      <c r="P558" s="5">
        <f>ABS(Table4[[#This Row],[Variance]])</f>
        <v>144792</v>
      </c>
      <c r="Q558" s="5" t="str">
        <f>IF(Table4[[#This Row],[AB Variances ]]&gt;$P$2,"Anomaly","Normal")</f>
        <v>Anomaly</v>
      </c>
      <c r="R558" s="5">
        <f>SUMIFS(Table4[BudgetAmount],Table4[ActualExpense],"pending")</f>
        <v>0</v>
      </c>
    </row>
    <row r="559" spans="1:18">
      <c r="A559" t="s">
        <v>1032</v>
      </c>
      <c r="B559" t="s">
        <v>1033</v>
      </c>
      <c r="C559" t="s">
        <v>45</v>
      </c>
      <c r="D559" t="s">
        <v>61</v>
      </c>
      <c r="E559" t="s">
        <v>85</v>
      </c>
      <c r="F559" t="s">
        <v>86</v>
      </c>
      <c r="G559" s="2">
        <v>472333</v>
      </c>
      <c r="H559" s="1">
        <v>405110</v>
      </c>
      <c r="I559">
        <v>-67223</v>
      </c>
      <c r="J559" t="s">
        <v>19</v>
      </c>
      <c r="K559" t="s">
        <v>20</v>
      </c>
      <c r="L559" t="s">
        <v>49</v>
      </c>
      <c r="M559" t="s">
        <v>22</v>
      </c>
      <c r="N559" s="5">
        <f>Table4[[#This Row],[BudgetAmount]]/Table4[[#This Row],[Variance]]</f>
        <v>-7.0263600255864809</v>
      </c>
      <c r="O559" s="5" t="str">
        <f>TEXT(Table4[[#This Row],[Date]],"mmm")</f>
        <v>Jan</v>
      </c>
      <c r="P559" s="5">
        <f>ABS(Table4[[#This Row],[Variance]])</f>
        <v>67223</v>
      </c>
      <c r="Q559" s="5" t="str">
        <f>IF(Table4[[#This Row],[AB Variances ]]&gt;$P$2,"Anomaly","Normal")</f>
        <v>Anomaly</v>
      </c>
      <c r="R559" s="5">
        <f>SUMIFS(Table4[BudgetAmount],Table4[ActualExpense],"pending")</f>
        <v>0</v>
      </c>
    </row>
    <row r="560" spans="1:18">
      <c r="A560" t="s">
        <v>1034</v>
      </c>
      <c r="B560" t="s">
        <v>940</v>
      </c>
      <c r="C560" t="s">
        <v>15</v>
      </c>
      <c r="D560" t="s">
        <v>34</v>
      </c>
      <c r="E560" t="s">
        <v>27</v>
      </c>
      <c r="F560" t="s">
        <v>28</v>
      </c>
      <c r="G560" s="2">
        <v>282720</v>
      </c>
      <c r="H560" s="1">
        <v>203202</v>
      </c>
      <c r="I560">
        <v>-79518</v>
      </c>
      <c r="J560" t="s">
        <v>37</v>
      </c>
      <c r="K560" t="s">
        <v>48</v>
      </c>
      <c r="L560" t="s">
        <v>30</v>
      </c>
      <c r="M560" t="s">
        <v>22</v>
      </c>
      <c r="N560" s="5">
        <f>Table4[[#This Row],[BudgetAmount]]/Table4[[#This Row],[Variance]]</f>
        <v>-3.5554214140194671</v>
      </c>
      <c r="O560" s="5" t="str">
        <f>TEXT(Table4[[#This Row],[Date]],"mmm")</f>
        <v>Nov</v>
      </c>
      <c r="P560" s="5">
        <f>ABS(Table4[[#This Row],[Variance]])</f>
        <v>79518</v>
      </c>
      <c r="Q560" s="5" t="str">
        <f>IF(Table4[[#This Row],[AB Variances ]]&gt;$P$2,"Anomaly","Normal")</f>
        <v>Anomaly</v>
      </c>
      <c r="R560" s="5">
        <f>SUMIFS(Table4[BudgetAmount],Table4[ActualExpense],"pending")</f>
        <v>0</v>
      </c>
    </row>
    <row r="561" spans="1:18">
      <c r="A561" t="s">
        <v>1035</v>
      </c>
      <c r="B561" t="s">
        <v>584</v>
      </c>
      <c r="C561" t="s">
        <v>45</v>
      </c>
      <c r="D561" t="s">
        <v>16</v>
      </c>
      <c r="E561" t="s">
        <v>17</v>
      </c>
      <c r="F561" t="s">
        <v>18</v>
      </c>
      <c r="G561" s="2">
        <v>435878</v>
      </c>
      <c r="H561" s="1">
        <v>374860</v>
      </c>
      <c r="I561">
        <v>-61018</v>
      </c>
      <c r="J561" t="s">
        <v>54</v>
      </c>
      <c r="K561" t="s">
        <v>29</v>
      </c>
      <c r="L561" t="s">
        <v>21</v>
      </c>
      <c r="M561" t="s">
        <v>42</v>
      </c>
      <c r="N561" s="5">
        <f>Table4[[#This Row],[BudgetAmount]]/Table4[[#This Row],[Variance]]</f>
        <v>-7.1434330853190859</v>
      </c>
      <c r="O561" s="5" t="str">
        <f>TEXT(Table4[[#This Row],[Date]],"mmm")</f>
        <v>Oct</v>
      </c>
      <c r="P561" s="5">
        <f>ABS(Table4[[#This Row],[Variance]])</f>
        <v>61018</v>
      </c>
      <c r="Q561" s="5" t="str">
        <f>IF(Table4[[#This Row],[AB Variances ]]&gt;$P$2,"Anomaly","Normal")</f>
        <v>Anomaly</v>
      </c>
      <c r="R561" s="5">
        <f>SUMIFS(Table4[BudgetAmount],Table4[ActualExpense],"pending")</f>
        <v>0</v>
      </c>
    </row>
    <row r="562" spans="1:18">
      <c r="A562" t="s">
        <v>1036</v>
      </c>
      <c r="B562" t="s">
        <v>1037</v>
      </c>
      <c r="C562" t="s">
        <v>35</v>
      </c>
      <c r="D562" t="s">
        <v>40</v>
      </c>
      <c r="E562" t="s">
        <v>71</v>
      </c>
      <c r="F562" t="s">
        <v>72</v>
      </c>
      <c r="G562" s="2">
        <v>216468</v>
      </c>
      <c r="H562" s="1">
        <v>258971</v>
      </c>
      <c r="I562">
        <v>42503</v>
      </c>
      <c r="J562" t="s">
        <v>54</v>
      </c>
      <c r="K562" t="s">
        <v>48</v>
      </c>
      <c r="L562" t="s">
        <v>68</v>
      </c>
      <c r="M562" t="s">
        <v>42</v>
      </c>
      <c r="N562" s="5">
        <f>Table4[[#This Row],[BudgetAmount]]/Table4[[#This Row],[Variance]]</f>
        <v>5.0930051996329668</v>
      </c>
      <c r="O562" s="5" t="str">
        <f>TEXT(Table4[[#This Row],[Date]],"mmm")</f>
        <v>Dec</v>
      </c>
      <c r="P562" s="5">
        <f>ABS(Table4[[#This Row],[Variance]])</f>
        <v>42503</v>
      </c>
      <c r="Q562" s="5" t="str">
        <f>IF(Table4[[#This Row],[AB Variances ]]&gt;$P$2,"Anomaly","Normal")</f>
        <v>Anomaly</v>
      </c>
      <c r="R562" s="5">
        <f>SUMIFS(Table4[BudgetAmount],Table4[ActualExpense],"pending")</f>
        <v>0</v>
      </c>
    </row>
    <row r="563" spans="1:18">
      <c r="A563" t="s">
        <v>1038</v>
      </c>
      <c r="B563" t="s">
        <v>295</v>
      </c>
      <c r="C563" t="s">
        <v>45</v>
      </c>
      <c r="D563" t="s">
        <v>61</v>
      </c>
      <c r="E563" t="s">
        <v>85</v>
      </c>
      <c r="F563" t="s">
        <v>86</v>
      </c>
      <c r="G563" s="2">
        <v>453998</v>
      </c>
      <c r="H563" s="1">
        <v>625092</v>
      </c>
      <c r="I563">
        <v>171094</v>
      </c>
      <c r="J563" t="s">
        <v>54</v>
      </c>
      <c r="K563" t="s">
        <v>29</v>
      </c>
      <c r="L563" t="s">
        <v>68</v>
      </c>
      <c r="M563" t="s">
        <v>42</v>
      </c>
      <c r="N563" s="5">
        <f>Table4[[#This Row],[BudgetAmount]]/Table4[[#This Row],[Variance]]</f>
        <v>2.6535004149765626</v>
      </c>
      <c r="O563" s="5" t="str">
        <f>TEXT(Table4[[#This Row],[Date]],"mmm")</f>
        <v>Feb</v>
      </c>
      <c r="P563" s="5">
        <f>ABS(Table4[[#This Row],[Variance]])</f>
        <v>171094</v>
      </c>
      <c r="Q563" s="5" t="str">
        <f>IF(Table4[[#This Row],[AB Variances ]]&gt;$P$2,"Anomaly","Normal")</f>
        <v>Anomaly</v>
      </c>
      <c r="R563" s="5">
        <f>SUMIFS(Table4[BudgetAmount],Table4[ActualExpense],"pending")</f>
        <v>0</v>
      </c>
    </row>
    <row r="564" spans="1:18">
      <c r="A564" t="s">
        <v>1039</v>
      </c>
      <c r="B564" t="s">
        <v>1040</v>
      </c>
      <c r="C564" t="s">
        <v>33</v>
      </c>
      <c r="D564" t="s">
        <v>34</v>
      </c>
      <c r="E564" t="s">
        <v>17</v>
      </c>
      <c r="F564" t="s">
        <v>18</v>
      </c>
      <c r="G564" s="2">
        <v>280170</v>
      </c>
      <c r="H564" s="1">
        <v>283364</v>
      </c>
      <c r="I564">
        <v>3194</v>
      </c>
      <c r="J564" t="s">
        <v>54</v>
      </c>
      <c r="K564" t="s">
        <v>41</v>
      </c>
      <c r="L564" t="s">
        <v>49</v>
      </c>
      <c r="M564" t="s">
        <v>22</v>
      </c>
      <c r="N564" s="5">
        <f>Table4[[#This Row],[BudgetAmount]]/Table4[[#This Row],[Variance]]</f>
        <v>87.717595491546646</v>
      </c>
      <c r="O564" s="5" t="str">
        <f>TEXT(Table4[[#This Row],[Date]],"mmm")</f>
        <v>May</v>
      </c>
      <c r="P564" s="5">
        <f>ABS(Table4[[#This Row],[Variance]])</f>
        <v>3194</v>
      </c>
      <c r="Q564" s="5" t="str">
        <f>IF(Table4[[#This Row],[AB Variances ]]&gt;$P$2,"Anomaly","Normal")</f>
        <v>Normal</v>
      </c>
      <c r="R564" s="5">
        <f>SUMIFS(Table4[BudgetAmount],Table4[ActualExpense],"pending")</f>
        <v>0</v>
      </c>
    </row>
    <row r="565" spans="1:18">
      <c r="A565" t="s">
        <v>1041</v>
      </c>
      <c r="B565" t="s">
        <v>1042</v>
      </c>
      <c r="C565" t="s">
        <v>25</v>
      </c>
      <c r="D565" t="s">
        <v>61</v>
      </c>
      <c r="E565" t="s">
        <v>27</v>
      </c>
      <c r="F565" t="s">
        <v>28</v>
      </c>
      <c r="G565" s="2">
        <v>135728</v>
      </c>
      <c r="H565" s="1">
        <v>122742</v>
      </c>
      <c r="I565">
        <v>-12986</v>
      </c>
      <c r="J565" t="s">
        <v>37</v>
      </c>
      <c r="K565" t="s">
        <v>29</v>
      </c>
      <c r="L565" t="s">
        <v>21</v>
      </c>
      <c r="M565" t="s">
        <v>22</v>
      </c>
      <c r="N565" s="5">
        <f>Table4[[#This Row],[BudgetAmount]]/Table4[[#This Row],[Variance]]</f>
        <v>-10.451871245957184</v>
      </c>
      <c r="O565" s="5" t="str">
        <f>TEXT(Table4[[#This Row],[Date]],"mmm")</f>
        <v>Jul</v>
      </c>
      <c r="P565" s="5">
        <f>ABS(Table4[[#This Row],[Variance]])</f>
        <v>12986</v>
      </c>
      <c r="Q565" s="5" t="str">
        <f>IF(Table4[[#This Row],[AB Variances ]]&gt;$P$2,"Anomaly","Normal")</f>
        <v>Normal</v>
      </c>
      <c r="R565" s="5">
        <f>SUMIFS(Table4[BudgetAmount],Table4[ActualExpense],"pending")</f>
        <v>0</v>
      </c>
    </row>
    <row r="566" spans="1:18">
      <c r="A566" t="s">
        <v>1043</v>
      </c>
      <c r="B566" t="s">
        <v>1044</v>
      </c>
      <c r="C566" t="s">
        <v>45</v>
      </c>
      <c r="D566" t="s">
        <v>61</v>
      </c>
      <c r="E566" t="s">
        <v>27</v>
      </c>
      <c r="F566" t="s">
        <v>28</v>
      </c>
      <c r="G566" s="2">
        <v>314912</v>
      </c>
      <c r="H566" s="1">
        <v>270876</v>
      </c>
      <c r="I566">
        <v>-44036</v>
      </c>
      <c r="J566" t="s">
        <v>19</v>
      </c>
      <c r="K566" t="s">
        <v>29</v>
      </c>
      <c r="L566" t="s">
        <v>49</v>
      </c>
      <c r="M566" t="s">
        <v>22</v>
      </c>
      <c r="N566" s="5">
        <f>Table4[[#This Row],[BudgetAmount]]/Table4[[#This Row],[Variance]]</f>
        <v>-7.1512398946316651</v>
      </c>
      <c r="O566" s="5" t="str">
        <f>TEXT(Table4[[#This Row],[Date]],"mmm")</f>
        <v>Jan</v>
      </c>
      <c r="P566" s="5">
        <f>ABS(Table4[[#This Row],[Variance]])</f>
        <v>44036</v>
      </c>
      <c r="Q566" s="5" t="str">
        <f>IF(Table4[[#This Row],[AB Variances ]]&gt;$P$2,"Anomaly","Normal")</f>
        <v>Anomaly</v>
      </c>
      <c r="R566" s="5">
        <f>SUMIFS(Table4[BudgetAmount],Table4[ActualExpense],"pending")</f>
        <v>0</v>
      </c>
    </row>
    <row r="567" spans="1:18">
      <c r="A567" t="s">
        <v>1045</v>
      </c>
      <c r="B567" t="s">
        <v>714</v>
      </c>
      <c r="C567" t="s">
        <v>25</v>
      </c>
      <c r="D567" t="s">
        <v>61</v>
      </c>
      <c r="E567" t="s">
        <v>71</v>
      </c>
      <c r="F567" t="s">
        <v>72</v>
      </c>
      <c r="G567" s="2">
        <v>272986</v>
      </c>
      <c r="H567" s="1">
        <v>219261</v>
      </c>
      <c r="I567">
        <v>-53725</v>
      </c>
      <c r="J567" t="s">
        <v>19</v>
      </c>
      <c r="K567" t="s">
        <v>20</v>
      </c>
      <c r="L567" t="s">
        <v>49</v>
      </c>
      <c r="M567" t="s">
        <v>42</v>
      </c>
      <c r="N567" s="5">
        <f>Table4[[#This Row],[BudgetAmount]]/Table4[[#This Row],[Variance]]</f>
        <v>-5.0811726384364819</v>
      </c>
      <c r="O567" s="5" t="str">
        <f>TEXT(Table4[[#This Row],[Date]],"mmm")</f>
        <v>Apr</v>
      </c>
      <c r="P567" s="5">
        <f>ABS(Table4[[#This Row],[Variance]])</f>
        <v>53725</v>
      </c>
      <c r="Q567" s="5" t="str">
        <f>IF(Table4[[#This Row],[AB Variances ]]&gt;$P$2,"Anomaly","Normal")</f>
        <v>Anomaly</v>
      </c>
      <c r="R567" s="5">
        <f>SUMIFS(Table4[BudgetAmount],Table4[ActualExpense],"pending")</f>
        <v>0</v>
      </c>
    </row>
    <row r="568" spans="1:18">
      <c r="A568" t="s">
        <v>1046</v>
      </c>
      <c r="B568" t="s">
        <v>1047</v>
      </c>
      <c r="C568" t="s">
        <v>35</v>
      </c>
      <c r="D568" t="s">
        <v>34</v>
      </c>
      <c r="E568" t="s">
        <v>85</v>
      </c>
      <c r="F568" t="s">
        <v>86</v>
      </c>
      <c r="G568" s="2">
        <v>264198</v>
      </c>
      <c r="H568" s="1">
        <v>268020</v>
      </c>
      <c r="I568">
        <v>3822</v>
      </c>
      <c r="J568" t="s">
        <v>54</v>
      </c>
      <c r="K568" t="s">
        <v>41</v>
      </c>
      <c r="L568" t="s">
        <v>68</v>
      </c>
      <c r="M568" t="s">
        <v>22</v>
      </c>
      <c r="N568" s="5">
        <f>Table4[[#This Row],[BudgetAmount]]/Table4[[#This Row],[Variance]]</f>
        <v>69.125588697017264</v>
      </c>
      <c r="O568" s="5" t="str">
        <f>TEXT(Table4[[#This Row],[Date]],"mmm")</f>
        <v>Jan</v>
      </c>
      <c r="P568" s="5">
        <f>ABS(Table4[[#This Row],[Variance]])</f>
        <v>3822</v>
      </c>
      <c r="Q568" s="5" t="str">
        <f>IF(Table4[[#This Row],[AB Variances ]]&gt;$P$2,"Anomaly","Normal")</f>
        <v>Normal</v>
      </c>
      <c r="R568" s="5">
        <f>SUMIFS(Table4[BudgetAmount],Table4[ActualExpense],"pending")</f>
        <v>0</v>
      </c>
    </row>
    <row r="569" spans="1:18">
      <c r="A569" t="s">
        <v>1048</v>
      </c>
      <c r="B569" t="s">
        <v>1049</v>
      </c>
      <c r="C569" t="s">
        <v>33</v>
      </c>
      <c r="D569" t="s">
        <v>34</v>
      </c>
      <c r="E569" t="s">
        <v>85</v>
      </c>
      <c r="F569" t="s">
        <v>86</v>
      </c>
      <c r="G569" s="2">
        <v>498562</v>
      </c>
      <c r="H569" s="1">
        <v>380730</v>
      </c>
      <c r="I569">
        <v>-117832</v>
      </c>
      <c r="J569" t="s">
        <v>37</v>
      </c>
      <c r="K569" t="s">
        <v>20</v>
      </c>
      <c r="L569" t="s">
        <v>21</v>
      </c>
      <c r="M569" t="s">
        <v>22</v>
      </c>
      <c r="N569" s="5">
        <f>Table4[[#This Row],[BudgetAmount]]/Table4[[#This Row],[Variance]]</f>
        <v>-4.2311256704460591</v>
      </c>
      <c r="O569" s="5" t="str">
        <f>TEXT(Table4[[#This Row],[Date]],"mmm")</f>
        <v>May</v>
      </c>
      <c r="P569" s="5">
        <f>ABS(Table4[[#This Row],[Variance]])</f>
        <v>117832</v>
      </c>
      <c r="Q569" s="5" t="str">
        <f>IF(Table4[[#This Row],[AB Variances ]]&gt;$P$2,"Anomaly","Normal")</f>
        <v>Anomaly</v>
      </c>
      <c r="R569" s="5">
        <f>SUMIFS(Table4[BudgetAmount],Table4[ActualExpense],"pending")</f>
        <v>0</v>
      </c>
    </row>
    <row r="570" spans="1:18">
      <c r="A570" t="s">
        <v>1050</v>
      </c>
      <c r="B570" t="s">
        <v>536</v>
      </c>
      <c r="C570" t="s">
        <v>25</v>
      </c>
      <c r="D570" t="s">
        <v>34</v>
      </c>
      <c r="E570" t="s">
        <v>17</v>
      </c>
      <c r="F570" t="s">
        <v>18</v>
      </c>
      <c r="G570" s="2">
        <v>326910</v>
      </c>
      <c r="H570" s="1">
        <v>456847</v>
      </c>
      <c r="I570">
        <v>129937</v>
      </c>
      <c r="J570" t="s">
        <v>54</v>
      </c>
      <c r="K570" t="s">
        <v>41</v>
      </c>
      <c r="L570" t="s">
        <v>49</v>
      </c>
      <c r="M570" t="s">
        <v>42</v>
      </c>
      <c r="N570" s="5">
        <f>Table4[[#This Row],[BudgetAmount]]/Table4[[#This Row],[Variance]]</f>
        <v>2.515911557139229</v>
      </c>
      <c r="O570" s="5" t="str">
        <f>TEXT(Table4[[#This Row],[Date]],"mmm")</f>
        <v>May</v>
      </c>
      <c r="P570" s="5">
        <f>ABS(Table4[[#This Row],[Variance]])</f>
        <v>129937</v>
      </c>
      <c r="Q570" s="5" t="str">
        <f>IF(Table4[[#This Row],[AB Variances ]]&gt;$P$2,"Anomaly","Normal")</f>
        <v>Anomaly</v>
      </c>
      <c r="R570" s="5">
        <f>SUMIFS(Table4[BudgetAmount],Table4[ActualExpense],"pending")</f>
        <v>0</v>
      </c>
    </row>
    <row r="571" spans="1:18">
      <c r="A571" t="s">
        <v>1051</v>
      </c>
      <c r="B571" t="s">
        <v>800</v>
      </c>
      <c r="C571" t="s">
        <v>33</v>
      </c>
      <c r="D571" t="s">
        <v>16</v>
      </c>
      <c r="E571" t="s">
        <v>27</v>
      </c>
      <c r="F571" t="s">
        <v>28</v>
      </c>
      <c r="G571" s="2">
        <v>73399</v>
      </c>
      <c r="H571" s="1">
        <v>86349</v>
      </c>
      <c r="I571">
        <v>12950</v>
      </c>
      <c r="J571" t="s">
        <v>37</v>
      </c>
      <c r="K571" t="s">
        <v>48</v>
      </c>
      <c r="L571" t="s">
        <v>68</v>
      </c>
      <c r="M571" t="s">
        <v>42</v>
      </c>
      <c r="N571" s="5">
        <f>Table4[[#This Row],[BudgetAmount]]/Table4[[#This Row],[Variance]]</f>
        <v>5.6678764478764476</v>
      </c>
      <c r="O571" s="5" t="str">
        <f>TEXT(Table4[[#This Row],[Date]],"mmm")</f>
        <v>Jun</v>
      </c>
      <c r="P571" s="5">
        <f>ABS(Table4[[#This Row],[Variance]])</f>
        <v>12950</v>
      </c>
      <c r="Q571" s="5" t="str">
        <f>IF(Table4[[#This Row],[AB Variances ]]&gt;$P$2,"Anomaly","Normal")</f>
        <v>Normal</v>
      </c>
      <c r="R571" s="5">
        <f>SUMIFS(Table4[BudgetAmount],Table4[ActualExpense],"pending")</f>
        <v>0</v>
      </c>
    </row>
    <row r="572" spans="1:18">
      <c r="A572" t="s">
        <v>1052</v>
      </c>
      <c r="B572" t="s">
        <v>142</v>
      </c>
      <c r="C572" t="s">
        <v>45</v>
      </c>
      <c r="D572" t="s">
        <v>34</v>
      </c>
      <c r="E572" t="s">
        <v>35</v>
      </c>
      <c r="F572" t="s">
        <v>36</v>
      </c>
      <c r="G572" s="2">
        <v>451648</v>
      </c>
      <c r="H572" s="1">
        <v>375312</v>
      </c>
      <c r="I572">
        <v>-76336</v>
      </c>
      <c r="J572" t="s">
        <v>37</v>
      </c>
      <c r="K572" t="s">
        <v>20</v>
      </c>
      <c r="L572" t="s">
        <v>49</v>
      </c>
      <c r="M572" t="s">
        <v>42</v>
      </c>
      <c r="N572" s="5">
        <f>Table4[[#This Row],[BudgetAmount]]/Table4[[#This Row],[Variance]]</f>
        <v>-5.9165793334730665</v>
      </c>
      <c r="O572" s="5" t="str">
        <f>TEXT(Table4[[#This Row],[Date]],"mmm")</f>
        <v>Jul</v>
      </c>
      <c r="P572" s="5">
        <f>ABS(Table4[[#This Row],[Variance]])</f>
        <v>76336</v>
      </c>
      <c r="Q572" s="5" t="str">
        <f>IF(Table4[[#This Row],[AB Variances ]]&gt;$P$2,"Anomaly","Normal")</f>
        <v>Anomaly</v>
      </c>
      <c r="R572" s="5">
        <f>SUMIFS(Table4[BudgetAmount],Table4[ActualExpense],"pending")</f>
        <v>0</v>
      </c>
    </row>
    <row r="573" spans="1:18">
      <c r="A573" t="s">
        <v>1053</v>
      </c>
      <c r="B573" t="s">
        <v>267</v>
      </c>
      <c r="C573" t="s">
        <v>33</v>
      </c>
      <c r="D573" t="s">
        <v>40</v>
      </c>
      <c r="E573" t="s">
        <v>46</v>
      </c>
      <c r="F573" t="s">
        <v>47</v>
      </c>
      <c r="G573" s="2">
        <v>274026</v>
      </c>
      <c r="H573" s="1">
        <v>194084</v>
      </c>
      <c r="I573">
        <v>-79942</v>
      </c>
      <c r="J573" t="s">
        <v>54</v>
      </c>
      <c r="K573" t="s">
        <v>67</v>
      </c>
      <c r="L573" t="s">
        <v>49</v>
      </c>
      <c r="M573" t="s">
        <v>42</v>
      </c>
      <c r="N573" s="5">
        <f>Table4[[#This Row],[BudgetAmount]]/Table4[[#This Row],[Variance]]</f>
        <v>-3.4278101623677166</v>
      </c>
      <c r="O573" s="5" t="str">
        <f>TEXT(Table4[[#This Row],[Date]],"mmm")</f>
        <v>Jun</v>
      </c>
      <c r="P573" s="5">
        <f>ABS(Table4[[#This Row],[Variance]])</f>
        <v>79942</v>
      </c>
      <c r="Q573" s="5" t="str">
        <f>IF(Table4[[#This Row],[AB Variances ]]&gt;$P$2,"Anomaly","Normal")</f>
        <v>Anomaly</v>
      </c>
      <c r="R573" s="5">
        <f>SUMIFS(Table4[BudgetAmount],Table4[ActualExpense],"pending")</f>
        <v>0</v>
      </c>
    </row>
    <row r="574" spans="1:18">
      <c r="A574" t="s">
        <v>1054</v>
      </c>
      <c r="B574" t="s">
        <v>300</v>
      </c>
      <c r="C574" t="s">
        <v>33</v>
      </c>
      <c r="D574" t="s">
        <v>40</v>
      </c>
      <c r="E574" t="s">
        <v>35</v>
      </c>
      <c r="F574" t="s">
        <v>36</v>
      </c>
      <c r="G574" s="2">
        <v>191219</v>
      </c>
      <c r="H574" s="1">
        <v>187375</v>
      </c>
      <c r="I574">
        <v>-3844</v>
      </c>
      <c r="J574" t="s">
        <v>37</v>
      </c>
      <c r="K574" t="s">
        <v>20</v>
      </c>
      <c r="L574" t="s">
        <v>68</v>
      </c>
      <c r="M574" t="s">
        <v>42</v>
      </c>
      <c r="N574" s="5">
        <f>Table4[[#This Row],[BudgetAmount]]/Table4[[#This Row],[Variance]]</f>
        <v>-49.744797086368365</v>
      </c>
      <c r="O574" s="5" t="str">
        <f>TEXT(Table4[[#This Row],[Date]],"mmm")</f>
        <v>Feb</v>
      </c>
      <c r="P574" s="5">
        <f>ABS(Table4[[#This Row],[Variance]])</f>
        <v>3844</v>
      </c>
      <c r="Q574" s="5" t="str">
        <f>IF(Table4[[#This Row],[AB Variances ]]&gt;$P$2,"Anomaly","Normal")</f>
        <v>Normal</v>
      </c>
      <c r="R574" s="5">
        <f>SUMIFS(Table4[BudgetAmount],Table4[ActualExpense],"pending")</f>
        <v>0</v>
      </c>
    </row>
    <row r="575" spans="1:18">
      <c r="A575" t="s">
        <v>1055</v>
      </c>
      <c r="B575" t="s">
        <v>526</v>
      </c>
      <c r="C575" t="s">
        <v>45</v>
      </c>
      <c r="D575" t="s">
        <v>16</v>
      </c>
      <c r="E575" t="s">
        <v>85</v>
      </c>
      <c r="F575" t="s">
        <v>86</v>
      </c>
      <c r="G575" s="2">
        <v>161565</v>
      </c>
      <c r="H575" s="1">
        <v>167121</v>
      </c>
      <c r="I575">
        <v>5556</v>
      </c>
      <c r="J575" t="s">
        <v>19</v>
      </c>
      <c r="K575" t="s">
        <v>29</v>
      </c>
      <c r="L575" t="s">
        <v>21</v>
      </c>
      <c r="M575" t="s">
        <v>42</v>
      </c>
      <c r="N575" s="5">
        <f>Table4[[#This Row],[BudgetAmount]]/Table4[[#This Row],[Variance]]</f>
        <v>29.079373650107993</v>
      </c>
      <c r="O575" s="5" t="str">
        <f>TEXT(Table4[[#This Row],[Date]],"mmm")</f>
        <v>Jul</v>
      </c>
      <c r="P575" s="5">
        <f>ABS(Table4[[#This Row],[Variance]])</f>
        <v>5556</v>
      </c>
      <c r="Q575" s="5" t="str">
        <f>IF(Table4[[#This Row],[AB Variances ]]&gt;$P$2,"Anomaly","Normal")</f>
        <v>Normal</v>
      </c>
      <c r="R575" s="5">
        <f>SUMIFS(Table4[BudgetAmount],Table4[ActualExpense],"pending")</f>
        <v>0</v>
      </c>
    </row>
    <row r="576" spans="1:18">
      <c r="A576" t="s">
        <v>1056</v>
      </c>
      <c r="B576" t="s">
        <v>574</v>
      </c>
      <c r="C576" t="s">
        <v>15</v>
      </c>
      <c r="D576" t="s">
        <v>40</v>
      </c>
      <c r="E576" t="s">
        <v>46</v>
      </c>
      <c r="F576" t="s">
        <v>47</v>
      </c>
      <c r="G576" s="2">
        <v>475192</v>
      </c>
      <c r="H576" s="1">
        <v>540528</v>
      </c>
      <c r="I576">
        <v>65336</v>
      </c>
      <c r="J576" t="s">
        <v>19</v>
      </c>
      <c r="K576" t="s">
        <v>41</v>
      </c>
      <c r="L576" t="s">
        <v>30</v>
      </c>
      <c r="M576" t="s">
        <v>42</v>
      </c>
      <c r="N576" s="5">
        <f>Table4[[#This Row],[BudgetAmount]]/Table4[[#This Row],[Variance]]</f>
        <v>7.2730500795885886</v>
      </c>
      <c r="O576" s="5" t="str">
        <f>TEXT(Table4[[#This Row],[Date]],"mmm")</f>
        <v>Apr</v>
      </c>
      <c r="P576" s="5">
        <f>ABS(Table4[[#This Row],[Variance]])</f>
        <v>65336</v>
      </c>
      <c r="Q576" s="5" t="str">
        <f>IF(Table4[[#This Row],[AB Variances ]]&gt;$P$2,"Anomaly","Normal")</f>
        <v>Anomaly</v>
      </c>
      <c r="R576" s="5">
        <f>SUMIFS(Table4[BudgetAmount],Table4[ActualExpense],"pending")</f>
        <v>0</v>
      </c>
    </row>
    <row r="577" spans="1:18">
      <c r="A577" t="s">
        <v>1057</v>
      </c>
      <c r="B577" t="s">
        <v>734</v>
      </c>
      <c r="C577" t="s">
        <v>25</v>
      </c>
      <c r="D577" t="s">
        <v>34</v>
      </c>
      <c r="E577" t="s">
        <v>71</v>
      </c>
      <c r="F577" t="s">
        <v>72</v>
      </c>
      <c r="G577" s="2">
        <v>55264</v>
      </c>
      <c r="H577" s="1">
        <v>38731</v>
      </c>
      <c r="I577">
        <v>-16533</v>
      </c>
      <c r="J577" t="s">
        <v>37</v>
      </c>
      <c r="K577" t="s">
        <v>20</v>
      </c>
      <c r="L577" t="s">
        <v>21</v>
      </c>
      <c r="M577" t="s">
        <v>22</v>
      </c>
      <c r="N577" s="5">
        <f>Table4[[#This Row],[BudgetAmount]]/Table4[[#This Row],[Variance]]</f>
        <v>-3.3426480372588157</v>
      </c>
      <c r="O577" s="5" t="str">
        <f>TEXT(Table4[[#This Row],[Date]],"mmm")</f>
        <v>Jan</v>
      </c>
      <c r="P577" s="5">
        <f>ABS(Table4[[#This Row],[Variance]])</f>
        <v>16533</v>
      </c>
      <c r="Q577" s="5" t="str">
        <f>IF(Table4[[#This Row],[AB Variances ]]&gt;$P$2,"Anomaly","Normal")</f>
        <v>Normal</v>
      </c>
      <c r="R577" s="5">
        <f>SUMIFS(Table4[BudgetAmount],Table4[ActualExpense],"pending")</f>
        <v>0</v>
      </c>
    </row>
    <row r="578" spans="1:18">
      <c r="A578" t="s">
        <v>1058</v>
      </c>
      <c r="B578" t="s">
        <v>719</v>
      </c>
      <c r="C578" t="s">
        <v>15</v>
      </c>
      <c r="D578" t="s">
        <v>26</v>
      </c>
      <c r="E578" t="s">
        <v>17</v>
      </c>
      <c r="F578" t="s">
        <v>18</v>
      </c>
      <c r="G578" s="2">
        <v>176470</v>
      </c>
      <c r="H578" s="1">
        <v>195104</v>
      </c>
      <c r="I578">
        <v>18634</v>
      </c>
      <c r="J578" t="s">
        <v>54</v>
      </c>
      <c r="K578" t="s">
        <v>41</v>
      </c>
      <c r="L578" t="s">
        <v>68</v>
      </c>
      <c r="M578" t="s">
        <v>42</v>
      </c>
      <c r="N578" s="5">
        <f>Table4[[#This Row],[BudgetAmount]]/Table4[[#This Row],[Variance]]</f>
        <v>9.4703230653643882</v>
      </c>
      <c r="O578" s="5" t="str">
        <f>TEXT(Table4[[#This Row],[Date]],"mmm")</f>
        <v>Jul</v>
      </c>
      <c r="P578" s="5">
        <f>ABS(Table4[[#This Row],[Variance]])</f>
        <v>18634</v>
      </c>
      <c r="Q578" s="5" t="str">
        <f>IF(Table4[[#This Row],[AB Variances ]]&gt;$P$2,"Anomaly","Normal")</f>
        <v>Anomaly</v>
      </c>
      <c r="R578" s="5">
        <f>SUMIFS(Table4[BudgetAmount],Table4[ActualExpense],"pending")</f>
        <v>0</v>
      </c>
    </row>
    <row r="579" spans="1:18">
      <c r="A579" t="s">
        <v>1059</v>
      </c>
      <c r="B579" t="s">
        <v>352</v>
      </c>
      <c r="C579" t="s">
        <v>25</v>
      </c>
      <c r="D579" t="s">
        <v>61</v>
      </c>
      <c r="E579" t="s">
        <v>71</v>
      </c>
      <c r="F579" t="s">
        <v>72</v>
      </c>
      <c r="G579" s="2">
        <v>310478</v>
      </c>
      <c r="H579" s="1">
        <v>418603</v>
      </c>
      <c r="I579">
        <v>108125</v>
      </c>
      <c r="J579" t="s">
        <v>54</v>
      </c>
      <c r="K579" t="s">
        <v>20</v>
      </c>
      <c r="L579" t="s">
        <v>21</v>
      </c>
      <c r="M579" t="s">
        <v>42</v>
      </c>
      <c r="N579" s="5">
        <f>Table4[[#This Row],[BudgetAmount]]/Table4[[#This Row],[Variance]]</f>
        <v>2.8714728323699421</v>
      </c>
      <c r="O579" s="5" t="str">
        <f>TEXT(Table4[[#This Row],[Date]],"mmm")</f>
        <v>Dec</v>
      </c>
      <c r="P579" s="5">
        <f>ABS(Table4[[#This Row],[Variance]])</f>
        <v>108125</v>
      </c>
      <c r="Q579" s="5" t="str">
        <f>IF(Table4[[#This Row],[AB Variances ]]&gt;$P$2,"Anomaly","Normal")</f>
        <v>Anomaly</v>
      </c>
      <c r="R579" s="5">
        <f>SUMIFS(Table4[BudgetAmount],Table4[ActualExpense],"pending")</f>
        <v>0</v>
      </c>
    </row>
    <row r="580" spans="1:18">
      <c r="A580" t="s">
        <v>1060</v>
      </c>
      <c r="B580" t="s">
        <v>188</v>
      </c>
      <c r="C580" t="s">
        <v>25</v>
      </c>
      <c r="D580" t="s">
        <v>26</v>
      </c>
      <c r="E580" t="s">
        <v>46</v>
      </c>
      <c r="F580" t="s">
        <v>47</v>
      </c>
      <c r="G580" s="2">
        <v>322704</v>
      </c>
      <c r="H580" s="1">
        <v>306819</v>
      </c>
      <c r="I580">
        <v>-15885</v>
      </c>
      <c r="J580" t="s">
        <v>54</v>
      </c>
      <c r="K580" t="s">
        <v>67</v>
      </c>
      <c r="L580" t="s">
        <v>30</v>
      </c>
      <c r="M580" t="s">
        <v>42</v>
      </c>
      <c r="N580" s="5">
        <f>Table4[[#This Row],[BudgetAmount]]/Table4[[#This Row],[Variance]]</f>
        <v>-20.31501416430595</v>
      </c>
      <c r="O580" s="5" t="str">
        <f>TEXT(Table4[[#This Row],[Date]],"mmm")</f>
        <v>Aug</v>
      </c>
      <c r="P580" s="5">
        <f>ABS(Table4[[#This Row],[Variance]])</f>
        <v>15885</v>
      </c>
      <c r="Q580" s="5" t="str">
        <f>IF(Table4[[#This Row],[AB Variances ]]&gt;$P$2,"Anomaly","Normal")</f>
        <v>Normal</v>
      </c>
      <c r="R580" s="5">
        <f>SUMIFS(Table4[BudgetAmount],Table4[ActualExpense],"pending")</f>
        <v>0</v>
      </c>
    </row>
    <row r="581" spans="1:18">
      <c r="A581" t="s">
        <v>1061</v>
      </c>
      <c r="B581" t="s">
        <v>1062</v>
      </c>
      <c r="C581" t="s">
        <v>45</v>
      </c>
      <c r="D581" t="s">
        <v>26</v>
      </c>
      <c r="E581" t="s">
        <v>46</v>
      </c>
      <c r="F581" t="s">
        <v>47</v>
      </c>
      <c r="G581" s="2">
        <v>227937</v>
      </c>
      <c r="H581" s="1">
        <v>198820</v>
      </c>
      <c r="I581">
        <v>-29117</v>
      </c>
      <c r="J581" t="s">
        <v>37</v>
      </c>
      <c r="K581" t="s">
        <v>29</v>
      </c>
      <c r="L581" t="s">
        <v>30</v>
      </c>
      <c r="M581" t="s">
        <v>42</v>
      </c>
      <c r="N581" s="5">
        <f>Table4[[#This Row],[BudgetAmount]]/Table4[[#This Row],[Variance]]</f>
        <v>-7.828313356458426</v>
      </c>
      <c r="O581" s="5" t="str">
        <f>TEXT(Table4[[#This Row],[Date]],"mmm")</f>
        <v>Sep</v>
      </c>
      <c r="P581" s="5">
        <f>ABS(Table4[[#This Row],[Variance]])</f>
        <v>29117</v>
      </c>
      <c r="Q581" s="5" t="str">
        <f>IF(Table4[[#This Row],[AB Variances ]]&gt;$P$2,"Anomaly","Normal")</f>
        <v>Anomaly</v>
      </c>
      <c r="R581" s="5">
        <f>SUMIFS(Table4[BudgetAmount],Table4[ActualExpense],"pending")</f>
        <v>0</v>
      </c>
    </row>
    <row r="582" spans="1:18">
      <c r="A582" t="s">
        <v>1063</v>
      </c>
      <c r="B582" t="s">
        <v>1064</v>
      </c>
      <c r="C582" t="s">
        <v>45</v>
      </c>
      <c r="D582" t="s">
        <v>34</v>
      </c>
      <c r="E582" t="s">
        <v>46</v>
      </c>
      <c r="F582" t="s">
        <v>47</v>
      </c>
      <c r="G582" s="2">
        <v>231711</v>
      </c>
      <c r="H582" s="1">
        <v>196823</v>
      </c>
      <c r="I582">
        <v>-34888</v>
      </c>
      <c r="J582" t="s">
        <v>37</v>
      </c>
      <c r="K582" t="s">
        <v>20</v>
      </c>
      <c r="L582" t="s">
        <v>49</v>
      </c>
      <c r="M582" t="s">
        <v>22</v>
      </c>
      <c r="N582" s="5">
        <f>Table4[[#This Row],[BudgetAmount]]/Table4[[#This Row],[Variance]]</f>
        <v>-6.6415673010777345</v>
      </c>
      <c r="O582" s="5" t="str">
        <f>TEXT(Table4[[#This Row],[Date]],"mmm")</f>
        <v>Jan</v>
      </c>
      <c r="P582" s="5">
        <f>ABS(Table4[[#This Row],[Variance]])</f>
        <v>34888</v>
      </c>
      <c r="Q582" s="5" t="str">
        <f>IF(Table4[[#This Row],[AB Variances ]]&gt;$P$2,"Anomaly","Normal")</f>
        <v>Anomaly</v>
      </c>
      <c r="R582" s="5">
        <f>SUMIFS(Table4[BudgetAmount],Table4[ActualExpense],"pending")</f>
        <v>0</v>
      </c>
    </row>
    <row r="583" spans="1:18">
      <c r="A583" t="s">
        <v>1065</v>
      </c>
      <c r="B583" t="s">
        <v>1066</v>
      </c>
      <c r="C583" t="s">
        <v>25</v>
      </c>
      <c r="D583" t="s">
        <v>16</v>
      </c>
      <c r="E583" t="s">
        <v>85</v>
      </c>
      <c r="F583" t="s">
        <v>86</v>
      </c>
      <c r="G583" s="2">
        <v>223881</v>
      </c>
      <c r="H583" s="1">
        <v>212099</v>
      </c>
      <c r="I583">
        <v>-11782</v>
      </c>
      <c r="J583" t="s">
        <v>54</v>
      </c>
      <c r="K583" t="s">
        <v>20</v>
      </c>
      <c r="L583" t="s">
        <v>21</v>
      </c>
      <c r="M583" t="s">
        <v>22</v>
      </c>
      <c r="N583" s="5">
        <f>Table4[[#This Row],[BudgetAmount]]/Table4[[#This Row],[Variance]]</f>
        <v>-19.001952130368359</v>
      </c>
      <c r="O583" s="5" t="str">
        <f>TEXT(Table4[[#This Row],[Date]],"mmm")</f>
        <v>Sep</v>
      </c>
      <c r="P583" s="5">
        <f>ABS(Table4[[#This Row],[Variance]])</f>
        <v>11782</v>
      </c>
      <c r="Q583" s="5" t="str">
        <f>IF(Table4[[#This Row],[AB Variances ]]&gt;$P$2,"Anomaly","Normal")</f>
        <v>Normal</v>
      </c>
      <c r="R583" s="5">
        <f>SUMIFS(Table4[BudgetAmount],Table4[ActualExpense],"pending")</f>
        <v>0</v>
      </c>
    </row>
    <row r="584" spans="1:18">
      <c r="A584" t="s">
        <v>1067</v>
      </c>
      <c r="B584" t="s">
        <v>118</v>
      </c>
      <c r="C584" t="s">
        <v>33</v>
      </c>
      <c r="D584" t="s">
        <v>34</v>
      </c>
      <c r="E584" t="s">
        <v>35</v>
      </c>
      <c r="F584" t="s">
        <v>36</v>
      </c>
      <c r="G584" s="2">
        <v>324793</v>
      </c>
      <c r="H584" s="1">
        <v>292218</v>
      </c>
      <c r="I584">
        <v>-32575</v>
      </c>
      <c r="J584" t="s">
        <v>54</v>
      </c>
      <c r="K584" t="s">
        <v>41</v>
      </c>
      <c r="L584" t="s">
        <v>68</v>
      </c>
      <c r="M584" t="s">
        <v>22</v>
      </c>
      <c r="N584" s="5">
        <f>Table4[[#This Row],[BudgetAmount]]/Table4[[#This Row],[Variance]]</f>
        <v>-9.9706216423637759</v>
      </c>
      <c r="O584" s="5" t="str">
        <f>TEXT(Table4[[#This Row],[Date]],"mmm")</f>
        <v>Feb</v>
      </c>
      <c r="P584" s="5">
        <f>ABS(Table4[[#This Row],[Variance]])</f>
        <v>32575</v>
      </c>
      <c r="Q584" s="5" t="str">
        <f>IF(Table4[[#This Row],[AB Variances ]]&gt;$P$2,"Anomaly","Normal")</f>
        <v>Anomaly</v>
      </c>
      <c r="R584" s="5">
        <f>SUMIFS(Table4[BudgetAmount],Table4[ActualExpense],"pending")</f>
        <v>0</v>
      </c>
    </row>
    <row r="585" spans="1:18">
      <c r="A585" t="s">
        <v>1068</v>
      </c>
      <c r="B585" t="s">
        <v>1069</v>
      </c>
      <c r="C585" t="s">
        <v>25</v>
      </c>
      <c r="D585" t="s">
        <v>61</v>
      </c>
      <c r="E585" t="s">
        <v>27</v>
      </c>
      <c r="F585" t="s">
        <v>28</v>
      </c>
      <c r="G585" s="2">
        <v>261091</v>
      </c>
      <c r="H585" s="1">
        <v>190480</v>
      </c>
      <c r="I585">
        <v>-70611</v>
      </c>
      <c r="J585" t="s">
        <v>37</v>
      </c>
      <c r="K585" t="s">
        <v>29</v>
      </c>
      <c r="L585" t="s">
        <v>49</v>
      </c>
      <c r="M585" t="s">
        <v>42</v>
      </c>
      <c r="N585" s="5">
        <f>Table4[[#This Row],[BudgetAmount]]/Table4[[#This Row],[Variance]]</f>
        <v>-3.6975966917335827</v>
      </c>
      <c r="O585" s="5" t="str">
        <f>TEXT(Table4[[#This Row],[Date]],"mmm")</f>
        <v>Oct</v>
      </c>
      <c r="P585" s="5">
        <f>ABS(Table4[[#This Row],[Variance]])</f>
        <v>70611</v>
      </c>
      <c r="Q585" s="5" t="str">
        <f>IF(Table4[[#This Row],[AB Variances ]]&gt;$P$2,"Anomaly","Normal")</f>
        <v>Anomaly</v>
      </c>
      <c r="R585" s="5">
        <f>SUMIFS(Table4[BudgetAmount],Table4[ActualExpense],"pending")</f>
        <v>0</v>
      </c>
    </row>
    <row r="586" spans="1:18">
      <c r="A586" t="s">
        <v>1070</v>
      </c>
      <c r="B586" t="s">
        <v>523</v>
      </c>
      <c r="C586" t="s">
        <v>15</v>
      </c>
      <c r="D586" t="s">
        <v>61</v>
      </c>
      <c r="E586" t="s">
        <v>71</v>
      </c>
      <c r="F586" t="s">
        <v>72</v>
      </c>
      <c r="G586" s="2">
        <v>272932</v>
      </c>
      <c r="H586" s="1">
        <v>323467</v>
      </c>
      <c r="I586">
        <v>50535</v>
      </c>
      <c r="J586" t="s">
        <v>54</v>
      </c>
      <c r="K586" t="s">
        <v>41</v>
      </c>
      <c r="L586" t="s">
        <v>68</v>
      </c>
      <c r="M586" t="s">
        <v>22</v>
      </c>
      <c r="N586" s="5">
        <f>Table4[[#This Row],[BudgetAmount]]/Table4[[#This Row],[Variance]]</f>
        <v>5.4008508954190164</v>
      </c>
      <c r="O586" s="5" t="str">
        <f>TEXT(Table4[[#This Row],[Date]],"mmm")</f>
        <v>Apr</v>
      </c>
      <c r="P586" s="5">
        <f>ABS(Table4[[#This Row],[Variance]])</f>
        <v>50535</v>
      </c>
      <c r="Q586" s="5" t="str">
        <f>IF(Table4[[#This Row],[AB Variances ]]&gt;$P$2,"Anomaly","Normal")</f>
        <v>Anomaly</v>
      </c>
      <c r="R586" s="5">
        <f>SUMIFS(Table4[BudgetAmount],Table4[ActualExpense],"pending")</f>
        <v>0</v>
      </c>
    </row>
    <row r="587" spans="1:18">
      <c r="A587" t="s">
        <v>1071</v>
      </c>
      <c r="B587" t="s">
        <v>1072</v>
      </c>
      <c r="C587" t="s">
        <v>33</v>
      </c>
      <c r="D587" t="s">
        <v>16</v>
      </c>
      <c r="E587" t="s">
        <v>35</v>
      </c>
      <c r="F587" t="s">
        <v>36</v>
      </c>
      <c r="G587" s="2">
        <v>204740</v>
      </c>
      <c r="H587" s="1">
        <v>163954</v>
      </c>
      <c r="I587">
        <v>-40786</v>
      </c>
      <c r="J587" t="s">
        <v>54</v>
      </c>
      <c r="K587" t="s">
        <v>29</v>
      </c>
      <c r="L587" t="s">
        <v>49</v>
      </c>
      <c r="M587" t="s">
        <v>22</v>
      </c>
      <c r="N587" s="5">
        <f>Table4[[#This Row],[BudgetAmount]]/Table4[[#This Row],[Variance]]</f>
        <v>-5.0198597557985583</v>
      </c>
      <c r="O587" s="5" t="str">
        <f>TEXT(Table4[[#This Row],[Date]],"mmm")</f>
        <v>Jan</v>
      </c>
      <c r="P587" s="5">
        <f>ABS(Table4[[#This Row],[Variance]])</f>
        <v>40786</v>
      </c>
      <c r="Q587" s="5" t="str">
        <f>IF(Table4[[#This Row],[AB Variances ]]&gt;$P$2,"Anomaly","Normal")</f>
        <v>Anomaly</v>
      </c>
      <c r="R587" s="5">
        <f>SUMIFS(Table4[BudgetAmount],Table4[ActualExpense],"pending")</f>
        <v>0</v>
      </c>
    </row>
    <row r="588" spans="1:18">
      <c r="A588" t="s">
        <v>1073</v>
      </c>
      <c r="B588" t="s">
        <v>1074</v>
      </c>
      <c r="C588" t="s">
        <v>64</v>
      </c>
      <c r="D588" t="s">
        <v>16</v>
      </c>
      <c r="E588" t="s">
        <v>27</v>
      </c>
      <c r="F588" t="s">
        <v>28</v>
      </c>
      <c r="G588" s="2">
        <v>219727</v>
      </c>
      <c r="H588" s="1">
        <v>215108</v>
      </c>
      <c r="I588">
        <v>-4619</v>
      </c>
      <c r="J588" t="s">
        <v>54</v>
      </c>
      <c r="K588" t="s">
        <v>20</v>
      </c>
      <c r="L588" t="s">
        <v>68</v>
      </c>
      <c r="M588" t="s">
        <v>42</v>
      </c>
      <c r="N588" s="5">
        <f>Table4[[#This Row],[BudgetAmount]]/Table4[[#This Row],[Variance]]</f>
        <v>-47.570253301580429</v>
      </c>
      <c r="O588" s="5" t="str">
        <f>TEXT(Table4[[#This Row],[Date]],"mmm")</f>
        <v>Dec</v>
      </c>
      <c r="P588" s="5">
        <f>ABS(Table4[[#This Row],[Variance]])</f>
        <v>4619</v>
      </c>
      <c r="Q588" s="5" t="str">
        <f>IF(Table4[[#This Row],[AB Variances ]]&gt;$P$2,"Anomaly","Normal")</f>
        <v>Normal</v>
      </c>
      <c r="R588" s="5">
        <f>SUMIFS(Table4[BudgetAmount],Table4[ActualExpense],"pending")</f>
        <v>0</v>
      </c>
    </row>
    <row r="589" spans="1:18">
      <c r="A589" t="s">
        <v>1075</v>
      </c>
      <c r="B589" t="s">
        <v>1076</v>
      </c>
      <c r="C589" t="s">
        <v>35</v>
      </c>
      <c r="D589" t="s">
        <v>16</v>
      </c>
      <c r="E589" t="s">
        <v>71</v>
      </c>
      <c r="F589" t="s">
        <v>72</v>
      </c>
      <c r="G589" s="2">
        <v>203768</v>
      </c>
      <c r="H589" s="1">
        <v>173545</v>
      </c>
      <c r="I589">
        <v>-30223</v>
      </c>
      <c r="J589" t="s">
        <v>37</v>
      </c>
      <c r="K589" t="s">
        <v>67</v>
      </c>
      <c r="L589" t="s">
        <v>49</v>
      </c>
      <c r="M589" t="s">
        <v>22</v>
      </c>
      <c r="N589" s="5">
        <f>Table4[[#This Row],[BudgetAmount]]/Table4[[#This Row],[Variance]]</f>
        <v>-6.7421500181980614</v>
      </c>
      <c r="O589" s="5" t="str">
        <f>TEXT(Table4[[#This Row],[Date]],"mmm")</f>
        <v>May</v>
      </c>
      <c r="P589" s="5">
        <f>ABS(Table4[[#This Row],[Variance]])</f>
        <v>30223</v>
      </c>
      <c r="Q589" s="5" t="str">
        <f>IF(Table4[[#This Row],[AB Variances ]]&gt;$P$2,"Anomaly","Normal")</f>
        <v>Anomaly</v>
      </c>
      <c r="R589" s="5">
        <f>SUMIFS(Table4[BudgetAmount],Table4[ActualExpense],"pending")</f>
        <v>0</v>
      </c>
    </row>
    <row r="590" spans="1:18">
      <c r="A590" t="s">
        <v>1077</v>
      </c>
      <c r="B590" t="s">
        <v>1078</v>
      </c>
      <c r="C590" t="s">
        <v>33</v>
      </c>
      <c r="D590" t="s">
        <v>34</v>
      </c>
      <c r="E590" t="s">
        <v>27</v>
      </c>
      <c r="F590" t="s">
        <v>28</v>
      </c>
      <c r="G590" s="2">
        <v>254897</v>
      </c>
      <c r="H590" s="1">
        <v>254751</v>
      </c>
      <c r="I590">
        <v>-146</v>
      </c>
      <c r="J590" t="s">
        <v>37</v>
      </c>
      <c r="K590" t="s">
        <v>48</v>
      </c>
      <c r="L590" t="s">
        <v>49</v>
      </c>
      <c r="M590" t="s">
        <v>22</v>
      </c>
      <c r="N590" s="5">
        <f>Table4[[#This Row],[BudgetAmount]]/Table4[[#This Row],[Variance]]</f>
        <v>-1745.8698630136987</v>
      </c>
      <c r="O590" s="5" t="str">
        <f>TEXT(Table4[[#This Row],[Date]],"mmm")</f>
        <v>Aug</v>
      </c>
      <c r="P590" s="5">
        <f>ABS(Table4[[#This Row],[Variance]])</f>
        <v>146</v>
      </c>
      <c r="Q590" s="5" t="str">
        <f>IF(Table4[[#This Row],[AB Variances ]]&gt;$P$2,"Anomaly","Normal")</f>
        <v>Normal</v>
      </c>
      <c r="R590" s="5">
        <f>SUMIFS(Table4[BudgetAmount],Table4[ActualExpense],"pending")</f>
        <v>0</v>
      </c>
    </row>
    <row r="591" spans="1:18">
      <c r="A591" t="s">
        <v>1079</v>
      </c>
      <c r="B591" t="s">
        <v>1080</v>
      </c>
      <c r="C591" t="s">
        <v>45</v>
      </c>
      <c r="D591" t="s">
        <v>40</v>
      </c>
      <c r="E591" t="s">
        <v>46</v>
      </c>
      <c r="F591" t="s">
        <v>47</v>
      </c>
      <c r="G591" s="2">
        <v>293585</v>
      </c>
      <c r="H591" s="1">
        <v>239755</v>
      </c>
      <c r="I591">
        <v>-53830</v>
      </c>
      <c r="J591" t="s">
        <v>19</v>
      </c>
      <c r="K591" t="s">
        <v>29</v>
      </c>
      <c r="L591" t="s">
        <v>30</v>
      </c>
      <c r="M591" t="s">
        <v>22</v>
      </c>
      <c r="N591" s="5">
        <f>Table4[[#This Row],[BudgetAmount]]/Table4[[#This Row],[Variance]]</f>
        <v>-5.453929035853613</v>
      </c>
      <c r="O591" s="5" t="str">
        <f>TEXT(Table4[[#This Row],[Date]],"mmm")</f>
        <v>Jun</v>
      </c>
      <c r="P591" s="5">
        <f>ABS(Table4[[#This Row],[Variance]])</f>
        <v>53830</v>
      </c>
      <c r="Q591" s="5" t="str">
        <f>IF(Table4[[#This Row],[AB Variances ]]&gt;$P$2,"Anomaly","Normal")</f>
        <v>Anomaly</v>
      </c>
      <c r="R591" s="5">
        <f>SUMIFS(Table4[BudgetAmount],Table4[ActualExpense],"pending")</f>
        <v>0</v>
      </c>
    </row>
    <row r="592" spans="1:18">
      <c r="A592" t="s">
        <v>1081</v>
      </c>
      <c r="B592" t="s">
        <v>590</v>
      </c>
      <c r="C592" t="s">
        <v>64</v>
      </c>
      <c r="D592" t="s">
        <v>40</v>
      </c>
      <c r="E592" t="s">
        <v>71</v>
      </c>
      <c r="F592" t="s">
        <v>72</v>
      </c>
      <c r="G592" s="2">
        <v>325650</v>
      </c>
      <c r="H592" s="1">
        <v>340961</v>
      </c>
      <c r="I592">
        <v>15311</v>
      </c>
      <c r="J592" t="s">
        <v>19</v>
      </c>
      <c r="K592" t="s">
        <v>48</v>
      </c>
      <c r="L592" t="s">
        <v>49</v>
      </c>
      <c r="M592" t="s">
        <v>22</v>
      </c>
      <c r="N592" s="5">
        <f>Table4[[#This Row],[BudgetAmount]]/Table4[[#This Row],[Variance]]</f>
        <v>21.269022271569458</v>
      </c>
      <c r="O592" s="5" t="str">
        <f>TEXT(Table4[[#This Row],[Date]],"mmm")</f>
        <v>Oct</v>
      </c>
      <c r="P592" s="5">
        <f>ABS(Table4[[#This Row],[Variance]])</f>
        <v>15311</v>
      </c>
      <c r="Q592" s="5" t="str">
        <f>IF(Table4[[#This Row],[AB Variances ]]&gt;$P$2,"Anomaly","Normal")</f>
        <v>Normal</v>
      </c>
      <c r="R592" s="5">
        <f>SUMIFS(Table4[BudgetAmount],Table4[ActualExpense],"pending")</f>
        <v>0</v>
      </c>
    </row>
    <row r="593" spans="1:18">
      <c r="A593" t="s">
        <v>1082</v>
      </c>
      <c r="B593" t="s">
        <v>1083</v>
      </c>
      <c r="C593" t="s">
        <v>15</v>
      </c>
      <c r="D593" t="s">
        <v>34</v>
      </c>
      <c r="E593" t="s">
        <v>27</v>
      </c>
      <c r="F593" t="s">
        <v>28</v>
      </c>
      <c r="G593" s="2">
        <v>102061</v>
      </c>
      <c r="H593" s="1">
        <v>141257</v>
      </c>
      <c r="I593">
        <v>39196</v>
      </c>
      <c r="J593" t="s">
        <v>19</v>
      </c>
      <c r="K593" t="s">
        <v>67</v>
      </c>
      <c r="L593" t="s">
        <v>21</v>
      </c>
      <c r="M593" t="s">
        <v>42</v>
      </c>
      <c r="N593" s="5">
        <f>Table4[[#This Row],[BudgetAmount]]/Table4[[#This Row],[Variance]]</f>
        <v>2.6038626390448005</v>
      </c>
      <c r="O593" s="5" t="str">
        <f>TEXT(Table4[[#This Row],[Date]],"mmm")</f>
        <v>Jun</v>
      </c>
      <c r="P593" s="5">
        <f>ABS(Table4[[#This Row],[Variance]])</f>
        <v>39196</v>
      </c>
      <c r="Q593" s="5" t="str">
        <f>IF(Table4[[#This Row],[AB Variances ]]&gt;$P$2,"Anomaly","Normal")</f>
        <v>Anomaly</v>
      </c>
      <c r="R593" s="5">
        <f>SUMIFS(Table4[BudgetAmount],Table4[ActualExpense],"pending")</f>
        <v>0</v>
      </c>
    </row>
    <row r="594" spans="1:18">
      <c r="A594" t="s">
        <v>1084</v>
      </c>
      <c r="B594" t="s">
        <v>1085</v>
      </c>
      <c r="C594" t="s">
        <v>25</v>
      </c>
      <c r="D594" t="s">
        <v>61</v>
      </c>
      <c r="E594" t="s">
        <v>85</v>
      </c>
      <c r="F594" t="s">
        <v>86</v>
      </c>
      <c r="G594" s="2">
        <v>126600</v>
      </c>
      <c r="H594" s="1">
        <v>159985</v>
      </c>
      <c r="I594">
        <v>33385</v>
      </c>
      <c r="J594" t="s">
        <v>19</v>
      </c>
      <c r="K594" t="s">
        <v>48</v>
      </c>
      <c r="L594" t="s">
        <v>30</v>
      </c>
      <c r="M594" t="s">
        <v>22</v>
      </c>
      <c r="N594" s="5">
        <f>Table4[[#This Row],[BudgetAmount]]/Table4[[#This Row],[Variance]]</f>
        <v>3.792122210573611</v>
      </c>
      <c r="O594" s="5" t="str">
        <f>TEXT(Table4[[#This Row],[Date]],"mmm")</f>
        <v>Sep</v>
      </c>
      <c r="P594" s="5">
        <f>ABS(Table4[[#This Row],[Variance]])</f>
        <v>33385</v>
      </c>
      <c r="Q594" s="5" t="str">
        <f>IF(Table4[[#This Row],[AB Variances ]]&gt;$P$2,"Anomaly","Normal")</f>
        <v>Anomaly</v>
      </c>
      <c r="R594" s="5">
        <f>SUMIFS(Table4[BudgetAmount],Table4[ActualExpense],"pending")</f>
        <v>0</v>
      </c>
    </row>
    <row r="595" spans="1:18">
      <c r="A595" t="s">
        <v>1086</v>
      </c>
      <c r="B595" t="s">
        <v>326</v>
      </c>
      <c r="C595" t="s">
        <v>25</v>
      </c>
      <c r="D595" t="s">
        <v>34</v>
      </c>
      <c r="E595" t="s">
        <v>27</v>
      </c>
      <c r="F595" t="s">
        <v>28</v>
      </c>
      <c r="G595" s="2">
        <v>259690</v>
      </c>
      <c r="H595" s="1">
        <v>361258</v>
      </c>
      <c r="I595">
        <v>101568</v>
      </c>
      <c r="J595" t="s">
        <v>54</v>
      </c>
      <c r="K595" t="s">
        <v>29</v>
      </c>
      <c r="L595" t="s">
        <v>21</v>
      </c>
      <c r="M595" t="s">
        <v>42</v>
      </c>
      <c r="N595" s="5">
        <f>Table4[[#This Row],[BudgetAmount]]/Table4[[#This Row],[Variance]]</f>
        <v>2.5568092312539381</v>
      </c>
      <c r="O595" s="5" t="str">
        <f>TEXT(Table4[[#This Row],[Date]],"mmm")</f>
        <v>Dec</v>
      </c>
      <c r="P595" s="5">
        <f>ABS(Table4[[#This Row],[Variance]])</f>
        <v>101568</v>
      </c>
      <c r="Q595" s="5" t="str">
        <f>IF(Table4[[#This Row],[AB Variances ]]&gt;$P$2,"Anomaly","Normal")</f>
        <v>Anomaly</v>
      </c>
      <c r="R595" s="5">
        <f>SUMIFS(Table4[BudgetAmount],Table4[ActualExpense],"pending")</f>
        <v>0</v>
      </c>
    </row>
    <row r="596" spans="1:18">
      <c r="A596" t="s">
        <v>1087</v>
      </c>
      <c r="B596" t="s">
        <v>613</v>
      </c>
      <c r="C596" t="s">
        <v>33</v>
      </c>
      <c r="D596" t="s">
        <v>34</v>
      </c>
      <c r="E596" t="s">
        <v>27</v>
      </c>
      <c r="F596" t="s">
        <v>28</v>
      </c>
      <c r="G596" s="2">
        <v>112554</v>
      </c>
      <c r="H596" s="1">
        <v>107773</v>
      </c>
      <c r="I596">
        <v>-4781</v>
      </c>
      <c r="J596" t="s">
        <v>19</v>
      </c>
      <c r="K596" t="s">
        <v>29</v>
      </c>
      <c r="L596" t="s">
        <v>68</v>
      </c>
      <c r="M596" t="s">
        <v>22</v>
      </c>
      <c r="N596" s="5">
        <f>Table4[[#This Row],[BudgetAmount]]/Table4[[#This Row],[Variance]]</f>
        <v>-23.541936833298472</v>
      </c>
      <c r="O596" s="5" t="str">
        <f>TEXT(Table4[[#This Row],[Date]],"mmm")</f>
        <v>Feb</v>
      </c>
      <c r="P596" s="5">
        <f>ABS(Table4[[#This Row],[Variance]])</f>
        <v>4781</v>
      </c>
      <c r="Q596" s="5" t="str">
        <f>IF(Table4[[#This Row],[AB Variances ]]&gt;$P$2,"Anomaly","Normal")</f>
        <v>Normal</v>
      </c>
      <c r="R596" s="5">
        <f>SUMIFS(Table4[BudgetAmount],Table4[ActualExpense],"pending")</f>
        <v>0</v>
      </c>
    </row>
    <row r="597" spans="1:18">
      <c r="A597" t="s">
        <v>1088</v>
      </c>
      <c r="B597" t="s">
        <v>1089</v>
      </c>
      <c r="C597" t="s">
        <v>15</v>
      </c>
      <c r="D597" t="s">
        <v>61</v>
      </c>
      <c r="E597" t="s">
        <v>71</v>
      </c>
      <c r="F597" t="s">
        <v>72</v>
      </c>
      <c r="G597" s="2">
        <v>480872</v>
      </c>
      <c r="H597" s="1">
        <v>378101</v>
      </c>
      <c r="I597">
        <v>-102771</v>
      </c>
      <c r="J597" t="s">
        <v>54</v>
      </c>
      <c r="K597" t="s">
        <v>29</v>
      </c>
      <c r="L597" t="s">
        <v>30</v>
      </c>
      <c r="M597" t="s">
        <v>22</v>
      </c>
      <c r="N597" s="5">
        <f>Table4[[#This Row],[BudgetAmount]]/Table4[[#This Row],[Variance]]</f>
        <v>-4.679063159840811</v>
      </c>
      <c r="O597" s="5" t="str">
        <f>TEXT(Table4[[#This Row],[Date]],"mmm")</f>
        <v>Apr</v>
      </c>
      <c r="P597" s="5">
        <f>ABS(Table4[[#This Row],[Variance]])</f>
        <v>102771</v>
      </c>
      <c r="Q597" s="5" t="str">
        <f>IF(Table4[[#This Row],[AB Variances ]]&gt;$P$2,"Anomaly","Normal")</f>
        <v>Anomaly</v>
      </c>
      <c r="R597" s="5">
        <f>SUMIFS(Table4[BudgetAmount],Table4[ActualExpense],"pending")</f>
        <v>0</v>
      </c>
    </row>
    <row r="598" spans="1:18">
      <c r="A598" t="s">
        <v>1090</v>
      </c>
      <c r="B598" t="s">
        <v>1091</v>
      </c>
      <c r="C598" t="s">
        <v>64</v>
      </c>
      <c r="D598" t="s">
        <v>34</v>
      </c>
      <c r="E598" t="s">
        <v>35</v>
      </c>
      <c r="F598" t="s">
        <v>36</v>
      </c>
      <c r="G598" s="2">
        <v>104623</v>
      </c>
      <c r="H598" s="1">
        <v>143984</v>
      </c>
      <c r="I598">
        <v>39361</v>
      </c>
      <c r="J598" t="s">
        <v>19</v>
      </c>
      <c r="K598" t="s">
        <v>48</v>
      </c>
      <c r="L598" t="s">
        <v>30</v>
      </c>
      <c r="M598" t="s">
        <v>22</v>
      </c>
      <c r="N598" s="5">
        <f>Table4[[#This Row],[BudgetAmount]]/Table4[[#This Row],[Variance]]</f>
        <v>2.6580371433652599</v>
      </c>
      <c r="O598" s="5" t="str">
        <f>TEXT(Table4[[#This Row],[Date]],"mmm")</f>
        <v>Dec</v>
      </c>
      <c r="P598" s="5">
        <f>ABS(Table4[[#This Row],[Variance]])</f>
        <v>39361</v>
      </c>
      <c r="Q598" s="5" t="str">
        <f>IF(Table4[[#This Row],[AB Variances ]]&gt;$P$2,"Anomaly","Normal")</f>
        <v>Anomaly</v>
      </c>
      <c r="R598" s="5">
        <f>SUMIFS(Table4[BudgetAmount],Table4[ActualExpense],"pending")</f>
        <v>0</v>
      </c>
    </row>
    <row r="599" spans="1:18">
      <c r="A599" t="s">
        <v>1092</v>
      </c>
      <c r="B599" t="s">
        <v>104</v>
      </c>
      <c r="C599" t="s">
        <v>25</v>
      </c>
      <c r="D599" t="s">
        <v>40</v>
      </c>
      <c r="E599" t="s">
        <v>85</v>
      </c>
      <c r="F599" t="s">
        <v>86</v>
      </c>
      <c r="G599" s="2">
        <v>440662</v>
      </c>
      <c r="H599" s="1">
        <v>613110</v>
      </c>
      <c r="I599">
        <v>172448</v>
      </c>
      <c r="J599" t="s">
        <v>54</v>
      </c>
      <c r="K599" t="s">
        <v>20</v>
      </c>
      <c r="L599" t="s">
        <v>21</v>
      </c>
      <c r="M599" t="s">
        <v>22</v>
      </c>
      <c r="N599" s="5">
        <f>Table4[[#This Row],[BudgetAmount]]/Table4[[#This Row],[Variance]]</f>
        <v>2.5553326220077937</v>
      </c>
      <c r="O599" s="5" t="str">
        <f>TEXT(Table4[[#This Row],[Date]],"mmm")</f>
        <v>Mar</v>
      </c>
      <c r="P599" s="5">
        <f>ABS(Table4[[#This Row],[Variance]])</f>
        <v>172448</v>
      </c>
      <c r="Q599" s="5" t="str">
        <f>IF(Table4[[#This Row],[AB Variances ]]&gt;$P$2,"Anomaly","Normal")</f>
        <v>Anomaly</v>
      </c>
      <c r="R599" s="5">
        <f>SUMIFS(Table4[BudgetAmount],Table4[ActualExpense],"pending")</f>
        <v>0</v>
      </c>
    </row>
    <row r="600" spans="1:18">
      <c r="A600" t="s">
        <v>1093</v>
      </c>
      <c r="B600" t="s">
        <v>1094</v>
      </c>
      <c r="C600" t="s">
        <v>35</v>
      </c>
      <c r="D600" t="s">
        <v>61</v>
      </c>
      <c r="E600" t="s">
        <v>17</v>
      </c>
      <c r="F600" t="s">
        <v>18</v>
      </c>
      <c r="G600" s="2">
        <v>463994</v>
      </c>
      <c r="H600" s="1">
        <v>563569</v>
      </c>
      <c r="I600">
        <v>99575</v>
      </c>
      <c r="J600" t="s">
        <v>37</v>
      </c>
      <c r="K600" t="s">
        <v>20</v>
      </c>
      <c r="L600" t="s">
        <v>49</v>
      </c>
      <c r="M600" t="s">
        <v>22</v>
      </c>
      <c r="N600" s="5">
        <f>Table4[[#This Row],[BudgetAmount]]/Table4[[#This Row],[Variance]]</f>
        <v>4.6597439116244042</v>
      </c>
      <c r="O600" s="5" t="str">
        <f>TEXT(Table4[[#This Row],[Date]],"mmm")</f>
        <v>Jan</v>
      </c>
      <c r="P600" s="5">
        <f>ABS(Table4[[#This Row],[Variance]])</f>
        <v>99575</v>
      </c>
      <c r="Q600" s="5" t="str">
        <f>IF(Table4[[#This Row],[AB Variances ]]&gt;$P$2,"Anomaly","Normal")</f>
        <v>Anomaly</v>
      </c>
      <c r="R600" s="5">
        <f>SUMIFS(Table4[BudgetAmount],Table4[ActualExpense],"pending")</f>
        <v>0</v>
      </c>
    </row>
    <row r="601" spans="1:18">
      <c r="A601" t="s">
        <v>1095</v>
      </c>
      <c r="B601" t="s">
        <v>1096</v>
      </c>
      <c r="C601" t="s">
        <v>33</v>
      </c>
      <c r="D601" t="s">
        <v>61</v>
      </c>
      <c r="E601" t="s">
        <v>17</v>
      </c>
      <c r="F601" t="s">
        <v>18</v>
      </c>
      <c r="G601" s="2">
        <v>192474</v>
      </c>
      <c r="H601" s="1">
        <v>186733</v>
      </c>
      <c r="I601">
        <v>-5741</v>
      </c>
      <c r="J601" t="s">
        <v>54</v>
      </c>
      <c r="K601" t="s">
        <v>67</v>
      </c>
      <c r="L601" t="s">
        <v>68</v>
      </c>
      <c r="M601" t="s">
        <v>42</v>
      </c>
      <c r="N601" s="5">
        <f>Table4[[#This Row],[BudgetAmount]]/Table4[[#This Row],[Variance]]</f>
        <v>-33.526214945131507</v>
      </c>
      <c r="O601" s="5" t="str">
        <f>TEXT(Table4[[#This Row],[Date]],"mmm")</f>
        <v>Apr</v>
      </c>
      <c r="P601" s="5">
        <f>ABS(Table4[[#This Row],[Variance]])</f>
        <v>5741</v>
      </c>
      <c r="Q601" s="5" t="str">
        <f>IF(Table4[[#This Row],[AB Variances ]]&gt;$P$2,"Anomaly","Normal")</f>
        <v>Normal</v>
      </c>
      <c r="R601" s="5">
        <f>SUMIFS(Table4[BudgetAmount],Table4[ActualExpense],"pending")</f>
        <v>0</v>
      </c>
    </row>
    <row r="602" spans="1:18">
      <c r="A602" t="s">
        <v>1097</v>
      </c>
      <c r="B602" t="s">
        <v>1098</v>
      </c>
      <c r="C602" t="s">
        <v>25</v>
      </c>
      <c r="D602" t="s">
        <v>16</v>
      </c>
      <c r="E602" t="s">
        <v>35</v>
      </c>
      <c r="F602" t="s">
        <v>36</v>
      </c>
      <c r="G602" s="2">
        <v>467155</v>
      </c>
      <c r="H602" s="1">
        <v>414780</v>
      </c>
      <c r="I602">
        <v>-52375</v>
      </c>
      <c r="J602" t="s">
        <v>54</v>
      </c>
      <c r="K602" t="s">
        <v>48</v>
      </c>
      <c r="L602" t="s">
        <v>49</v>
      </c>
      <c r="M602" t="s">
        <v>22</v>
      </c>
      <c r="N602" s="5">
        <f>Table4[[#This Row],[BudgetAmount]]/Table4[[#This Row],[Variance]]</f>
        <v>-8.9194272076372307</v>
      </c>
      <c r="O602" s="5" t="str">
        <f>TEXT(Table4[[#This Row],[Date]],"mmm")</f>
        <v>Apr</v>
      </c>
      <c r="P602" s="5">
        <f>ABS(Table4[[#This Row],[Variance]])</f>
        <v>52375</v>
      </c>
      <c r="Q602" s="5" t="str">
        <f>IF(Table4[[#This Row],[AB Variances ]]&gt;$P$2,"Anomaly","Normal")</f>
        <v>Anomaly</v>
      </c>
      <c r="R602" s="5">
        <f>SUMIFS(Table4[BudgetAmount],Table4[ActualExpense],"pending")</f>
        <v>0</v>
      </c>
    </row>
    <row r="603" spans="1:18">
      <c r="A603" t="s">
        <v>1099</v>
      </c>
      <c r="B603" t="s">
        <v>817</v>
      </c>
      <c r="C603" t="s">
        <v>35</v>
      </c>
      <c r="D603" t="s">
        <v>26</v>
      </c>
      <c r="E603" t="s">
        <v>46</v>
      </c>
      <c r="F603" t="s">
        <v>47</v>
      </c>
      <c r="G603" s="2">
        <v>459071</v>
      </c>
      <c r="H603" s="1">
        <v>495037</v>
      </c>
      <c r="I603">
        <v>35966</v>
      </c>
      <c r="J603" t="s">
        <v>54</v>
      </c>
      <c r="K603" t="s">
        <v>20</v>
      </c>
      <c r="L603" t="s">
        <v>21</v>
      </c>
      <c r="M603" t="s">
        <v>42</v>
      </c>
      <c r="N603" s="5">
        <f>Table4[[#This Row],[BudgetAmount]]/Table4[[#This Row],[Variance]]</f>
        <v>12.764027136740255</v>
      </c>
      <c r="O603" s="5" t="str">
        <f>TEXT(Table4[[#This Row],[Date]],"mmm")</f>
        <v>Mar</v>
      </c>
      <c r="P603" s="5">
        <f>ABS(Table4[[#This Row],[Variance]])</f>
        <v>35966</v>
      </c>
      <c r="Q603" s="5" t="str">
        <f>IF(Table4[[#This Row],[AB Variances ]]&gt;$P$2,"Anomaly","Normal")</f>
        <v>Anomaly</v>
      </c>
      <c r="R603" s="5">
        <f>SUMIFS(Table4[BudgetAmount],Table4[ActualExpense],"pending")</f>
        <v>0</v>
      </c>
    </row>
    <row r="604" spans="1:18">
      <c r="A604" t="s">
        <v>1100</v>
      </c>
      <c r="B604" t="s">
        <v>1101</v>
      </c>
      <c r="C604" t="s">
        <v>45</v>
      </c>
      <c r="D604" t="s">
        <v>16</v>
      </c>
      <c r="E604" t="s">
        <v>85</v>
      </c>
      <c r="F604" t="s">
        <v>86</v>
      </c>
      <c r="G604" s="2">
        <v>329146</v>
      </c>
      <c r="H604" s="1">
        <v>316609</v>
      </c>
      <c r="I604">
        <v>-12537</v>
      </c>
      <c r="J604" t="s">
        <v>37</v>
      </c>
      <c r="K604" t="s">
        <v>67</v>
      </c>
      <c r="L604" t="s">
        <v>21</v>
      </c>
      <c r="M604" t="s">
        <v>42</v>
      </c>
      <c r="N604" s="5">
        <f>Table4[[#This Row],[BudgetAmount]]/Table4[[#This Row],[Variance]]</f>
        <v>-26.253968253968253</v>
      </c>
      <c r="O604" s="5" t="str">
        <f>TEXT(Table4[[#This Row],[Date]],"mmm")</f>
        <v>Dec</v>
      </c>
      <c r="P604" s="5">
        <f>ABS(Table4[[#This Row],[Variance]])</f>
        <v>12537</v>
      </c>
      <c r="Q604" s="5" t="str">
        <f>IF(Table4[[#This Row],[AB Variances ]]&gt;$P$2,"Anomaly","Normal")</f>
        <v>Normal</v>
      </c>
      <c r="R604" s="5">
        <f>SUMIFS(Table4[BudgetAmount],Table4[ActualExpense],"pending")</f>
        <v>0</v>
      </c>
    </row>
    <row r="605" spans="1:18">
      <c r="A605" t="s">
        <v>1102</v>
      </c>
      <c r="B605" t="s">
        <v>1103</v>
      </c>
      <c r="C605" t="s">
        <v>35</v>
      </c>
      <c r="D605" t="s">
        <v>26</v>
      </c>
      <c r="E605" t="s">
        <v>27</v>
      </c>
      <c r="F605" t="s">
        <v>28</v>
      </c>
      <c r="G605" s="2">
        <v>439187</v>
      </c>
      <c r="H605" s="1">
        <v>377507</v>
      </c>
      <c r="I605">
        <v>-61680</v>
      </c>
      <c r="J605" t="s">
        <v>19</v>
      </c>
      <c r="K605" t="s">
        <v>20</v>
      </c>
      <c r="L605" t="s">
        <v>30</v>
      </c>
      <c r="M605" t="s">
        <v>42</v>
      </c>
      <c r="N605" s="5">
        <f>Table4[[#This Row],[BudgetAmount]]/Table4[[#This Row],[Variance]]</f>
        <v>-7.1204118028534369</v>
      </c>
      <c r="O605" s="5" t="str">
        <f>TEXT(Table4[[#This Row],[Date]],"mmm")</f>
        <v>Jul</v>
      </c>
      <c r="P605" s="5">
        <f>ABS(Table4[[#This Row],[Variance]])</f>
        <v>61680</v>
      </c>
      <c r="Q605" s="5" t="str">
        <f>IF(Table4[[#This Row],[AB Variances ]]&gt;$P$2,"Anomaly","Normal")</f>
        <v>Anomaly</v>
      </c>
      <c r="R605" s="5">
        <f>SUMIFS(Table4[BudgetAmount],Table4[ActualExpense],"pending")</f>
        <v>0</v>
      </c>
    </row>
    <row r="606" spans="1:18">
      <c r="A606" t="s">
        <v>1104</v>
      </c>
      <c r="B606" t="s">
        <v>1001</v>
      </c>
      <c r="C606" t="s">
        <v>64</v>
      </c>
      <c r="D606" t="s">
        <v>40</v>
      </c>
      <c r="E606" t="s">
        <v>71</v>
      </c>
      <c r="F606" t="s">
        <v>72</v>
      </c>
      <c r="G606" s="2">
        <v>391984</v>
      </c>
      <c r="H606" s="1">
        <v>330187</v>
      </c>
      <c r="I606">
        <v>-61797</v>
      </c>
      <c r="J606" t="s">
        <v>19</v>
      </c>
      <c r="K606" t="s">
        <v>20</v>
      </c>
      <c r="L606" t="s">
        <v>49</v>
      </c>
      <c r="M606" t="s">
        <v>22</v>
      </c>
      <c r="N606" s="5">
        <f>Table4[[#This Row],[BudgetAmount]]/Table4[[#This Row],[Variance]]</f>
        <v>-6.3430910885641696</v>
      </c>
      <c r="O606" s="5" t="str">
        <f>TEXT(Table4[[#This Row],[Date]],"mmm")</f>
        <v>Jul</v>
      </c>
      <c r="P606" s="5">
        <f>ABS(Table4[[#This Row],[Variance]])</f>
        <v>61797</v>
      </c>
      <c r="Q606" s="5" t="str">
        <f>IF(Table4[[#This Row],[AB Variances ]]&gt;$P$2,"Anomaly","Normal")</f>
        <v>Anomaly</v>
      </c>
      <c r="R606" s="5">
        <f>SUMIFS(Table4[BudgetAmount],Table4[ActualExpense],"pending")</f>
        <v>0</v>
      </c>
    </row>
    <row r="607" spans="1:18">
      <c r="A607" t="s">
        <v>1105</v>
      </c>
      <c r="B607" t="s">
        <v>1106</v>
      </c>
      <c r="C607" t="s">
        <v>64</v>
      </c>
      <c r="D607" t="s">
        <v>61</v>
      </c>
      <c r="E607" t="s">
        <v>71</v>
      </c>
      <c r="F607" t="s">
        <v>72</v>
      </c>
      <c r="G607" s="2">
        <v>130855</v>
      </c>
      <c r="H607" s="1">
        <v>142699</v>
      </c>
      <c r="I607">
        <v>11844</v>
      </c>
      <c r="J607" t="s">
        <v>54</v>
      </c>
      <c r="K607" t="s">
        <v>67</v>
      </c>
      <c r="L607" t="s">
        <v>30</v>
      </c>
      <c r="M607" t="s">
        <v>42</v>
      </c>
      <c r="N607" s="5">
        <f>Table4[[#This Row],[BudgetAmount]]/Table4[[#This Row],[Variance]]</f>
        <v>11.048210064167511</v>
      </c>
      <c r="O607" s="5" t="str">
        <f>TEXT(Table4[[#This Row],[Date]],"mmm")</f>
        <v>Oct</v>
      </c>
      <c r="P607" s="5">
        <f>ABS(Table4[[#This Row],[Variance]])</f>
        <v>11844</v>
      </c>
      <c r="Q607" s="5" t="str">
        <f>IF(Table4[[#This Row],[AB Variances ]]&gt;$P$2,"Anomaly","Normal")</f>
        <v>Normal</v>
      </c>
      <c r="R607" s="5">
        <f>SUMIFS(Table4[BudgetAmount],Table4[ActualExpense],"pending")</f>
        <v>0</v>
      </c>
    </row>
    <row r="608" spans="1:18">
      <c r="A608" t="s">
        <v>1107</v>
      </c>
      <c r="B608" t="s">
        <v>293</v>
      </c>
      <c r="C608" t="s">
        <v>25</v>
      </c>
      <c r="D608" t="s">
        <v>26</v>
      </c>
      <c r="E608" t="s">
        <v>17</v>
      </c>
      <c r="F608" t="s">
        <v>18</v>
      </c>
      <c r="G608" s="2">
        <v>267324</v>
      </c>
      <c r="H608" s="1">
        <v>266421</v>
      </c>
      <c r="I608">
        <v>-903</v>
      </c>
      <c r="J608" t="s">
        <v>54</v>
      </c>
      <c r="K608" t="s">
        <v>67</v>
      </c>
      <c r="L608" t="s">
        <v>49</v>
      </c>
      <c r="M608" t="s">
        <v>22</v>
      </c>
      <c r="N608" s="5">
        <f>Table4[[#This Row],[BudgetAmount]]/Table4[[#This Row],[Variance]]</f>
        <v>-296.03986710963454</v>
      </c>
      <c r="O608" s="5" t="str">
        <f>TEXT(Table4[[#This Row],[Date]],"mmm")</f>
        <v>Sep</v>
      </c>
      <c r="P608" s="5">
        <f>ABS(Table4[[#This Row],[Variance]])</f>
        <v>903</v>
      </c>
      <c r="Q608" s="5" t="str">
        <f>IF(Table4[[#This Row],[AB Variances ]]&gt;$P$2,"Anomaly","Normal")</f>
        <v>Normal</v>
      </c>
      <c r="R608" s="5">
        <f>SUMIFS(Table4[BudgetAmount],Table4[ActualExpense],"pending")</f>
        <v>0</v>
      </c>
    </row>
    <row r="609" spans="1:18">
      <c r="A609" t="s">
        <v>1108</v>
      </c>
      <c r="B609" t="s">
        <v>731</v>
      </c>
      <c r="C609" t="s">
        <v>15</v>
      </c>
      <c r="D609" t="s">
        <v>16</v>
      </c>
      <c r="E609" t="s">
        <v>27</v>
      </c>
      <c r="F609" t="s">
        <v>28</v>
      </c>
      <c r="G609" s="2">
        <v>106040</v>
      </c>
      <c r="H609" s="1">
        <v>89287</v>
      </c>
      <c r="I609">
        <v>-16753</v>
      </c>
      <c r="J609" t="s">
        <v>19</v>
      </c>
      <c r="K609" t="s">
        <v>41</v>
      </c>
      <c r="L609" t="s">
        <v>30</v>
      </c>
      <c r="M609" t="s">
        <v>22</v>
      </c>
      <c r="N609" s="5">
        <f>Table4[[#This Row],[BudgetAmount]]/Table4[[#This Row],[Variance]]</f>
        <v>-6.3296126066973075</v>
      </c>
      <c r="O609" s="5" t="str">
        <f>TEXT(Table4[[#This Row],[Date]],"mmm")</f>
        <v>May</v>
      </c>
      <c r="P609" s="5">
        <f>ABS(Table4[[#This Row],[Variance]])</f>
        <v>16753</v>
      </c>
      <c r="Q609" s="5" t="str">
        <f>IF(Table4[[#This Row],[AB Variances ]]&gt;$P$2,"Anomaly","Normal")</f>
        <v>Normal</v>
      </c>
      <c r="R609" s="5">
        <f>SUMIFS(Table4[BudgetAmount],Table4[ActualExpense],"pending")</f>
        <v>0</v>
      </c>
    </row>
    <row r="610" spans="1:18">
      <c r="A610" t="s">
        <v>1109</v>
      </c>
      <c r="B610" t="s">
        <v>665</v>
      </c>
      <c r="C610" t="s">
        <v>33</v>
      </c>
      <c r="D610" t="s">
        <v>34</v>
      </c>
      <c r="E610" t="s">
        <v>85</v>
      </c>
      <c r="F610" t="s">
        <v>86</v>
      </c>
      <c r="G610" s="2">
        <v>94207</v>
      </c>
      <c r="H610" s="1">
        <v>98378</v>
      </c>
      <c r="I610">
        <v>4171</v>
      </c>
      <c r="J610" t="s">
        <v>54</v>
      </c>
      <c r="K610" t="s">
        <v>67</v>
      </c>
      <c r="L610" t="s">
        <v>21</v>
      </c>
      <c r="M610" t="s">
        <v>42</v>
      </c>
      <c r="N610" s="5">
        <f>Table4[[#This Row],[BudgetAmount]]/Table4[[#This Row],[Variance]]</f>
        <v>22.586190362023494</v>
      </c>
      <c r="O610" s="5" t="str">
        <f>TEXT(Table4[[#This Row],[Date]],"mmm")</f>
        <v>Jul</v>
      </c>
      <c r="P610" s="5">
        <f>ABS(Table4[[#This Row],[Variance]])</f>
        <v>4171</v>
      </c>
      <c r="Q610" s="5" t="str">
        <f>IF(Table4[[#This Row],[AB Variances ]]&gt;$P$2,"Anomaly","Normal")</f>
        <v>Normal</v>
      </c>
      <c r="R610" s="5">
        <f>SUMIFS(Table4[BudgetAmount],Table4[ActualExpense],"pending")</f>
        <v>0</v>
      </c>
    </row>
    <row r="611" spans="1:18">
      <c r="A611" t="s">
        <v>1110</v>
      </c>
      <c r="B611" t="s">
        <v>1111</v>
      </c>
      <c r="C611" t="s">
        <v>45</v>
      </c>
      <c r="D611" t="s">
        <v>40</v>
      </c>
      <c r="E611" t="s">
        <v>27</v>
      </c>
      <c r="F611" t="s">
        <v>28</v>
      </c>
      <c r="G611" s="2">
        <v>257877</v>
      </c>
      <c r="H611" s="1">
        <v>299271</v>
      </c>
      <c r="I611">
        <v>41394</v>
      </c>
      <c r="J611" t="s">
        <v>19</v>
      </c>
      <c r="K611" t="s">
        <v>20</v>
      </c>
      <c r="L611" t="s">
        <v>21</v>
      </c>
      <c r="M611" t="s">
        <v>22</v>
      </c>
      <c r="N611" s="5">
        <f>Table4[[#This Row],[BudgetAmount]]/Table4[[#This Row],[Variance]]</f>
        <v>6.2298159153500503</v>
      </c>
      <c r="O611" s="5" t="str">
        <f>TEXT(Table4[[#This Row],[Date]],"mmm")</f>
        <v>Jan</v>
      </c>
      <c r="P611" s="5">
        <f>ABS(Table4[[#This Row],[Variance]])</f>
        <v>41394</v>
      </c>
      <c r="Q611" s="5" t="str">
        <f>IF(Table4[[#This Row],[AB Variances ]]&gt;$P$2,"Anomaly","Normal")</f>
        <v>Anomaly</v>
      </c>
      <c r="R611" s="5">
        <f>SUMIFS(Table4[BudgetAmount],Table4[ActualExpense],"pending")</f>
        <v>0</v>
      </c>
    </row>
    <row r="612" spans="1:18">
      <c r="A612" t="s">
        <v>1112</v>
      </c>
      <c r="B612" t="s">
        <v>1113</v>
      </c>
      <c r="C612" t="s">
        <v>35</v>
      </c>
      <c r="D612" t="s">
        <v>16</v>
      </c>
      <c r="E612" t="s">
        <v>71</v>
      </c>
      <c r="F612" t="s">
        <v>72</v>
      </c>
      <c r="G612" s="2">
        <v>236743</v>
      </c>
      <c r="H612" s="1">
        <v>181452</v>
      </c>
      <c r="I612">
        <v>-55291</v>
      </c>
      <c r="J612" t="s">
        <v>37</v>
      </c>
      <c r="K612" t="s">
        <v>29</v>
      </c>
      <c r="L612" t="s">
        <v>21</v>
      </c>
      <c r="M612" t="s">
        <v>42</v>
      </c>
      <c r="N612" s="5">
        <f>Table4[[#This Row],[BudgetAmount]]/Table4[[#This Row],[Variance]]</f>
        <v>-4.2817637590204551</v>
      </c>
      <c r="O612" s="5" t="str">
        <f>TEXT(Table4[[#This Row],[Date]],"mmm")</f>
        <v>Feb</v>
      </c>
      <c r="P612" s="5">
        <f>ABS(Table4[[#This Row],[Variance]])</f>
        <v>55291</v>
      </c>
      <c r="Q612" s="5" t="str">
        <f>IF(Table4[[#This Row],[AB Variances ]]&gt;$P$2,"Anomaly","Normal")</f>
        <v>Anomaly</v>
      </c>
      <c r="R612" s="5">
        <f>SUMIFS(Table4[BudgetAmount],Table4[ActualExpense],"pending")</f>
        <v>0</v>
      </c>
    </row>
    <row r="613" spans="1:18">
      <c r="A613" t="s">
        <v>1114</v>
      </c>
      <c r="B613" t="s">
        <v>1115</v>
      </c>
      <c r="C613" t="s">
        <v>15</v>
      </c>
      <c r="D613" t="s">
        <v>34</v>
      </c>
      <c r="E613" t="s">
        <v>27</v>
      </c>
      <c r="F613" t="s">
        <v>28</v>
      </c>
      <c r="G613" s="2">
        <v>323042</v>
      </c>
      <c r="H613" s="1">
        <v>440152</v>
      </c>
      <c r="I613">
        <v>117110</v>
      </c>
      <c r="J613" t="s">
        <v>54</v>
      </c>
      <c r="K613" t="s">
        <v>20</v>
      </c>
      <c r="L613" t="s">
        <v>21</v>
      </c>
      <c r="M613" t="s">
        <v>22</v>
      </c>
      <c r="N613" s="5">
        <f>Table4[[#This Row],[BudgetAmount]]/Table4[[#This Row],[Variance]]</f>
        <v>2.7584493211510543</v>
      </c>
      <c r="O613" s="5" t="str">
        <f>TEXT(Table4[[#This Row],[Date]],"mmm")</f>
        <v>Dec</v>
      </c>
      <c r="P613" s="5">
        <f>ABS(Table4[[#This Row],[Variance]])</f>
        <v>117110</v>
      </c>
      <c r="Q613" s="5" t="str">
        <f>IF(Table4[[#This Row],[AB Variances ]]&gt;$P$2,"Anomaly","Normal")</f>
        <v>Anomaly</v>
      </c>
      <c r="R613" s="5">
        <f>SUMIFS(Table4[BudgetAmount],Table4[ActualExpense],"pending")</f>
        <v>0</v>
      </c>
    </row>
    <row r="614" spans="1:18">
      <c r="A614" t="s">
        <v>1116</v>
      </c>
      <c r="B614" t="s">
        <v>904</v>
      </c>
      <c r="C614" t="s">
        <v>35</v>
      </c>
      <c r="D614" t="s">
        <v>40</v>
      </c>
      <c r="E614" t="s">
        <v>46</v>
      </c>
      <c r="F614" t="s">
        <v>47</v>
      </c>
      <c r="G614" s="2">
        <v>252452</v>
      </c>
      <c r="H614" s="1">
        <v>205811</v>
      </c>
      <c r="I614">
        <v>-46641</v>
      </c>
      <c r="J614" t="s">
        <v>37</v>
      </c>
      <c r="K614" t="s">
        <v>41</v>
      </c>
      <c r="L614" t="s">
        <v>68</v>
      </c>
      <c r="M614" t="s">
        <v>42</v>
      </c>
      <c r="N614" s="5">
        <f>Table4[[#This Row],[BudgetAmount]]/Table4[[#This Row],[Variance]]</f>
        <v>-5.4126626787590322</v>
      </c>
      <c r="O614" s="5" t="str">
        <f>TEXT(Table4[[#This Row],[Date]],"mmm")</f>
        <v>Nov</v>
      </c>
      <c r="P614" s="5">
        <f>ABS(Table4[[#This Row],[Variance]])</f>
        <v>46641</v>
      </c>
      <c r="Q614" s="5" t="str">
        <f>IF(Table4[[#This Row],[AB Variances ]]&gt;$P$2,"Anomaly","Normal")</f>
        <v>Anomaly</v>
      </c>
      <c r="R614" s="5">
        <f>SUMIFS(Table4[BudgetAmount],Table4[ActualExpense],"pending")</f>
        <v>0</v>
      </c>
    </row>
    <row r="615" spans="1:18">
      <c r="A615" t="s">
        <v>1117</v>
      </c>
      <c r="B615" t="s">
        <v>84</v>
      </c>
      <c r="C615" t="s">
        <v>45</v>
      </c>
      <c r="D615" t="s">
        <v>61</v>
      </c>
      <c r="E615" t="s">
        <v>71</v>
      </c>
      <c r="F615" t="s">
        <v>72</v>
      </c>
      <c r="G615" s="2">
        <v>357644</v>
      </c>
      <c r="H615" s="1">
        <v>486708</v>
      </c>
      <c r="I615">
        <v>129064</v>
      </c>
      <c r="J615" t="s">
        <v>19</v>
      </c>
      <c r="K615" t="s">
        <v>48</v>
      </c>
      <c r="L615" t="s">
        <v>49</v>
      </c>
      <c r="M615" t="s">
        <v>22</v>
      </c>
      <c r="N615" s="5">
        <f>Table4[[#This Row],[BudgetAmount]]/Table4[[#This Row],[Variance]]</f>
        <v>2.7710593194074256</v>
      </c>
      <c r="O615" s="5" t="str">
        <f>TEXT(Table4[[#This Row],[Date]],"mmm")</f>
        <v>Sep</v>
      </c>
      <c r="P615" s="5">
        <f>ABS(Table4[[#This Row],[Variance]])</f>
        <v>129064</v>
      </c>
      <c r="Q615" s="5" t="str">
        <f>IF(Table4[[#This Row],[AB Variances ]]&gt;$P$2,"Anomaly","Normal")</f>
        <v>Anomaly</v>
      </c>
      <c r="R615" s="5">
        <f>SUMIFS(Table4[BudgetAmount],Table4[ActualExpense],"pending")</f>
        <v>0</v>
      </c>
    </row>
    <row r="616" spans="1:18">
      <c r="A616" t="s">
        <v>1118</v>
      </c>
      <c r="B616" t="s">
        <v>1119</v>
      </c>
      <c r="C616" t="s">
        <v>15</v>
      </c>
      <c r="D616" t="s">
        <v>26</v>
      </c>
      <c r="E616" t="s">
        <v>35</v>
      </c>
      <c r="F616" t="s">
        <v>36</v>
      </c>
      <c r="G616" s="2">
        <v>139491</v>
      </c>
      <c r="H616" s="1">
        <v>149736</v>
      </c>
      <c r="I616">
        <v>10245</v>
      </c>
      <c r="J616" t="s">
        <v>37</v>
      </c>
      <c r="K616" t="s">
        <v>41</v>
      </c>
      <c r="L616" t="s">
        <v>21</v>
      </c>
      <c r="M616" t="s">
        <v>42</v>
      </c>
      <c r="N616" s="5">
        <f>Table4[[#This Row],[BudgetAmount]]/Table4[[#This Row],[Variance]]</f>
        <v>13.615519765739386</v>
      </c>
      <c r="O616" s="5" t="str">
        <f>TEXT(Table4[[#This Row],[Date]],"mmm")</f>
        <v>Dec</v>
      </c>
      <c r="P616" s="5">
        <f>ABS(Table4[[#This Row],[Variance]])</f>
        <v>10245</v>
      </c>
      <c r="Q616" s="5" t="str">
        <f>IF(Table4[[#This Row],[AB Variances ]]&gt;$P$2,"Anomaly","Normal")</f>
        <v>Normal</v>
      </c>
      <c r="R616" s="5">
        <f>SUMIFS(Table4[BudgetAmount],Table4[ActualExpense],"pending")</f>
        <v>0</v>
      </c>
    </row>
    <row r="617" spans="1:18">
      <c r="A617" t="s">
        <v>1120</v>
      </c>
      <c r="B617" t="s">
        <v>345</v>
      </c>
      <c r="C617" t="s">
        <v>25</v>
      </c>
      <c r="D617" t="s">
        <v>40</v>
      </c>
      <c r="E617" t="s">
        <v>85</v>
      </c>
      <c r="F617" t="s">
        <v>86</v>
      </c>
      <c r="G617" s="2">
        <v>127089</v>
      </c>
      <c r="H617" s="1">
        <v>162543</v>
      </c>
      <c r="I617">
        <v>35454</v>
      </c>
      <c r="J617" t="s">
        <v>19</v>
      </c>
      <c r="K617" t="s">
        <v>20</v>
      </c>
      <c r="L617" t="s">
        <v>30</v>
      </c>
      <c r="M617" t="s">
        <v>42</v>
      </c>
      <c r="N617" s="5">
        <f>Table4[[#This Row],[BudgetAmount]]/Table4[[#This Row],[Variance]]</f>
        <v>3.58461668641056</v>
      </c>
      <c r="O617" s="5" t="str">
        <f>TEXT(Table4[[#This Row],[Date]],"mmm")</f>
        <v>Mar</v>
      </c>
      <c r="P617" s="5">
        <f>ABS(Table4[[#This Row],[Variance]])</f>
        <v>35454</v>
      </c>
      <c r="Q617" s="5" t="str">
        <f>IF(Table4[[#This Row],[AB Variances ]]&gt;$P$2,"Anomaly","Normal")</f>
        <v>Anomaly</v>
      </c>
      <c r="R617" s="5">
        <f>SUMIFS(Table4[BudgetAmount],Table4[ActualExpense],"pending")</f>
        <v>0</v>
      </c>
    </row>
    <row r="618" spans="1:18">
      <c r="A618" t="s">
        <v>1121</v>
      </c>
      <c r="B618" t="s">
        <v>255</v>
      </c>
      <c r="C618" t="s">
        <v>25</v>
      </c>
      <c r="D618" t="s">
        <v>16</v>
      </c>
      <c r="E618" t="s">
        <v>46</v>
      </c>
      <c r="F618" t="s">
        <v>47</v>
      </c>
      <c r="G618" s="2">
        <v>187092</v>
      </c>
      <c r="H618" s="1">
        <v>191251</v>
      </c>
      <c r="I618">
        <v>4159</v>
      </c>
      <c r="J618" t="s">
        <v>37</v>
      </c>
      <c r="K618" t="s">
        <v>29</v>
      </c>
      <c r="L618" t="s">
        <v>30</v>
      </c>
      <c r="M618" t="s">
        <v>22</v>
      </c>
      <c r="N618" s="5">
        <f>Table4[[#This Row],[BudgetAmount]]/Table4[[#This Row],[Variance]]</f>
        <v>44.984852127915367</v>
      </c>
      <c r="O618" s="5" t="str">
        <f>TEXT(Table4[[#This Row],[Date]],"mmm")</f>
        <v>May</v>
      </c>
      <c r="P618" s="5">
        <f>ABS(Table4[[#This Row],[Variance]])</f>
        <v>4159</v>
      </c>
      <c r="Q618" s="5" t="str">
        <f>IF(Table4[[#This Row],[AB Variances ]]&gt;$P$2,"Anomaly","Normal")</f>
        <v>Normal</v>
      </c>
      <c r="R618" s="5">
        <f>SUMIFS(Table4[BudgetAmount],Table4[ActualExpense],"pending")</f>
        <v>0</v>
      </c>
    </row>
    <row r="619" spans="1:18">
      <c r="A619" t="s">
        <v>1122</v>
      </c>
      <c r="B619" t="s">
        <v>253</v>
      </c>
      <c r="C619" t="s">
        <v>15</v>
      </c>
      <c r="D619" t="s">
        <v>61</v>
      </c>
      <c r="E619" t="s">
        <v>27</v>
      </c>
      <c r="F619" t="s">
        <v>28</v>
      </c>
      <c r="G619" s="2">
        <v>454476</v>
      </c>
      <c r="H619" s="1">
        <v>471519</v>
      </c>
      <c r="I619">
        <v>17043</v>
      </c>
      <c r="J619" t="s">
        <v>37</v>
      </c>
      <c r="K619" t="s">
        <v>48</v>
      </c>
      <c r="L619" t="s">
        <v>49</v>
      </c>
      <c r="M619" t="s">
        <v>22</v>
      </c>
      <c r="N619" s="5">
        <f>Table4[[#This Row],[BudgetAmount]]/Table4[[#This Row],[Variance]]</f>
        <v>26.666431966203135</v>
      </c>
      <c r="O619" s="5" t="str">
        <f>TEXT(Table4[[#This Row],[Date]],"mmm")</f>
        <v>Oct</v>
      </c>
      <c r="P619" s="5">
        <f>ABS(Table4[[#This Row],[Variance]])</f>
        <v>17043</v>
      </c>
      <c r="Q619" s="5" t="str">
        <f>IF(Table4[[#This Row],[AB Variances ]]&gt;$P$2,"Anomaly","Normal")</f>
        <v>Normal</v>
      </c>
      <c r="R619" s="5">
        <f>SUMIFS(Table4[BudgetAmount],Table4[ActualExpense],"pending")</f>
        <v>0</v>
      </c>
    </row>
    <row r="620" spans="1:18">
      <c r="A620" t="s">
        <v>1123</v>
      </c>
      <c r="B620" t="s">
        <v>357</v>
      </c>
      <c r="C620" t="s">
        <v>15</v>
      </c>
      <c r="D620" t="s">
        <v>26</v>
      </c>
      <c r="E620" t="s">
        <v>71</v>
      </c>
      <c r="F620" t="s">
        <v>72</v>
      </c>
      <c r="G620" s="2">
        <v>236467</v>
      </c>
      <c r="H620" s="1">
        <v>170739</v>
      </c>
      <c r="I620">
        <v>-65728</v>
      </c>
      <c r="J620" t="s">
        <v>54</v>
      </c>
      <c r="K620" t="s">
        <v>20</v>
      </c>
      <c r="L620" t="s">
        <v>21</v>
      </c>
      <c r="M620" t="s">
        <v>42</v>
      </c>
      <c r="N620" s="5">
        <f>Table4[[#This Row],[BudgetAmount]]/Table4[[#This Row],[Variance]]</f>
        <v>-3.5976600535540411</v>
      </c>
      <c r="O620" s="5" t="str">
        <f>TEXT(Table4[[#This Row],[Date]],"mmm")</f>
        <v>May</v>
      </c>
      <c r="P620" s="5">
        <f>ABS(Table4[[#This Row],[Variance]])</f>
        <v>65728</v>
      </c>
      <c r="Q620" s="5" t="str">
        <f>IF(Table4[[#This Row],[AB Variances ]]&gt;$P$2,"Anomaly","Normal")</f>
        <v>Anomaly</v>
      </c>
      <c r="R620" s="5">
        <f>SUMIFS(Table4[BudgetAmount],Table4[ActualExpense],"pending")</f>
        <v>0</v>
      </c>
    </row>
    <row r="621" spans="1:18">
      <c r="A621" t="s">
        <v>1124</v>
      </c>
      <c r="B621" t="s">
        <v>1125</v>
      </c>
      <c r="C621" t="s">
        <v>33</v>
      </c>
      <c r="D621" t="s">
        <v>40</v>
      </c>
      <c r="E621" t="s">
        <v>85</v>
      </c>
      <c r="F621" t="s">
        <v>86</v>
      </c>
      <c r="G621" s="2">
        <v>288680</v>
      </c>
      <c r="H621" s="1">
        <v>378341</v>
      </c>
      <c r="I621">
        <v>89661</v>
      </c>
      <c r="J621" t="s">
        <v>54</v>
      </c>
      <c r="K621" t="s">
        <v>41</v>
      </c>
      <c r="L621" t="s">
        <v>30</v>
      </c>
      <c r="M621" t="s">
        <v>42</v>
      </c>
      <c r="N621" s="5">
        <f>Table4[[#This Row],[BudgetAmount]]/Table4[[#This Row],[Variance]]</f>
        <v>3.2196830282954685</v>
      </c>
      <c r="O621" s="5" t="str">
        <f>TEXT(Table4[[#This Row],[Date]],"mmm")</f>
        <v>Aug</v>
      </c>
      <c r="P621" s="5">
        <f>ABS(Table4[[#This Row],[Variance]])</f>
        <v>89661</v>
      </c>
      <c r="Q621" s="5" t="str">
        <f>IF(Table4[[#This Row],[AB Variances ]]&gt;$P$2,"Anomaly","Normal")</f>
        <v>Anomaly</v>
      </c>
      <c r="R621" s="5">
        <f>SUMIFS(Table4[BudgetAmount],Table4[ActualExpense],"pending")</f>
        <v>0</v>
      </c>
    </row>
    <row r="622" spans="1:18">
      <c r="A622" t="s">
        <v>1126</v>
      </c>
      <c r="B622" t="s">
        <v>1127</v>
      </c>
      <c r="C622" t="s">
        <v>25</v>
      </c>
      <c r="D622" t="s">
        <v>16</v>
      </c>
      <c r="E622" t="s">
        <v>46</v>
      </c>
      <c r="F622" t="s">
        <v>47</v>
      </c>
      <c r="G622" s="2">
        <v>311417</v>
      </c>
      <c r="H622" s="1">
        <v>418711</v>
      </c>
      <c r="I622">
        <v>107294</v>
      </c>
      <c r="J622" t="s">
        <v>37</v>
      </c>
      <c r="K622" t="s">
        <v>29</v>
      </c>
      <c r="L622" t="s">
        <v>49</v>
      </c>
      <c r="M622" t="s">
        <v>22</v>
      </c>
      <c r="N622" s="5">
        <f>Table4[[#This Row],[BudgetAmount]]/Table4[[#This Row],[Variance]]</f>
        <v>2.9024642570880013</v>
      </c>
      <c r="O622" s="5" t="str">
        <f>TEXT(Table4[[#This Row],[Date]],"mmm")</f>
        <v>May</v>
      </c>
      <c r="P622" s="5">
        <f>ABS(Table4[[#This Row],[Variance]])</f>
        <v>107294</v>
      </c>
      <c r="Q622" s="5" t="str">
        <f>IF(Table4[[#This Row],[AB Variances ]]&gt;$P$2,"Anomaly","Normal")</f>
        <v>Anomaly</v>
      </c>
      <c r="R622" s="5">
        <f>SUMIFS(Table4[BudgetAmount],Table4[ActualExpense],"pending")</f>
        <v>0</v>
      </c>
    </row>
    <row r="623" spans="1:18">
      <c r="A623" t="s">
        <v>1128</v>
      </c>
      <c r="B623" t="s">
        <v>881</v>
      </c>
      <c r="C623" t="s">
        <v>33</v>
      </c>
      <c r="D623" t="s">
        <v>40</v>
      </c>
      <c r="E623" t="s">
        <v>85</v>
      </c>
      <c r="F623" t="s">
        <v>86</v>
      </c>
      <c r="G623" s="2">
        <v>133586</v>
      </c>
      <c r="H623" s="1">
        <v>164340</v>
      </c>
      <c r="I623">
        <v>30754</v>
      </c>
      <c r="J623" t="s">
        <v>37</v>
      </c>
      <c r="K623" t="s">
        <v>41</v>
      </c>
      <c r="L623" t="s">
        <v>30</v>
      </c>
      <c r="M623" t="s">
        <v>22</v>
      </c>
      <c r="N623" s="5">
        <f>Table4[[#This Row],[BudgetAmount]]/Table4[[#This Row],[Variance]]</f>
        <v>4.343695129088899</v>
      </c>
      <c r="O623" s="5" t="str">
        <f>TEXT(Table4[[#This Row],[Date]],"mmm")</f>
        <v>Jan</v>
      </c>
      <c r="P623" s="5">
        <f>ABS(Table4[[#This Row],[Variance]])</f>
        <v>30754</v>
      </c>
      <c r="Q623" s="5" t="str">
        <f>IF(Table4[[#This Row],[AB Variances ]]&gt;$P$2,"Anomaly","Normal")</f>
        <v>Anomaly</v>
      </c>
      <c r="R623" s="5">
        <f>SUMIFS(Table4[BudgetAmount],Table4[ActualExpense],"pending")</f>
        <v>0</v>
      </c>
    </row>
    <row r="624" spans="1:18">
      <c r="A624" t="s">
        <v>1129</v>
      </c>
      <c r="B624" t="s">
        <v>432</v>
      </c>
      <c r="C624" t="s">
        <v>64</v>
      </c>
      <c r="D624" t="s">
        <v>34</v>
      </c>
      <c r="E624" t="s">
        <v>85</v>
      </c>
      <c r="F624" t="s">
        <v>86</v>
      </c>
      <c r="G624" s="2">
        <v>441326</v>
      </c>
      <c r="H624" s="1">
        <v>559942</v>
      </c>
      <c r="I624">
        <v>118616</v>
      </c>
      <c r="J624" t="s">
        <v>37</v>
      </c>
      <c r="K624" t="s">
        <v>20</v>
      </c>
      <c r="L624" t="s">
        <v>49</v>
      </c>
      <c r="M624" t="s">
        <v>22</v>
      </c>
      <c r="N624" s="5">
        <f>Table4[[#This Row],[BudgetAmount]]/Table4[[#This Row],[Variance]]</f>
        <v>3.7206279085452216</v>
      </c>
      <c r="O624" s="5" t="str">
        <f>TEXT(Table4[[#This Row],[Date]],"mmm")</f>
        <v>Mar</v>
      </c>
      <c r="P624" s="5">
        <f>ABS(Table4[[#This Row],[Variance]])</f>
        <v>118616</v>
      </c>
      <c r="Q624" s="5" t="str">
        <f>IF(Table4[[#This Row],[AB Variances ]]&gt;$P$2,"Anomaly","Normal")</f>
        <v>Anomaly</v>
      </c>
      <c r="R624" s="5">
        <f>SUMIFS(Table4[BudgetAmount],Table4[ActualExpense],"pending")</f>
        <v>0</v>
      </c>
    </row>
    <row r="625" spans="1:18">
      <c r="A625" t="s">
        <v>1130</v>
      </c>
      <c r="B625" t="s">
        <v>335</v>
      </c>
      <c r="C625" t="s">
        <v>45</v>
      </c>
      <c r="D625" t="s">
        <v>16</v>
      </c>
      <c r="E625" t="s">
        <v>85</v>
      </c>
      <c r="F625" t="s">
        <v>86</v>
      </c>
      <c r="G625" s="2">
        <v>85849</v>
      </c>
      <c r="H625" s="1">
        <v>97660</v>
      </c>
      <c r="I625">
        <v>11811</v>
      </c>
      <c r="J625" t="s">
        <v>19</v>
      </c>
      <c r="K625" t="s">
        <v>20</v>
      </c>
      <c r="L625" t="s">
        <v>30</v>
      </c>
      <c r="M625" t="s">
        <v>22</v>
      </c>
      <c r="N625" s="5">
        <f>Table4[[#This Row],[BudgetAmount]]/Table4[[#This Row],[Variance]]</f>
        <v>7.2685632037930743</v>
      </c>
      <c r="O625" s="5" t="str">
        <f>TEXT(Table4[[#This Row],[Date]],"mmm")</f>
        <v>Jul</v>
      </c>
      <c r="P625" s="5">
        <f>ABS(Table4[[#This Row],[Variance]])</f>
        <v>11811</v>
      </c>
      <c r="Q625" s="5" t="str">
        <f>IF(Table4[[#This Row],[AB Variances ]]&gt;$P$2,"Anomaly","Normal")</f>
        <v>Normal</v>
      </c>
      <c r="R625" s="5">
        <f>SUMIFS(Table4[BudgetAmount],Table4[ActualExpense],"pending")</f>
        <v>0</v>
      </c>
    </row>
    <row r="626" spans="1:18">
      <c r="A626" t="s">
        <v>1131</v>
      </c>
      <c r="B626" t="s">
        <v>1132</v>
      </c>
      <c r="C626" t="s">
        <v>45</v>
      </c>
      <c r="D626" t="s">
        <v>61</v>
      </c>
      <c r="E626" t="s">
        <v>71</v>
      </c>
      <c r="F626" t="s">
        <v>72</v>
      </c>
      <c r="G626" s="2">
        <v>308264</v>
      </c>
      <c r="H626" s="1">
        <v>270411</v>
      </c>
      <c r="I626">
        <v>-37853</v>
      </c>
      <c r="J626" t="s">
        <v>37</v>
      </c>
      <c r="K626" t="s">
        <v>29</v>
      </c>
      <c r="L626" t="s">
        <v>68</v>
      </c>
      <c r="M626" t="s">
        <v>22</v>
      </c>
      <c r="N626" s="5">
        <f>Table4[[#This Row],[BudgetAmount]]/Table4[[#This Row],[Variance]]</f>
        <v>-8.1437138403825315</v>
      </c>
      <c r="O626" s="5" t="str">
        <f>TEXT(Table4[[#This Row],[Date]],"mmm")</f>
        <v>May</v>
      </c>
      <c r="P626" s="5">
        <f>ABS(Table4[[#This Row],[Variance]])</f>
        <v>37853</v>
      </c>
      <c r="Q626" s="5" t="str">
        <f>IF(Table4[[#This Row],[AB Variances ]]&gt;$P$2,"Anomaly","Normal")</f>
        <v>Anomaly</v>
      </c>
      <c r="R626" s="5">
        <f>SUMIFS(Table4[BudgetAmount],Table4[ActualExpense],"pending")</f>
        <v>0</v>
      </c>
    </row>
    <row r="627" spans="1:18">
      <c r="A627" t="s">
        <v>1133</v>
      </c>
      <c r="B627" t="s">
        <v>538</v>
      </c>
      <c r="C627" t="s">
        <v>45</v>
      </c>
      <c r="D627" t="s">
        <v>40</v>
      </c>
      <c r="E627" t="s">
        <v>46</v>
      </c>
      <c r="F627" t="s">
        <v>47</v>
      </c>
      <c r="G627" s="2">
        <v>195676</v>
      </c>
      <c r="H627" s="1">
        <v>154965</v>
      </c>
      <c r="I627">
        <v>-40711</v>
      </c>
      <c r="J627" t="s">
        <v>54</v>
      </c>
      <c r="K627" t="s">
        <v>20</v>
      </c>
      <c r="L627" t="s">
        <v>21</v>
      </c>
      <c r="M627" t="s">
        <v>42</v>
      </c>
      <c r="N627" s="5">
        <f>Table4[[#This Row],[BudgetAmount]]/Table4[[#This Row],[Variance]]</f>
        <v>-4.806465083147061</v>
      </c>
      <c r="O627" s="5" t="str">
        <f>TEXT(Table4[[#This Row],[Date]],"mmm")</f>
        <v>Oct</v>
      </c>
      <c r="P627" s="5">
        <f>ABS(Table4[[#This Row],[Variance]])</f>
        <v>40711</v>
      </c>
      <c r="Q627" s="5" t="str">
        <f>IF(Table4[[#This Row],[AB Variances ]]&gt;$P$2,"Anomaly","Normal")</f>
        <v>Anomaly</v>
      </c>
      <c r="R627" s="5">
        <f>SUMIFS(Table4[BudgetAmount],Table4[ActualExpense],"pending")</f>
        <v>0</v>
      </c>
    </row>
    <row r="628" spans="1:18">
      <c r="A628" t="s">
        <v>1134</v>
      </c>
      <c r="B628" t="s">
        <v>352</v>
      </c>
      <c r="C628" t="s">
        <v>25</v>
      </c>
      <c r="D628" t="s">
        <v>61</v>
      </c>
      <c r="E628" t="s">
        <v>71</v>
      </c>
      <c r="F628" t="s">
        <v>72</v>
      </c>
      <c r="G628" s="2">
        <v>72886</v>
      </c>
      <c r="H628" s="1">
        <v>88302</v>
      </c>
      <c r="I628">
        <v>15416</v>
      </c>
      <c r="J628" t="s">
        <v>37</v>
      </c>
      <c r="K628" t="s">
        <v>41</v>
      </c>
      <c r="L628" t="s">
        <v>49</v>
      </c>
      <c r="M628" t="s">
        <v>42</v>
      </c>
      <c r="N628" s="5">
        <f>Table4[[#This Row],[BudgetAmount]]/Table4[[#This Row],[Variance]]</f>
        <v>4.72794499221588</v>
      </c>
      <c r="O628" s="5" t="str">
        <f>TEXT(Table4[[#This Row],[Date]],"mmm")</f>
        <v>Dec</v>
      </c>
      <c r="P628" s="5">
        <f>ABS(Table4[[#This Row],[Variance]])</f>
        <v>15416</v>
      </c>
      <c r="Q628" s="5" t="str">
        <f>IF(Table4[[#This Row],[AB Variances ]]&gt;$P$2,"Anomaly","Normal")</f>
        <v>Normal</v>
      </c>
      <c r="R628" s="5">
        <f>SUMIFS(Table4[BudgetAmount],Table4[ActualExpense],"pending")</f>
        <v>0</v>
      </c>
    </row>
    <row r="629" spans="1:18">
      <c r="A629" t="s">
        <v>1135</v>
      </c>
      <c r="B629" t="s">
        <v>156</v>
      </c>
      <c r="C629" t="s">
        <v>64</v>
      </c>
      <c r="D629" t="s">
        <v>40</v>
      </c>
      <c r="E629" t="s">
        <v>85</v>
      </c>
      <c r="F629" t="s">
        <v>86</v>
      </c>
      <c r="G629" s="2">
        <v>317406</v>
      </c>
      <c r="H629" s="1">
        <v>345632</v>
      </c>
      <c r="I629">
        <v>28226</v>
      </c>
      <c r="J629" t="s">
        <v>37</v>
      </c>
      <c r="K629" t="s">
        <v>41</v>
      </c>
      <c r="L629" t="s">
        <v>21</v>
      </c>
      <c r="M629" t="s">
        <v>42</v>
      </c>
      <c r="N629" s="5">
        <f>Table4[[#This Row],[BudgetAmount]]/Table4[[#This Row],[Variance]]</f>
        <v>11.245164033160915</v>
      </c>
      <c r="O629" s="5" t="str">
        <f>TEXT(Table4[[#This Row],[Date]],"mmm")</f>
        <v>May</v>
      </c>
      <c r="P629" s="5">
        <f>ABS(Table4[[#This Row],[Variance]])</f>
        <v>28226</v>
      </c>
      <c r="Q629" s="5" t="str">
        <f>IF(Table4[[#This Row],[AB Variances ]]&gt;$P$2,"Anomaly","Normal")</f>
        <v>Anomaly</v>
      </c>
      <c r="R629" s="5">
        <f>SUMIFS(Table4[BudgetAmount],Table4[ActualExpense],"pending")</f>
        <v>0</v>
      </c>
    </row>
    <row r="630" spans="1:18">
      <c r="A630" t="s">
        <v>1136</v>
      </c>
      <c r="B630" t="s">
        <v>1137</v>
      </c>
      <c r="C630" t="s">
        <v>15</v>
      </c>
      <c r="D630" t="s">
        <v>26</v>
      </c>
      <c r="E630" t="s">
        <v>85</v>
      </c>
      <c r="F630" t="s">
        <v>86</v>
      </c>
      <c r="G630" s="2">
        <v>470117</v>
      </c>
      <c r="H630" s="1">
        <v>421053</v>
      </c>
      <c r="I630">
        <v>-49064</v>
      </c>
      <c r="J630" t="s">
        <v>54</v>
      </c>
      <c r="K630" t="s">
        <v>48</v>
      </c>
      <c r="L630" t="s">
        <v>68</v>
      </c>
      <c r="M630" t="s">
        <v>22</v>
      </c>
      <c r="N630" s="5">
        <f>Table4[[#This Row],[BudgetAmount]]/Table4[[#This Row],[Variance]]</f>
        <v>-9.581709603782814</v>
      </c>
      <c r="O630" s="5" t="str">
        <f>TEXT(Table4[[#This Row],[Date]],"mmm")</f>
        <v>Jun</v>
      </c>
      <c r="P630" s="5">
        <f>ABS(Table4[[#This Row],[Variance]])</f>
        <v>49064</v>
      </c>
      <c r="Q630" s="5" t="str">
        <f>IF(Table4[[#This Row],[AB Variances ]]&gt;$P$2,"Anomaly","Normal")</f>
        <v>Anomaly</v>
      </c>
      <c r="R630" s="5">
        <f>SUMIFS(Table4[BudgetAmount],Table4[ActualExpense],"pending")</f>
        <v>0</v>
      </c>
    </row>
    <row r="631" spans="1:18">
      <c r="A631" t="s">
        <v>1138</v>
      </c>
      <c r="B631" t="s">
        <v>1139</v>
      </c>
      <c r="C631" t="s">
        <v>25</v>
      </c>
      <c r="D631" t="s">
        <v>26</v>
      </c>
      <c r="E631" t="s">
        <v>35</v>
      </c>
      <c r="F631" t="s">
        <v>36</v>
      </c>
      <c r="G631" s="2">
        <v>66027</v>
      </c>
      <c r="H631" s="1">
        <v>80570</v>
      </c>
      <c r="I631">
        <v>14543</v>
      </c>
      <c r="J631" t="s">
        <v>37</v>
      </c>
      <c r="K631" t="s">
        <v>20</v>
      </c>
      <c r="L631" t="s">
        <v>68</v>
      </c>
      <c r="M631" t="s">
        <v>22</v>
      </c>
      <c r="N631" s="5">
        <f>Table4[[#This Row],[BudgetAmount]]/Table4[[#This Row],[Variance]]</f>
        <v>4.5401223956542669</v>
      </c>
      <c r="O631" s="5" t="str">
        <f>TEXT(Table4[[#This Row],[Date]],"mmm")</f>
        <v>May</v>
      </c>
      <c r="P631" s="5">
        <f>ABS(Table4[[#This Row],[Variance]])</f>
        <v>14543</v>
      </c>
      <c r="Q631" s="5" t="str">
        <f>IF(Table4[[#This Row],[AB Variances ]]&gt;$P$2,"Anomaly","Normal")</f>
        <v>Normal</v>
      </c>
      <c r="R631" s="5">
        <f>SUMIFS(Table4[BudgetAmount],Table4[ActualExpense],"pending")</f>
        <v>0</v>
      </c>
    </row>
    <row r="632" spans="1:18">
      <c r="A632" t="s">
        <v>1140</v>
      </c>
      <c r="B632" t="s">
        <v>1141</v>
      </c>
      <c r="C632" t="s">
        <v>15</v>
      </c>
      <c r="D632" t="s">
        <v>26</v>
      </c>
      <c r="E632" t="s">
        <v>35</v>
      </c>
      <c r="F632" t="s">
        <v>36</v>
      </c>
      <c r="G632" s="2">
        <v>266637</v>
      </c>
      <c r="H632" s="1">
        <v>270549</v>
      </c>
      <c r="I632">
        <v>3912</v>
      </c>
      <c r="J632" t="s">
        <v>37</v>
      </c>
      <c r="K632" t="s">
        <v>67</v>
      </c>
      <c r="L632" t="s">
        <v>49</v>
      </c>
      <c r="M632" t="s">
        <v>22</v>
      </c>
      <c r="N632" s="5">
        <f>Table4[[#This Row],[BudgetAmount]]/Table4[[#This Row],[Variance]]</f>
        <v>68.158742331288337</v>
      </c>
      <c r="O632" s="5" t="str">
        <f>TEXT(Table4[[#This Row],[Date]],"mmm")</f>
        <v>Mar</v>
      </c>
      <c r="P632" s="5">
        <f>ABS(Table4[[#This Row],[Variance]])</f>
        <v>3912</v>
      </c>
      <c r="Q632" s="5" t="str">
        <f>IF(Table4[[#This Row],[AB Variances ]]&gt;$P$2,"Anomaly","Normal")</f>
        <v>Normal</v>
      </c>
      <c r="R632" s="5">
        <f>SUMIFS(Table4[BudgetAmount],Table4[ActualExpense],"pending")</f>
        <v>0</v>
      </c>
    </row>
    <row r="633" spans="1:18">
      <c r="A633" t="s">
        <v>1142</v>
      </c>
      <c r="B633" t="s">
        <v>1143</v>
      </c>
      <c r="C633" t="s">
        <v>35</v>
      </c>
      <c r="D633" t="s">
        <v>34</v>
      </c>
      <c r="E633" t="s">
        <v>27</v>
      </c>
      <c r="F633" t="s">
        <v>28</v>
      </c>
      <c r="G633" s="2">
        <v>451705</v>
      </c>
      <c r="H633" s="1">
        <v>354628</v>
      </c>
      <c r="I633">
        <v>-97077</v>
      </c>
      <c r="J633" t="s">
        <v>37</v>
      </c>
      <c r="K633" t="s">
        <v>48</v>
      </c>
      <c r="L633" t="s">
        <v>30</v>
      </c>
      <c r="M633" t="s">
        <v>22</v>
      </c>
      <c r="N633" s="5">
        <f>Table4[[#This Row],[BudgetAmount]]/Table4[[#This Row],[Variance]]</f>
        <v>-4.6530589119976922</v>
      </c>
      <c r="O633" s="5" t="str">
        <f>TEXT(Table4[[#This Row],[Date]],"mmm")</f>
        <v>Mar</v>
      </c>
      <c r="P633" s="5">
        <f>ABS(Table4[[#This Row],[Variance]])</f>
        <v>97077</v>
      </c>
      <c r="Q633" s="5" t="str">
        <f>IF(Table4[[#This Row],[AB Variances ]]&gt;$P$2,"Anomaly","Normal")</f>
        <v>Anomaly</v>
      </c>
      <c r="R633" s="5">
        <f>SUMIFS(Table4[BudgetAmount],Table4[ActualExpense],"pending")</f>
        <v>0</v>
      </c>
    </row>
    <row r="634" spans="1:18">
      <c r="A634" t="s">
        <v>1144</v>
      </c>
      <c r="B634" t="s">
        <v>613</v>
      </c>
      <c r="C634" t="s">
        <v>25</v>
      </c>
      <c r="D634" t="s">
        <v>16</v>
      </c>
      <c r="E634" t="s">
        <v>17</v>
      </c>
      <c r="F634" t="s">
        <v>18</v>
      </c>
      <c r="G634" s="2">
        <v>141422</v>
      </c>
      <c r="H634" s="1">
        <v>148328</v>
      </c>
      <c r="I634">
        <v>6906</v>
      </c>
      <c r="J634" t="s">
        <v>19</v>
      </c>
      <c r="K634" t="s">
        <v>29</v>
      </c>
      <c r="L634" t="s">
        <v>21</v>
      </c>
      <c r="M634" t="s">
        <v>22</v>
      </c>
      <c r="N634" s="5">
        <f>Table4[[#This Row],[BudgetAmount]]/Table4[[#This Row],[Variance]]</f>
        <v>20.478134955111496</v>
      </c>
      <c r="O634" s="5" t="str">
        <f>TEXT(Table4[[#This Row],[Date]],"mmm")</f>
        <v>Feb</v>
      </c>
      <c r="P634" s="5">
        <f>ABS(Table4[[#This Row],[Variance]])</f>
        <v>6906</v>
      </c>
      <c r="Q634" s="5" t="str">
        <f>IF(Table4[[#This Row],[AB Variances ]]&gt;$P$2,"Anomaly","Normal")</f>
        <v>Normal</v>
      </c>
      <c r="R634" s="5">
        <f>SUMIFS(Table4[BudgetAmount],Table4[ActualExpense],"pending")</f>
        <v>0</v>
      </c>
    </row>
    <row r="635" spans="1:18">
      <c r="A635" t="s">
        <v>1145</v>
      </c>
      <c r="B635" t="s">
        <v>1012</v>
      </c>
      <c r="C635" t="s">
        <v>15</v>
      </c>
      <c r="D635" t="s">
        <v>40</v>
      </c>
      <c r="E635" t="s">
        <v>71</v>
      </c>
      <c r="F635" t="s">
        <v>72</v>
      </c>
      <c r="G635" s="2">
        <v>208556</v>
      </c>
      <c r="H635" s="1">
        <v>153342</v>
      </c>
      <c r="I635">
        <v>-55214</v>
      </c>
      <c r="J635" t="s">
        <v>37</v>
      </c>
      <c r="K635" t="s">
        <v>67</v>
      </c>
      <c r="L635" t="s">
        <v>49</v>
      </c>
      <c r="M635" t="s">
        <v>22</v>
      </c>
      <c r="N635" s="5">
        <f>Table4[[#This Row],[BudgetAmount]]/Table4[[#This Row],[Variance]]</f>
        <v>-3.7772304125765204</v>
      </c>
      <c r="O635" s="5" t="str">
        <f>TEXT(Table4[[#This Row],[Date]],"mmm")</f>
        <v>Apr</v>
      </c>
      <c r="P635" s="5">
        <f>ABS(Table4[[#This Row],[Variance]])</f>
        <v>55214</v>
      </c>
      <c r="Q635" s="5" t="str">
        <f>IF(Table4[[#This Row],[AB Variances ]]&gt;$P$2,"Anomaly","Normal")</f>
        <v>Anomaly</v>
      </c>
      <c r="R635" s="5">
        <f>SUMIFS(Table4[BudgetAmount],Table4[ActualExpense],"pending")</f>
        <v>0</v>
      </c>
    </row>
    <row r="636" spans="1:18">
      <c r="A636" t="s">
        <v>1146</v>
      </c>
      <c r="B636" t="s">
        <v>335</v>
      </c>
      <c r="C636" t="s">
        <v>45</v>
      </c>
      <c r="D636" t="s">
        <v>26</v>
      </c>
      <c r="E636" t="s">
        <v>46</v>
      </c>
      <c r="F636" t="s">
        <v>47</v>
      </c>
      <c r="G636" s="2">
        <v>439565</v>
      </c>
      <c r="H636" s="1">
        <v>515789</v>
      </c>
      <c r="I636">
        <v>76224</v>
      </c>
      <c r="J636" t="s">
        <v>19</v>
      </c>
      <c r="K636" t="s">
        <v>29</v>
      </c>
      <c r="L636" t="s">
        <v>30</v>
      </c>
      <c r="M636" t="s">
        <v>42</v>
      </c>
      <c r="N636" s="5">
        <f>Table4[[#This Row],[BudgetAmount]]/Table4[[#This Row],[Variance]]</f>
        <v>5.7667532535684298</v>
      </c>
      <c r="O636" s="5" t="str">
        <f>TEXT(Table4[[#This Row],[Date]],"mmm")</f>
        <v>Jul</v>
      </c>
      <c r="P636" s="5">
        <f>ABS(Table4[[#This Row],[Variance]])</f>
        <v>76224</v>
      </c>
      <c r="Q636" s="5" t="str">
        <f>IF(Table4[[#This Row],[AB Variances ]]&gt;$P$2,"Anomaly","Normal")</f>
        <v>Anomaly</v>
      </c>
      <c r="R636" s="5">
        <f>SUMIFS(Table4[BudgetAmount],Table4[ActualExpense],"pending")</f>
        <v>0</v>
      </c>
    </row>
    <row r="637" spans="1:18">
      <c r="A637" t="s">
        <v>1147</v>
      </c>
      <c r="B637" t="s">
        <v>1148</v>
      </c>
      <c r="C637" t="s">
        <v>64</v>
      </c>
      <c r="D637" t="s">
        <v>26</v>
      </c>
      <c r="E637" t="s">
        <v>17</v>
      </c>
      <c r="F637" t="s">
        <v>18</v>
      </c>
      <c r="G637" s="2">
        <v>277131</v>
      </c>
      <c r="H637" s="1">
        <v>313441</v>
      </c>
      <c r="I637">
        <v>36310</v>
      </c>
      <c r="J637" t="s">
        <v>54</v>
      </c>
      <c r="K637" t="s">
        <v>20</v>
      </c>
      <c r="L637" t="s">
        <v>68</v>
      </c>
      <c r="M637" t="s">
        <v>22</v>
      </c>
      <c r="N637" s="5">
        <f>Table4[[#This Row],[BudgetAmount]]/Table4[[#This Row],[Variance]]</f>
        <v>7.6323602313412282</v>
      </c>
      <c r="O637" s="5" t="str">
        <f>TEXT(Table4[[#This Row],[Date]],"mmm")</f>
        <v>May</v>
      </c>
      <c r="P637" s="5">
        <f>ABS(Table4[[#This Row],[Variance]])</f>
        <v>36310</v>
      </c>
      <c r="Q637" s="5" t="str">
        <f>IF(Table4[[#This Row],[AB Variances ]]&gt;$P$2,"Anomaly","Normal")</f>
        <v>Anomaly</v>
      </c>
      <c r="R637" s="5">
        <f>SUMIFS(Table4[BudgetAmount],Table4[ActualExpense],"pending")</f>
        <v>0</v>
      </c>
    </row>
    <row r="638" spans="1:18">
      <c r="A638" t="s">
        <v>1149</v>
      </c>
      <c r="B638" t="s">
        <v>1150</v>
      </c>
      <c r="C638" t="s">
        <v>25</v>
      </c>
      <c r="D638" t="s">
        <v>34</v>
      </c>
      <c r="E638" t="s">
        <v>71</v>
      </c>
      <c r="F638" t="s">
        <v>72</v>
      </c>
      <c r="G638" s="2">
        <v>53624</v>
      </c>
      <c r="H638" s="1">
        <v>61726</v>
      </c>
      <c r="I638">
        <v>8102</v>
      </c>
      <c r="J638" t="s">
        <v>37</v>
      </c>
      <c r="K638" t="s">
        <v>41</v>
      </c>
      <c r="L638" t="s">
        <v>30</v>
      </c>
      <c r="M638" t="s">
        <v>22</v>
      </c>
      <c r="N638" s="5">
        <f>Table4[[#This Row],[BudgetAmount]]/Table4[[#This Row],[Variance]]</f>
        <v>6.6186126882251299</v>
      </c>
      <c r="O638" s="5" t="str">
        <f>TEXT(Table4[[#This Row],[Date]],"mmm")</f>
        <v>Mar</v>
      </c>
      <c r="P638" s="5">
        <f>ABS(Table4[[#This Row],[Variance]])</f>
        <v>8102</v>
      </c>
      <c r="Q638" s="5" t="str">
        <f>IF(Table4[[#This Row],[AB Variances ]]&gt;$P$2,"Anomaly","Normal")</f>
        <v>Normal</v>
      </c>
      <c r="R638" s="5">
        <f>SUMIFS(Table4[BudgetAmount],Table4[ActualExpense],"pending")</f>
        <v>0</v>
      </c>
    </row>
    <row r="639" spans="1:18">
      <c r="A639" t="s">
        <v>1151</v>
      </c>
      <c r="B639" t="s">
        <v>1152</v>
      </c>
      <c r="C639" t="s">
        <v>64</v>
      </c>
      <c r="D639" t="s">
        <v>16</v>
      </c>
      <c r="E639" t="s">
        <v>35</v>
      </c>
      <c r="F639" t="s">
        <v>36</v>
      </c>
      <c r="G639" s="2">
        <v>250436</v>
      </c>
      <c r="H639" s="1">
        <v>349463</v>
      </c>
      <c r="I639">
        <v>99027</v>
      </c>
      <c r="J639" t="s">
        <v>54</v>
      </c>
      <c r="K639" t="s">
        <v>41</v>
      </c>
      <c r="L639" t="s">
        <v>49</v>
      </c>
      <c r="M639" t="s">
        <v>42</v>
      </c>
      <c r="N639" s="5">
        <f>Table4[[#This Row],[BudgetAmount]]/Table4[[#This Row],[Variance]]</f>
        <v>2.5289668474254494</v>
      </c>
      <c r="O639" s="5" t="str">
        <f>TEXT(Table4[[#This Row],[Date]],"mmm")</f>
        <v>Jan</v>
      </c>
      <c r="P639" s="5">
        <f>ABS(Table4[[#This Row],[Variance]])</f>
        <v>99027</v>
      </c>
      <c r="Q639" s="5" t="str">
        <f>IF(Table4[[#This Row],[AB Variances ]]&gt;$P$2,"Anomaly","Normal")</f>
        <v>Anomaly</v>
      </c>
      <c r="R639" s="5">
        <f>SUMIFS(Table4[BudgetAmount],Table4[ActualExpense],"pending")</f>
        <v>0</v>
      </c>
    </row>
    <row r="640" spans="1:18">
      <c r="A640" t="s">
        <v>1153</v>
      </c>
      <c r="B640" t="s">
        <v>1154</v>
      </c>
      <c r="C640" t="s">
        <v>45</v>
      </c>
      <c r="D640" t="s">
        <v>61</v>
      </c>
      <c r="E640" t="s">
        <v>71</v>
      </c>
      <c r="F640" t="s">
        <v>72</v>
      </c>
      <c r="G640" s="2">
        <v>328474</v>
      </c>
      <c r="H640" s="1">
        <v>340856</v>
      </c>
      <c r="I640">
        <v>12382</v>
      </c>
      <c r="J640" t="s">
        <v>19</v>
      </c>
      <c r="K640" t="s">
        <v>67</v>
      </c>
      <c r="L640" t="s">
        <v>49</v>
      </c>
      <c r="M640" t="s">
        <v>22</v>
      </c>
      <c r="N640" s="5">
        <f>Table4[[#This Row],[BudgetAmount]]/Table4[[#This Row],[Variance]]</f>
        <v>26.52834760135681</v>
      </c>
      <c r="O640" s="5" t="str">
        <f>TEXT(Table4[[#This Row],[Date]],"mmm")</f>
        <v>Dec</v>
      </c>
      <c r="P640" s="5">
        <f>ABS(Table4[[#This Row],[Variance]])</f>
        <v>12382</v>
      </c>
      <c r="Q640" s="5" t="str">
        <f>IF(Table4[[#This Row],[AB Variances ]]&gt;$P$2,"Anomaly","Normal")</f>
        <v>Normal</v>
      </c>
      <c r="R640" s="5">
        <f>SUMIFS(Table4[BudgetAmount],Table4[ActualExpense],"pending")</f>
        <v>0</v>
      </c>
    </row>
    <row r="641" spans="1:18">
      <c r="A641" t="s">
        <v>1155</v>
      </c>
      <c r="B641" t="s">
        <v>1014</v>
      </c>
      <c r="C641" t="s">
        <v>35</v>
      </c>
      <c r="D641" t="s">
        <v>40</v>
      </c>
      <c r="E641" t="s">
        <v>46</v>
      </c>
      <c r="F641" t="s">
        <v>47</v>
      </c>
      <c r="G641" s="2">
        <v>372092</v>
      </c>
      <c r="H641" s="1">
        <v>366983</v>
      </c>
      <c r="I641">
        <v>-5109</v>
      </c>
      <c r="J641" t="s">
        <v>37</v>
      </c>
      <c r="K641" t="s">
        <v>41</v>
      </c>
      <c r="L641" t="s">
        <v>68</v>
      </c>
      <c r="M641" t="s">
        <v>22</v>
      </c>
      <c r="N641" s="5">
        <f>Table4[[#This Row],[BudgetAmount]]/Table4[[#This Row],[Variance]]</f>
        <v>-72.830690937561172</v>
      </c>
      <c r="O641" s="5" t="str">
        <f>TEXT(Table4[[#This Row],[Date]],"mmm")</f>
        <v>Dec</v>
      </c>
      <c r="P641" s="5">
        <f>ABS(Table4[[#This Row],[Variance]])</f>
        <v>5109</v>
      </c>
      <c r="Q641" s="5" t="str">
        <f>IF(Table4[[#This Row],[AB Variances ]]&gt;$P$2,"Anomaly","Normal")</f>
        <v>Normal</v>
      </c>
      <c r="R641" s="5">
        <f>SUMIFS(Table4[BudgetAmount],Table4[ActualExpense],"pending")</f>
        <v>0</v>
      </c>
    </row>
    <row r="642" spans="1:18">
      <c r="A642" t="s">
        <v>1156</v>
      </c>
      <c r="B642" t="s">
        <v>1157</v>
      </c>
      <c r="C642" t="s">
        <v>45</v>
      </c>
      <c r="D642" t="s">
        <v>40</v>
      </c>
      <c r="E642" t="s">
        <v>27</v>
      </c>
      <c r="F642" t="s">
        <v>28</v>
      </c>
      <c r="G642" s="2">
        <v>154043</v>
      </c>
      <c r="H642" s="1">
        <v>178474</v>
      </c>
      <c r="I642">
        <v>24431</v>
      </c>
      <c r="J642" t="s">
        <v>19</v>
      </c>
      <c r="K642" t="s">
        <v>67</v>
      </c>
      <c r="L642" t="s">
        <v>21</v>
      </c>
      <c r="M642" t="s">
        <v>42</v>
      </c>
      <c r="N642" s="5">
        <f>Table4[[#This Row],[BudgetAmount]]/Table4[[#This Row],[Variance]]</f>
        <v>6.305226965740248</v>
      </c>
      <c r="O642" s="5" t="str">
        <f>TEXT(Table4[[#This Row],[Date]],"mmm")</f>
        <v>Jan</v>
      </c>
      <c r="P642" s="5">
        <f>ABS(Table4[[#This Row],[Variance]])</f>
        <v>24431</v>
      </c>
      <c r="Q642" s="5" t="str">
        <f>IF(Table4[[#This Row],[AB Variances ]]&gt;$P$2,"Anomaly","Normal")</f>
        <v>Anomaly</v>
      </c>
      <c r="R642" s="5">
        <f>SUMIFS(Table4[BudgetAmount],Table4[ActualExpense],"pending")</f>
        <v>0</v>
      </c>
    </row>
    <row r="643" spans="1:18">
      <c r="A643" t="s">
        <v>1158</v>
      </c>
      <c r="B643" t="s">
        <v>58</v>
      </c>
      <c r="C643" t="s">
        <v>64</v>
      </c>
      <c r="D643" t="s">
        <v>26</v>
      </c>
      <c r="E643" t="s">
        <v>85</v>
      </c>
      <c r="F643" t="s">
        <v>86</v>
      </c>
      <c r="G643" s="2">
        <v>427841</v>
      </c>
      <c r="H643" s="1">
        <v>416185</v>
      </c>
      <c r="I643">
        <v>-11656</v>
      </c>
      <c r="J643" t="s">
        <v>19</v>
      </c>
      <c r="K643" t="s">
        <v>20</v>
      </c>
      <c r="L643" t="s">
        <v>30</v>
      </c>
      <c r="M643" t="s">
        <v>22</v>
      </c>
      <c r="N643" s="5">
        <f>Table4[[#This Row],[BudgetAmount]]/Table4[[#This Row],[Variance]]</f>
        <v>-36.70564516129032</v>
      </c>
      <c r="O643" s="5" t="str">
        <f>TEXT(Table4[[#This Row],[Date]],"mmm")</f>
        <v>Mar</v>
      </c>
      <c r="P643" s="5">
        <f>ABS(Table4[[#This Row],[Variance]])</f>
        <v>11656</v>
      </c>
      <c r="Q643" s="5" t="str">
        <f>IF(Table4[[#This Row],[AB Variances ]]&gt;$P$2,"Anomaly","Normal")</f>
        <v>Normal</v>
      </c>
      <c r="R643" s="5">
        <f>SUMIFS(Table4[BudgetAmount],Table4[ActualExpense],"pending")</f>
        <v>0</v>
      </c>
    </row>
    <row r="644" spans="1:18">
      <c r="A644" t="s">
        <v>1159</v>
      </c>
      <c r="B644" t="s">
        <v>293</v>
      </c>
      <c r="C644" t="s">
        <v>45</v>
      </c>
      <c r="D644" t="s">
        <v>61</v>
      </c>
      <c r="E644" t="s">
        <v>17</v>
      </c>
      <c r="F644" t="s">
        <v>18</v>
      </c>
      <c r="G644" s="2">
        <v>430929</v>
      </c>
      <c r="H644" s="1">
        <v>534260</v>
      </c>
      <c r="I644">
        <v>103331</v>
      </c>
      <c r="J644" t="s">
        <v>19</v>
      </c>
      <c r="K644" t="s">
        <v>48</v>
      </c>
      <c r="L644" t="s">
        <v>30</v>
      </c>
      <c r="M644" t="s">
        <v>22</v>
      </c>
      <c r="N644" s="5">
        <f>Table4[[#This Row],[BudgetAmount]]/Table4[[#This Row],[Variance]]</f>
        <v>4.1703748149151751</v>
      </c>
      <c r="O644" s="5" t="str">
        <f>TEXT(Table4[[#This Row],[Date]],"mmm")</f>
        <v>Sep</v>
      </c>
      <c r="P644" s="5">
        <f>ABS(Table4[[#This Row],[Variance]])</f>
        <v>103331</v>
      </c>
      <c r="Q644" s="5" t="str">
        <f>IF(Table4[[#This Row],[AB Variances ]]&gt;$P$2,"Anomaly","Normal")</f>
        <v>Anomaly</v>
      </c>
      <c r="R644" s="5">
        <f>SUMIFS(Table4[BudgetAmount],Table4[ActualExpense],"pending")</f>
        <v>0</v>
      </c>
    </row>
    <row r="645" spans="1:18">
      <c r="A645" t="s">
        <v>1160</v>
      </c>
      <c r="B645" t="s">
        <v>460</v>
      </c>
      <c r="C645" t="s">
        <v>64</v>
      </c>
      <c r="D645" t="s">
        <v>26</v>
      </c>
      <c r="E645" t="s">
        <v>71</v>
      </c>
      <c r="F645" t="s">
        <v>72</v>
      </c>
      <c r="G645" s="2">
        <v>288492</v>
      </c>
      <c r="H645" s="1">
        <v>208970</v>
      </c>
      <c r="I645">
        <v>-79522</v>
      </c>
      <c r="J645" t="s">
        <v>54</v>
      </c>
      <c r="K645" t="s">
        <v>67</v>
      </c>
      <c r="L645" t="s">
        <v>21</v>
      </c>
      <c r="M645" t="s">
        <v>42</v>
      </c>
      <c r="N645" s="5">
        <f>Table4[[#This Row],[BudgetAmount]]/Table4[[#This Row],[Variance]]</f>
        <v>-3.627826261914942</v>
      </c>
      <c r="O645" s="5" t="str">
        <f>TEXT(Table4[[#This Row],[Date]],"mmm")</f>
        <v>Jan</v>
      </c>
      <c r="P645" s="5">
        <f>ABS(Table4[[#This Row],[Variance]])</f>
        <v>79522</v>
      </c>
      <c r="Q645" s="5" t="str">
        <f>IF(Table4[[#This Row],[AB Variances ]]&gt;$P$2,"Anomaly","Normal")</f>
        <v>Anomaly</v>
      </c>
      <c r="R645" s="5">
        <f>SUMIFS(Table4[BudgetAmount],Table4[ActualExpense],"pending")</f>
        <v>0</v>
      </c>
    </row>
    <row r="646" spans="1:18">
      <c r="A646" t="s">
        <v>1161</v>
      </c>
      <c r="B646" t="s">
        <v>1098</v>
      </c>
      <c r="C646" t="s">
        <v>35</v>
      </c>
      <c r="D646" t="s">
        <v>16</v>
      </c>
      <c r="E646" t="s">
        <v>85</v>
      </c>
      <c r="F646" t="s">
        <v>86</v>
      </c>
      <c r="G646" s="2">
        <v>272357</v>
      </c>
      <c r="H646" s="1">
        <v>287958</v>
      </c>
      <c r="I646">
        <v>15601</v>
      </c>
      <c r="J646" t="s">
        <v>54</v>
      </c>
      <c r="K646" t="s">
        <v>48</v>
      </c>
      <c r="L646" t="s">
        <v>68</v>
      </c>
      <c r="M646" t="s">
        <v>22</v>
      </c>
      <c r="N646" s="5">
        <f>Table4[[#This Row],[BudgetAmount]]/Table4[[#This Row],[Variance]]</f>
        <v>17.457662970322414</v>
      </c>
      <c r="O646" s="5" t="str">
        <f>TEXT(Table4[[#This Row],[Date]],"mmm")</f>
        <v>Apr</v>
      </c>
      <c r="P646" s="5">
        <f>ABS(Table4[[#This Row],[Variance]])</f>
        <v>15601</v>
      </c>
      <c r="Q646" s="5" t="str">
        <f>IF(Table4[[#This Row],[AB Variances ]]&gt;$P$2,"Anomaly","Normal")</f>
        <v>Normal</v>
      </c>
      <c r="R646" s="5">
        <f>SUMIFS(Table4[BudgetAmount],Table4[ActualExpense],"pending")</f>
        <v>0</v>
      </c>
    </row>
    <row r="647" spans="1:18">
      <c r="A647" t="s">
        <v>1162</v>
      </c>
      <c r="B647" t="s">
        <v>1163</v>
      </c>
      <c r="C647" t="s">
        <v>15</v>
      </c>
      <c r="D647" t="s">
        <v>61</v>
      </c>
      <c r="E647" t="s">
        <v>46</v>
      </c>
      <c r="F647" t="s">
        <v>47</v>
      </c>
      <c r="G647" s="2">
        <v>283569</v>
      </c>
      <c r="H647" s="1">
        <v>278878</v>
      </c>
      <c r="I647">
        <v>-4691</v>
      </c>
      <c r="J647" t="s">
        <v>19</v>
      </c>
      <c r="K647" t="s">
        <v>67</v>
      </c>
      <c r="L647" t="s">
        <v>68</v>
      </c>
      <c r="M647" t="s">
        <v>42</v>
      </c>
      <c r="N647" s="5">
        <f>Table4[[#This Row],[BudgetAmount]]/Table4[[#This Row],[Variance]]</f>
        <v>-60.449584310381582</v>
      </c>
      <c r="O647" s="5" t="str">
        <f>TEXT(Table4[[#This Row],[Date]],"mmm")</f>
        <v>Feb</v>
      </c>
      <c r="P647" s="5">
        <f>ABS(Table4[[#This Row],[Variance]])</f>
        <v>4691</v>
      </c>
      <c r="Q647" s="5" t="str">
        <f>IF(Table4[[#This Row],[AB Variances ]]&gt;$P$2,"Anomaly","Normal")</f>
        <v>Normal</v>
      </c>
      <c r="R647" s="5">
        <f>SUMIFS(Table4[BudgetAmount],Table4[ActualExpense],"pending")</f>
        <v>0</v>
      </c>
    </row>
    <row r="648" spans="1:18">
      <c r="A648" t="s">
        <v>1164</v>
      </c>
      <c r="B648" t="s">
        <v>285</v>
      </c>
      <c r="C648" t="s">
        <v>15</v>
      </c>
      <c r="D648" t="s">
        <v>34</v>
      </c>
      <c r="E648" t="s">
        <v>71</v>
      </c>
      <c r="F648" t="s">
        <v>72</v>
      </c>
      <c r="G648" s="2">
        <v>175320</v>
      </c>
      <c r="H648" s="1">
        <v>136918</v>
      </c>
      <c r="I648">
        <v>-38402</v>
      </c>
      <c r="J648" t="s">
        <v>54</v>
      </c>
      <c r="K648" t="s">
        <v>67</v>
      </c>
      <c r="L648" t="s">
        <v>30</v>
      </c>
      <c r="M648" t="s">
        <v>42</v>
      </c>
      <c r="N648" s="5">
        <f>Table4[[#This Row],[BudgetAmount]]/Table4[[#This Row],[Variance]]</f>
        <v>-4.5653872194156557</v>
      </c>
      <c r="O648" s="5" t="str">
        <f>TEXT(Table4[[#This Row],[Date]],"mmm")</f>
        <v>Mar</v>
      </c>
      <c r="P648" s="5">
        <f>ABS(Table4[[#This Row],[Variance]])</f>
        <v>38402</v>
      </c>
      <c r="Q648" s="5" t="str">
        <f>IF(Table4[[#This Row],[AB Variances ]]&gt;$P$2,"Anomaly","Normal")</f>
        <v>Anomaly</v>
      </c>
      <c r="R648" s="5">
        <f>SUMIFS(Table4[BudgetAmount],Table4[ActualExpense],"pending")</f>
        <v>0</v>
      </c>
    </row>
    <row r="649" spans="1:18">
      <c r="A649" t="s">
        <v>1165</v>
      </c>
      <c r="B649" t="s">
        <v>60</v>
      </c>
      <c r="C649" t="s">
        <v>25</v>
      </c>
      <c r="D649" t="s">
        <v>16</v>
      </c>
      <c r="E649" t="s">
        <v>46</v>
      </c>
      <c r="F649" t="s">
        <v>47</v>
      </c>
      <c r="G649" s="2">
        <v>271476</v>
      </c>
      <c r="H649" s="1">
        <v>210076</v>
      </c>
      <c r="I649">
        <v>-61400</v>
      </c>
      <c r="J649" t="s">
        <v>19</v>
      </c>
      <c r="K649" t="s">
        <v>67</v>
      </c>
      <c r="L649" t="s">
        <v>21</v>
      </c>
      <c r="M649" t="s">
        <v>42</v>
      </c>
      <c r="N649" s="5">
        <f>Table4[[#This Row],[BudgetAmount]]/Table4[[#This Row],[Variance]]</f>
        <v>-4.4214332247557007</v>
      </c>
      <c r="O649" s="5" t="str">
        <f>TEXT(Table4[[#This Row],[Date]],"mmm")</f>
        <v>Aug</v>
      </c>
      <c r="P649" s="5">
        <f>ABS(Table4[[#This Row],[Variance]])</f>
        <v>61400</v>
      </c>
      <c r="Q649" s="5" t="str">
        <f>IF(Table4[[#This Row],[AB Variances ]]&gt;$P$2,"Anomaly","Normal")</f>
        <v>Anomaly</v>
      </c>
      <c r="R649" s="5">
        <f>SUMIFS(Table4[BudgetAmount],Table4[ActualExpense],"pending")</f>
        <v>0</v>
      </c>
    </row>
    <row r="650" spans="1:18">
      <c r="A650" t="s">
        <v>1166</v>
      </c>
      <c r="B650" t="s">
        <v>437</v>
      </c>
      <c r="C650" t="s">
        <v>25</v>
      </c>
      <c r="D650" t="s">
        <v>16</v>
      </c>
      <c r="E650" t="s">
        <v>35</v>
      </c>
      <c r="F650" t="s">
        <v>36</v>
      </c>
      <c r="G650" s="2">
        <v>61588</v>
      </c>
      <c r="H650" s="1">
        <v>67210</v>
      </c>
      <c r="I650">
        <v>5622</v>
      </c>
      <c r="J650" t="s">
        <v>37</v>
      </c>
      <c r="K650" t="s">
        <v>48</v>
      </c>
      <c r="L650" t="s">
        <v>21</v>
      </c>
      <c r="M650" t="s">
        <v>42</v>
      </c>
      <c r="N650" s="5">
        <f>Table4[[#This Row],[BudgetAmount]]/Table4[[#This Row],[Variance]]</f>
        <v>10.954820348630381</v>
      </c>
      <c r="O650" s="5" t="str">
        <f>TEXT(Table4[[#This Row],[Date]],"mmm")</f>
        <v>Jan</v>
      </c>
      <c r="P650" s="5">
        <f>ABS(Table4[[#This Row],[Variance]])</f>
        <v>5622</v>
      </c>
      <c r="Q650" s="5" t="str">
        <f>IF(Table4[[#This Row],[AB Variances ]]&gt;$P$2,"Anomaly","Normal")</f>
        <v>Normal</v>
      </c>
      <c r="R650" s="5">
        <f>SUMIFS(Table4[BudgetAmount],Table4[ActualExpense],"pending")</f>
        <v>0</v>
      </c>
    </row>
    <row r="651" spans="1:18">
      <c r="A651" t="s">
        <v>1167</v>
      </c>
      <c r="B651" t="s">
        <v>14</v>
      </c>
      <c r="C651" t="s">
        <v>45</v>
      </c>
      <c r="D651" t="s">
        <v>40</v>
      </c>
      <c r="E651" t="s">
        <v>71</v>
      </c>
      <c r="F651" t="s">
        <v>72</v>
      </c>
      <c r="G651" s="2">
        <v>277404</v>
      </c>
      <c r="H651" s="1">
        <v>316404</v>
      </c>
      <c r="I651">
        <v>39000</v>
      </c>
      <c r="J651" t="s">
        <v>37</v>
      </c>
      <c r="K651" t="s">
        <v>41</v>
      </c>
      <c r="L651" t="s">
        <v>68</v>
      </c>
      <c r="M651" t="s">
        <v>22</v>
      </c>
      <c r="N651" s="5">
        <f>Table4[[#This Row],[BudgetAmount]]/Table4[[#This Row],[Variance]]</f>
        <v>7.1129230769230771</v>
      </c>
      <c r="O651" s="5" t="str">
        <f>TEXT(Table4[[#This Row],[Date]],"mmm")</f>
        <v>Nov</v>
      </c>
      <c r="P651" s="5">
        <f>ABS(Table4[[#This Row],[Variance]])</f>
        <v>39000</v>
      </c>
      <c r="Q651" s="5" t="str">
        <f>IF(Table4[[#This Row],[AB Variances ]]&gt;$P$2,"Anomaly","Normal")</f>
        <v>Anomaly</v>
      </c>
      <c r="R651" s="5">
        <f>SUMIFS(Table4[BudgetAmount],Table4[ActualExpense],"pending")</f>
        <v>0</v>
      </c>
    </row>
    <row r="652" spans="1:18">
      <c r="A652" t="s">
        <v>1168</v>
      </c>
      <c r="B652" t="s">
        <v>831</v>
      </c>
      <c r="C652" t="s">
        <v>33</v>
      </c>
      <c r="D652" t="s">
        <v>34</v>
      </c>
      <c r="E652" t="s">
        <v>71</v>
      </c>
      <c r="F652" t="s">
        <v>72</v>
      </c>
      <c r="G652" s="2">
        <v>399801</v>
      </c>
      <c r="H652" s="1">
        <v>558123</v>
      </c>
      <c r="I652">
        <v>158322</v>
      </c>
      <c r="J652" t="s">
        <v>19</v>
      </c>
      <c r="K652" t="s">
        <v>67</v>
      </c>
      <c r="L652" t="s">
        <v>30</v>
      </c>
      <c r="M652" t="s">
        <v>42</v>
      </c>
      <c r="N652" s="5">
        <f>Table4[[#This Row],[BudgetAmount]]/Table4[[#This Row],[Variance]]</f>
        <v>2.5252397013680978</v>
      </c>
      <c r="O652" s="5" t="str">
        <f>TEXT(Table4[[#This Row],[Date]],"mmm")</f>
        <v>Dec</v>
      </c>
      <c r="P652" s="5">
        <f>ABS(Table4[[#This Row],[Variance]])</f>
        <v>158322</v>
      </c>
      <c r="Q652" s="5" t="str">
        <f>IF(Table4[[#This Row],[AB Variances ]]&gt;$P$2,"Anomaly","Normal")</f>
        <v>Anomaly</v>
      </c>
      <c r="R652" s="5">
        <f>SUMIFS(Table4[BudgetAmount],Table4[ActualExpense],"pending")</f>
        <v>0</v>
      </c>
    </row>
    <row r="653" spans="1:18">
      <c r="A653" t="s">
        <v>1169</v>
      </c>
      <c r="B653" t="s">
        <v>354</v>
      </c>
      <c r="C653" t="s">
        <v>35</v>
      </c>
      <c r="D653" t="s">
        <v>40</v>
      </c>
      <c r="E653" t="s">
        <v>46</v>
      </c>
      <c r="F653" t="s">
        <v>47</v>
      </c>
      <c r="G653" s="2">
        <v>163531</v>
      </c>
      <c r="H653" s="1">
        <v>200396</v>
      </c>
      <c r="I653">
        <v>36865</v>
      </c>
      <c r="J653" t="s">
        <v>54</v>
      </c>
      <c r="K653" t="s">
        <v>48</v>
      </c>
      <c r="L653" t="s">
        <v>30</v>
      </c>
      <c r="M653" t="s">
        <v>22</v>
      </c>
      <c r="N653" s="5">
        <f>Table4[[#This Row],[BudgetAmount]]/Table4[[#This Row],[Variance]]</f>
        <v>4.4359419503594193</v>
      </c>
      <c r="O653" s="5" t="str">
        <f>TEXT(Table4[[#This Row],[Date]],"mmm")</f>
        <v>Jul</v>
      </c>
      <c r="P653" s="5">
        <f>ABS(Table4[[#This Row],[Variance]])</f>
        <v>36865</v>
      </c>
      <c r="Q653" s="5" t="str">
        <f>IF(Table4[[#This Row],[AB Variances ]]&gt;$P$2,"Anomaly","Normal")</f>
        <v>Anomaly</v>
      </c>
      <c r="R653" s="5">
        <f>SUMIFS(Table4[BudgetAmount],Table4[ActualExpense],"pending")</f>
        <v>0</v>
      </c>
    </row>
    <row r="654" spans="1:18">
      <c r="A654" t="s">
        <v>1170</v>
      </c>
      <c r="B654" t="s">
        <v>1171</v>
      </c>
      <c r="C654" t="s">
        <v>15</v>
      </c>
      <c r="D654" t="s">
        <v>61</v>
      </c>
      <c r="E654" t="s">
        <v>85</v>
      </c>
      <c r="F654" t="s">
        <v>86</v>
      </c>
      <c r="G654" s="2">
        <v>465452</v>
      </c>
      <c r="H654" s="1">
        <v>551124</v>
      </c>
      <c r="I654">
        <v>85672</v>
      </c>
      <c r="J654" t="s">
        <v>37</v>
      </c>
      <c r="K654" t="s">
        <v>67</v>
      </c>
      <c r="L654" t="s">
        <v>49</v>
      </c>
      <c r="M654" t="s">
        <v>42</v>
      </c>
      <c r="N654" s="5">
        <f>Table4[[#This Row],[BudgetAmount]]/Table4[[#This Row],[Variance]]</f>
        <v>5.4329535904379496</v>
      </c>
      <c r="O654" s="5" t="str">
        <f>TEXT(Table4[[#This Row],[Date]],"mmm")</f>
        <v>Sep</v>
      </c>
      <c r="P654" s="5">
        <f>ABS(Table4[[#This Row],[Variance]])</f>
        <v>85672</v>
      </c>
      <c r="Q654" s="5" t="str">
        <f>IF(Table4[[#This Row],[AB Variances ]]&gt;$P$2,"Anomaly","Normal")</f>
        <v>Anomaly</v>
      </c>
      <c r="R654" s="5">
        <f>SUMIFS(Table4[BudgetAmount],Table4[ActualExpense],"pending")</f>
        <v>0</v>
      </c>
    </row>
    <row r="655" spans="1:18">
      <c r="A655" t="s">
        <v>1172</v>
      </c>
      <c r="B655" t="s">
        <v>990</v>
      </c>
      <c r="C655" t="s">
        <v>45</v>
      </c>
      <c r="D655" t="s">
        <v>34</v>
      </c>
      <c r="E655" t="s">
        <v>27</v>
      </c>
      <c r="F655" t="s">
        <v>28</v>
      </c>
      <c r="G655" s="2">
        <v>95246</v>
      </c>
      <c r="H655" s="1">
        <v>95709</v>
      </c>
      <c r="I655">
        <v>463</v>
      </c>
      <c r="J655" t="s">
        <v>37</v>
      </c>
      <c r="K655" t="s">
        <v>67</v>
      </c>
      <c r="L655" t="s">
        <v>68</v>
      </c>
      <c r="M655" t="s">
        <v>42</v>
      </c>
      <c r="N655" s="5">
        <f>Table4[[#This Row],[BudgetAmount]]/Table4[[#This Row],[Variance]]</f>
        <v>205.71490280777539</v>
      </c>
      <c r="O655" s="5" t="str">
        <f>TEXT(Table4[[#This Row],[Date]],"mmm")</f>
        <v>Jan</v>
      </c>
      <c r="P655" s="5">
        <f>ABS(Table4[[#This Row],[Variance]])</f>
        <v>463</v>
      </c>
      <c r="Q655" s="5" t="str">
        <f>IF(Table4[[#This Row],[AB Variances ]]&gt;$P$2,"Anomaly","Normal")</f>
        <v>Normal</v>
      </c>
      <c r="R655" s="5">
        <f>SUMIFS(Table4[BudgetAmount],Table4[ActualExpense],"pending")</f>
        <v>0</v>
      </c>
    </row>
    <row r="656" spans="1:18">
      <c r="A656" t="s">
        <v>1173</v>
      </c>
      <c r="B656" t="s">
        <v>586</v>
      </c>
      <c r="C656" t="s">
        <v>25</v>
      </c>
      <c r="D656" t="s">
        <v>61</v>
      </c>
      <c r="E656" t="s">
        <v>27</v>
      </c>
      <c r="F656" t="s">
        <v>28</v>
      </c>
      <c r="G656" s="2">
        <v>190678</v>
      </c>
      <c r="H656" s="1">
        <v>159671</v>
      </c>
      <c r="I656">
        <v>-31007</v>
      </c>
      <c r="J656" t="s">
        <v>37</v>
      </c>
      <c r="K656" t="s">
        <v>67</v>
      </c>
      <c r="L656" t="s">
        <v>21</v>
      </c>
      <c r="M656" t="s">
        <v>42</v>
      </c>
      <c r="N656" s="5">
        <f>Table4[[#This Row],[BudgetAmount]]/Table4[[#This Row],[Variance]]</f>
        <v>-6.1495146257296742</v>
      </c>
      <c r="O656" s="5" t="str">
        <f>TEXT(Table4[[#This Row],[Date]],"mmm")</f>
        <v>Mar</v>
      </c>
      <c r="P656" s="5">
        <f>ABS(Table4[[#This Row],[Variance]])</f>
        <v>31007</v>
      </c>
      <c r="Q656" s="5" t="str">
        <f>IF(Table4[[#This Row],[AB Variances ]]&gt;$P$2,"Anomaly","Normal")</f>
        <v>Anomaly</v>
      </c>
      <c r="R656" s="5">
        <f>SUMIFS(Table4[BudgetAmount],Table4[ActualExpense],"pending")</f>
        <v>0</v>
      </c>
    </row>
    <row r="657" spans="1:18">
      <c r="A657" t="s">
        <v>1174</v>
      </c>
      <c r="B657" t="s">
        <v>58</v>
      </c>
      <c r="C657" t="s">
        <v>33</v>
      </c>
      <c r="D657" t="s">
        <v>16</v>
      </c>
      <c r="E657" t="s">
        <v>35</v>
      </c>
      <c r="F657" t="s">
        <v>36</v>
      </c>
      <c r="G657" s="2">
        <v>215213</v>
      </c>
      <c r="H657" s="1">
        <v>292417</v>
      </c>
      <c r="I657">
        <v>77204</v>
      </c>
      <c r="J657" t="s">
        <v>19</v>
      </c>
      <c r="K657" t="s">
        <v>20</v>
      </c>
      <c r="L657" t="s">
        <v>30</v>
      </c>
      <c r="M657" t="s">
        <v>22</v>
      </c>
      <c r="N657" s="5">
        <f>Table4[[#This Row],[BudgetAmount]]/Table4[[#This Row],[Variance]]</f>
        <v>2.7875887259727476</v>
      </c>
      <c r="O657" s="5" t="str">
        <f>TEXT(Table4[[#This Row],[Date]],"mmm")</f>
        <v>Mar</v>
      </c>
      <c r="P657" s="5">
        <f>ABS(Table4[[#This Row],[Variance]])</f>
        <v>77204</v>
      </c>
      <c r="Q657" s="5" t="str">
        <f>IF(Table4[[#This Row],[AB Variances ]]&gt;$P$2,"Anomaly","Normal")</f>
        <v>Anomaly</v>
      </c>
      <c r="R657" s="5">
        <f>SUMIFS(Table4[BudgetAmount],Table4[ActualExpense],"pending")</f>
        <v>0</v>
      </c>
    </row>
    <row r="658" spans="1:18">
      <c r="A658" t="s">
        <v>1175</v>
      </c>
      <c r="B658" t="s">
        <v>1033</v>
      </c>
      <c r="C658" t="s">
        <v>35</v>
      </c>
      <c r="D658" t="s">
        <v>61</v>
      </c>
      <c r="E658" t="s">
        <v>35</v>
      </c>
      <c r="F658" t="s">
        <v>36</v>
      </c>
      <c r="G658" s="2">
        <v>295094</v>
      </c>
      <c r="H658" s="1">
        <v>311298</v>
      </c>
      <c r="I658">
        <v>16204</v>
      </c>
      <c r="J658" t="s">
        <v>54</v>
      </c>
      <c r="K658" t="s">
        <v>67</v>
      </c>
      <c r="L658" t="s">
        <v>30</v>
      </c>
      <c r="M658" t="s">
        <v>22</v>
      </c>
      <c r="N658" s="5">
        <f>Table4[[#This Row],[BudgetAmount]]/Table4[[#This Row],[Variance]]</f>
        <v>18.211182424092815</v>
      </c>
      <c r="O658" s="5" t="str">
        <f>TEXT(Table4[[#This Row],[Date]],"mmm")</f>
        <v>Jan</v>
      </c>
      <c r="P658" s="5">
        <f>ABS(Table4[[#This Row],[Variance]])</f>
        <v>16204</v>
      </c>
      <c r="Q658" s="5" t="str">
        <f>IF(Table4[[#This Row],[AB Variances ]]&gt;$P$2,"Anomaly","Normal")</f>
        <v>Normal</v>
      </c>
      <c r="R658" s="5">
        <f>SUMIFS(Table4[BudgetAmount],Table4[ActualExpense],"pending")</f>
        <v>0</v>
      </c>
    </row>
    <row r="659" spans="1:18">
      <c r="A659" t="s">
        <v>1176</v>
      </c>
      <c r="B659" t="s">
        <v>940</v>
      </c>
      <c r="C659" t="s">
        <v>35</v>
      </c>
      <c r="D659" t="s">
        <v>16</v>
      </c>
      <c r="E659" t="s">
        <v>71</v>
      </c>
      <c r="F659" t="s">
        <v>72</v>
      </c>
      <c r="G659" s="2">
        <v>435098</v>
      </c>
      <c r="H659" s="1">
        <v>543787</v>
      </c>
      <c r="I659">
        <v>108689</v>
      </c>
      <c r="J659" t="s">
        <v>54</v>
      </c>
      <c r="K659" t="s">
        <v>29</v>
      </c>
      <c r="L659" t="s">
        <v>68</v>
      </c>
      <c r="M659" t="s">
        <v>22</v>
      </c>
      <c r="N659" s="5">
        <f>Table4[[#This Row],[BudgetAmount]]/Table4[[#This Row],[Variance]]</f>
        <v>4.0031465925714658</v>
      </c>
      <c r="O659" s="5" t="str">
        <f>TEXT(Table4[[#This Row],[Date]],"mmm")</f>
        <v>Nov</v>
      </c>
      <c r="P659" s="5">
        <f>ABS(Table4[[#This Row],[Variance]])</f>
        <v>108689</v>
      </c>
      <c r="Q659" s="5" t="str">
        <f>IF(Table4[[#This Row],[AB Variances ]]&gt;$P$2,"Anomaly","Normal")</f>
        <v>Anomaly</v>
      </c>
      <c r="R659" s="5">
        <f>SUMIFS(Table4[BudgetAmount],Table4[ActualExpense],"pending")</f>
        <v>0</v>
      </c>
    </row>
    <row r="660" spans="1:18">
      <c r="A660" t="s">
        <v>1177</v>
      </c>
      <c r="B660" t="s">
        <v>1178</v>
      </c>
      <c r="C660" t="s">
        <v>45</v>
      </c>
      <c r="D660" t="s">
        <v>26</v>
      </c>
      <c r="E660" t="s">
        <v>17</v>
      </c>
      <c r="F660" t="s">
        <v>18</v>
      </c>
      <c r="G660" s="2">
        <v>388717</v>
      </c>
      <c r="H660" s="1">
        <v>375143</v>
      </c>
      <c r="I660">
        <v>-13574</v>
      </c>
      <c r="J660" t="s">
        <v>54</v>
      </c>
      <c r="K660" t="s">
        <v>41</v>
      </c>
      <c r="L660" t="s">
        <v>30</v>
      </c>
      <c r="M660" t="s">
        <v>22</v>
      </c>
      <c r="N660" s="5">
        <f>Table4[[#This Row],[BudgetAmount]]/Table4[[#This Row],[Variance]]</f>
        <v>-28.636879328127304</v>
      </c>
      <c r="O660" s="5" t="str">
        <f>TEXT(Table4[[#This Row],[Date]],"mmm")</f>
        <v>Aug</v>
      </c>
      <c r="P660" s="5">
        <f>ABS(Table4[[#This Row],[Variance]])</f>
        <v>13574</v>
      </c>
      <c r="Q660" s="5" t="str">
        <f>IF(Table4[[#This Row],[AB Variances ]]&gt;$P$2,"Anomaly","Normal")</f>
        <v>Normal</v>
      </c>
      <c r="R660" s="5">
        <f>SUMIFS(Table4[BudgetAmount],Table4[ActualExpense],"pending")</f>
        <v>0</v>
      </c>
    </row>
    <row r="661" spans="1:18">
      <c r="A661" t="s">
        <v>1179</v>
      </c>
      <c r="B661" t="s">
        <v>1180</v>
      </c>
      <c r="C661" t="s">
        <v>64</v>
      </c>
      <c r="D661" t="s">
        <v>61</v>
      </c>
      <c r="E661" t="s">
        <v>17</v>
      </c>
      <c r="F661" t="s">
        <v>18</v>
      </c>
      <c r="G661" s="2">
        <v>120740</v>
      </c>
      <c r="H661" s="1">
        <v>111027</v>
      </c>
      <c r="I661">
        <v>-9713</v>
      </c>
      <c r="J661" t="s">
        <v>54</v>
      </c>
      <c r="K661" t="s">
        <v>67</v>
      </c>
      <c r="L661" t="s">
        <v>21</v>
      </c>
      <c r="M661" t="s">
        <v>22</v>
      </c>
      <c r="N661" s="5">
        <f>Table4[[#This Row],[BudgetAmount]]/Table4[[#This Row],[Variance]]</f>
        <v>-12.430762895089057</v>
      </c>
      <c r="O661" s="5" t="str">
        <f>TEXT(Table4[[#This Row],[Date]],"mmm")</f>
        <v>Jun</v>
      </c>
      <c r="P661" s="5">
        <f>ABS(Table4[[#This Row],[Variance]])</f>
        <v>9713</v>
      </c>
      <c r="Q661" s="5" t="str">
        <f>IF(Table4[[#This Row],[AB Variances ]]&gt;$P$2,"Anomaly","Normal")</f>
        <v>Normal</v>
      </c>
      <c r="R661" s="5">
        <f>SUMIFS(Table4[BudgetAmount],Table4[ActualExpense],"pending")</f>
        <v>0</v>
      </c>
    </row>
    <row r="662" spans="1:18">
      <c r="A662" t="s">
        <v>1181</v>
      </c>
      <c r="B662" t="s">
        <v>138</v>
      </c>
      <c r="C662" t="s">
        <v>15</v>
      </c>
      <c r="D662" t="s">
        <v>26</v>
      </c>
      <c r="E662" t="s">
        <v>71</v>
      </c>
      <c r="F662" t="s">
        <v>72</v>
      </c>
      <c r="G662" s="2">
        <v>269441</v>
      </c>
      <c r="H662" s="1">
        <v>367503</v>
      </c>
      <c r="I662">
        <v>98062</v>
      </c>
      <c r="J662" t="s">
        <v>54</v>
      </c>
      <c r="K662" t="s">
        <v>29</v>
      </c>
      <c r="L662" t="s">
        <v>30</v>
      </c>
      <c r="M662" t="s">
        <v>42</v>
      </c>
      <c r="N662" s="5">
        <f>Table4[[#This Row],[BudgetAmount]]/Table4[[#This Row],[Variance]]</f>
        <v>2.7476596438987579</v>
      </c>
      <c r="O662" s="5" t="str">
        <f>TEXT(Table4[[#This Row],[Date]],"mmm")</f>
        <v>Dec</v>
      </c>
      <c r="P662" s="5">
        <f>ABS(Table4[[#This Row],[Variance]])</f>
        <v>98062</v>
      </c>
      <c r="Q662" s="5" t="str">
        <f>IF(Table4[[#This Row],[AB Variances ]]&gt;$P$2,"Anomaly","Normal")</f>
        <v>Anomaly</v>
      </c>
      <c r="R662" s="5">
        <f>SUMIFS(Table4[BudgetAmount],Table4[ActualExpense],"pending")</f>
        <v>0</v>
      </c>
    </row>
    <row r="663" spans="1:18">
      <c r="A663" t="s">
        <v>1182</v>
      </c>
      <c r="B663" t="s">
        <v>622</v>
      </c>
      <c r="C663" t="s">
        <v>64</v>
      </c>
      <c r="D663" t="s">
        <v>34</v>
      </c>
      <c r="E663" t="s">
        <v>35</v>
      </c>
      <c r="F663" t="s">
        <v>36</v>
      </c>
      <c r="G663" s="2">
        <v>244497</v>
      </c>
      <c r="H663" s="1">
        <v>198266</v>
      </c>
      <c r="I663">
        <v>-46231</v>
      </c>
      <c r="J663" t="s">
        <v>37</v>
      </c>
      <c r="K663" t="s">
        <v>48</v>
      </c>
      <c r="L663" t="s">
        <v>49</v>
      </c>
      <c r="M663" t="s">
        <v>22</v>
      </c>
      <c r="N663" s="5">
        <f>Table4[[#This Row],[BudgetAmount]]/Table4[[#This Row],[Variance]]</f>
        <v>-5.2885942333066556</v>
      </c>
      <c r="O663" s="5" t="str">
        <f>TEXT(Table4[[#This Row],[Date]],"mmm")</f>
        <v>Sep</v>
      </c>
      <c r="P663" s="5">
        <f>ABS(Table4[[#This Row],[Variance]])</f>
        <v>46231</v>
      </c>
      <c r="Q663" s="5" t="str">
        <f>IF(Table4[[#This Row],[AB Variances ]]&gt;$P$2,"Anomaly","Normal")</f>
        <v>Anomaly</v>
      </c>
      <c r="R663" s="5">
        <f>SUMIFS(Table4[BudgetAmount],Table4[ActualExpense],"pending")</f>
        <v>0</v>
      </c>
    </row>
    <row r="664" spans="1:18">
      <c r="A664" t="s">
        <v>1183</v>
      </c>
      <c r="B664" t="s">
        <v>1184</v>
      </c>
      <c r="C664" t="s">
        <v>45</v>
      </c>
      <c r="D664" t="s">
        <v>34</v>
      </c>
      <c r="E664" t="s">
        <v>35</v>
      </c>
      <c r="F664" t="s">
        <v>36</v>
      </c>
      <c r="G664" s="2">
        <v>191897</v>
      </c>
      <c r="H664" s="1">
        <v>249581</v>
      </c>
      <c r="I664">
        <v>57684</v>
      </c>
      <c r="J664" t="s">
        <v>19</v>
      </c>
      <c r="K664" t="s">
        <v>29</v>
      </c>
      <c r="L664" t="s">
        <v>21</v>
      </c>
      <c r="M664" t="s">
        <v>22</v>
      </c>
      <c r="N664" s="5">
        <f>Table4[[#This Row],[BudgetAmount]]/Table4[[#This Row],[Variance]]</f>
        <v>3.3266937105609875</v>
      </c>
      <c r="O664" s="5" t="str">
        <f>TEXT(Table4[[#This Row],[Date]],"mmm")</f>
        <v>Jan</v>
      </c>
      <c r="P664" s="5">
        <f>ABS(Table4[[#This Row],[Variance]])</f>
        <v>57684</v>
      </c>
      <c r="Q664" s="5" t="str">
        <f>IF(Table4[[#This Row],[AB Variances ]]&gt;$P$2,"Anomaly","Normal")</f>
        <v>Anomaly</v>
      </c>
      <c r="R664" s="5">
        <f>SUMIFS(Table4[BudgetAmount],Table4[ActualExpense],"pending")</f>
        <v>0</v>
      </c>
    </row>
    <row r="665" spans="1:18">
      <c r="A665" t="s">
        <v>1185</v>
      </c>
      <c r="B665" t="s">
        <v>696</v>
      </c>
      <c r="C665" t="s">
        <v>64</v>
      </c>
      <c r="D665" t="s">
        <v>16</v>
      </c>
      <c r="E665" t="s">
        <v>27</v>
      </c>
      <c r="F665" t="s">
        <v>28</v>
      </c>
      <c r="G665" s="2">
        <v>272344</v>
      </c>
      <c r="H665" s="1">
        <v>279199</v>
      </c>
      <c r="I665">
        <v>6855</v>
      </c>
      <c r="J665" t="s">
        <v>37</v>
      </c>
      <c r="K665" t="s">
        <v>29</v>
      </c>
      <c r="L665" t="s">
        <v>49</v>
      </c>
      <c r="M665" t="s">
        <v>22</v>
      </c>
      <c r="N665" s="5">
        <f>Table4[[#This Row],[BudgetAmount]]/Table4[[#This Row],[Variance]]</f>
        <v>39.729248723559444</v>
      </c>
      <c r="O665" s="5" t="str">
        <f>TEXT(Table4[[#This Row],[Date]],"mmm")</f>
        <v>Apr</v>
      </c>
      <c r="P665" s="5">
        <f>ABS(Table4[[#This Row],[Variance]])</f>
        <v>6855</v>
      </c>
      <c r="Q665" s="5" t="str">
        <f>IF(Table4[[#This Row],[AB Variances ]]&gt;$P$2,"Anomaly","Normal")</f>
        <v>Normal</v>
      </c>
      <c r="R665" s="5">
        <f>SUMIFS(Table4[BudgetAmount],Table4[ActualExpense],"pending")</f>
        <v>0</v>
      </c>
    </row>
    <row r="666" spans="1:18">
      <c r="A666" t="s">
        <v>1186</v>
      </c>
      <c r="B666" t="s">
        <v>542</v>
      </c>
      <c r="C666" t="s">
        <v>15</v>
      </c>
      <c r="D666" t="s">
        <v>26</v>
      </c>
      <c r="E666" t="s">
        <v>17</v>
      </c>
      <c r="F666" t="s">
        <v>18</v>
      </c>
      <c r="G666" s="2">
        <v>365577</v>
      </c>
      <c r="H666" s="1">
        <v>404631</v>
      </c>
      <c r="I666">
        <v>39054</v>
      </c>
      <c r="J666" t="s">
        <v>37</v>
      </c>
      <c r="K666" t="s">
        <v>48</v>
      </c>
      <c r="L666" t="s">
        <v>68</v>
      </c>
      <c r="M666" t="s">
        <v>42</v>
      </c>
      <c r="N666" s="5">
        <f>Table4[[#This Row],[BudgetAmount]]/Table4[[#This Row],[Variance]]</f>
        <v>9.3608081118451381</v>
      </c>
      <c r="O666" s="5" t="str">
        <f>TEXT(Table4[[#This Row],[Date]],"mmm")</f>
        <v>Mar</v>
      </c>
      <c r="P666" s="5">
        <f>ABS(Table4[[#This Row],[Variance]])</f>
        <v>39054</v>
      </c>
      <c r="Q666" s="5" t="str">
        <f>IF(Table4[[#This Row],[AB Variances ]]&gt;$P$2,"Anomaly","Normal")</f>
        <v>Anomaly</v>
      </c>
      <c r="R666" s="5">
        <f>SUMIFS(Table4[BudgetAmount],Table4[ActualExpense],"pending")</f>
        <v>0</v>
      </c>
    </row>
    <row r="667" spans="1:18">
      <c r="A667" t="s">
        <v>1187</v>
      </c>
      <c r="B667" t="s">
        <v>1188</v>
      </c>
      <c r="C667" t="s">
        <v>33</v>
      </c>
      <c r="D667" t="s">
        <v>61</v>
      </c>
      <c r="E667" t="s">
        <v>35</v>
      </c>
      <c r="F667" t="s">
        <v>36</v>
      </c>
      <c r="G667" s="2">
        <v>99159</v>
      </c>
      <c r="H667" s="1">
        <v>127604</v>
      </c>
      <c r="I667">
        <v>28445</v>
      </c>
      <c r="J667" t="s">
        <v>37</v>
      </c>
      <c r="K667" t="s">
        <v>67</v>
      </c>
      <c r="L667" t="s">
        <v>30</v>
      </c>
      <c r="M667" t="s">
        <v>42</v>
      </c>
      <c r="N667" s="5">
        <f>Table4[[#This Row],[BudgetAmount]]/Table4[[#This Row],[Variance]]</f>
        <v>3.4859905079978906</v>
      </c>
      <c r="O667" s="5" t="str">
        <f>TEXT(Table4[[#This Row],[Date]],"mmm")</f>
        <v>Mar</v>
      </c>
      <c r="P667" s="5">
        <f>ABS(Table4[[#This Row],[Variance]])</f>
        <v>28445</v>
      </c>
      <c r="Q667" s="5" t="str">
        <f>IF(Table4[[#This Row],[AB Variances ]]&gt;$P$2,"Anomaly","Normal")</f>
        <v>Anomaly</v>
      </c>
      <c r="R667" s="5">
        <f>SUMIFS(Table4[BudgetAmount],Table4[ActualExpense],"pending")</f>
        <v>0</v>
      </c>
    </row>
    <row r="668" spans="1:18">
      <c r="A668" t="s">
        <v>1189</v>
      </c>
      <c r="B668" t="s">
        <v>304</v>
      </c>
      <c r="C668" t="s">
        <v>15</v>
      </c>
      <c r="D668" t="s">
        <v>61</v>
      </c>
      <c r="E668" t="s">
        <v>17</v>
      </c>
      <c r="F668" t="s">
        <v>18</v>
      </c>
      <c r="G668" s="2">
        <v>186354</v>
      </c>
      <c r="H668" s="1">
        <v>189454</v>
      </c>
      <c r="I668">
        <v>3100</v>
      </c>
      <c r="J668" t="s">
        <v>19</v>
      </c>
      <c r="K668" t="s">
        <v>20</v>
      </c>
      <c r="L668" t="s">
        <v>21</v>
      </c>
      <c r="M668" t="s">
        <v>22</v>
      </c>
      <c r="N668" s="5">
        <f>Table4[[#This Row],[BudgetAmount]]/Table4[[#This Row],[Variance]]</f>
        <v>60.114193548387099</v>
      </c>
      <c r="O668" s="5" t="str">
        <f>TEXT(Table4[[#This Row],[Date]],"mmm")</f>
        <v>Dec</v>
      </c>
      <c r="P668" s="5">
        <f>ABS(Table4[[#This Row],[Variance]])</f>
        <v>3100</v>
      </c>
      <c r="Q668" s="5" t="str">
        <f>IF(Table4[[#This Row],[AB Variances ]]&gt;$P$2,"Anomaly","Normal")</f>
        <v>Normal</v>
      </c>
      <c r="R668" s="5">
        <f>SUMIFS(Table4[BudgetAmount],Table4[ActualExpense],"pending")</f>
        <v>0</v>
      </c>
    </row>
    <row r="669" spans="1:18">
      <c r="A669" t="s">
        <v>1190</v>
      </c>
      <c r="B669" t="s">
        <v>1191</v>
      </c>
      <c r="C669" t="s">
        <v>33</v>
      </c>
      <c r="D669" t="s">
        <v>61</v>
      </c>
      <c r="E669" t="s">
        <v>85</v>
      </c>
      <c r="F669" t="s">
        <v>86</v>
      </c>
      <c r="G669" s="2">
        <v>82721</v>
      </c>
      <c r="H669" s="1">
        <v>96530</v>
      </c>
      <c r="I669">
        <v>13809</v>
      </c>
      <c r="J669" t="s">
        <v>19</v>
      </c>
      <c r="K669" t="s">
        <v>48</v>
      </c>
      <c r="L669" t="s">
        <v>49</v>
      </c>
      <c r="M669" t="s">
        <v>42</v>
      </c>
      <c r="N669" s="5">
        <f>Table4[[#This Row],[BudgetAmount]]/Table4[[#This Row],[Variance]]</f>
        <v>5.9903686001882832</v>
      </c>
      <c r="O669" s="5" t="str">
        <f>TEXT(Table4[[#This Row],[Date]],"mmm")</f>
        <v>Jan</v>
      </c>
      <c r="P669" s="5">
        <f>ABS(Table4[[#This Row],[Variance]])</f>
        <v>13809</v>
      </c>
      <c r="Q669" s="5" t="str">
        <f>IF(Table4[[#This Row],[AB Variances ]]&gt;$P$2,"Anomaly","Normal")</f>
        <v>Normal</v>
      </c>
      <c r="R669" s="5">
        <f>SUMIFS(Table4[BudgetAmount],Table4[ActualExpense],"pending")</f>
        <v>0</v>
      </c>
    </row>
    <row r="670" spans="1:18">
      <c r="A670" t="s">
        <v>1192</v>
      </c>
      <c r="B670" t="s">
        <v>1193</v>
      </c>
      <c r="C670" t="s">
        <v>15</v>
      </c>
      <c r="D670" t="s">
        <v>16</v>
      </c>
      <c r="E670" t="s">
        <v>27</v>
      </c>
      <c r="F670" t="s">
        <v>28</v>
      </c>
      <c r="G670" s="2">
        <v>220702</v>
      </c>
      <c r="H670" s="1">
        <v>256704</v>
      </c>
      <c r="I670">
        <v>36002</v>
      </c>
      <c r="J670" t="s">
        <v>37</v>
      </c>
      <c r="K670" t="s">
        <v>67</v>
      </c>
      <c r="L670" t="s">
        <v>30</v>
      </c>
      <c r="M670" t="s">
        <v>42</v>
      </c>
      <c r="N670" s="5">
        <f>Table4[[#This Row],[BudgetAmount]]/Table4[[#This Row],[Variance]]</f>
        <v>6.130270540525526</v>
      </c>
      <c r="O670" s="5" t="str">
        <f>TEXT(Table4[[#This Row],[Date]],"mmm")</f>
        <v>Feb</v>
      </c>
      <c r="P670" s="5">
        <f>ABS(Table4[[#This Row],[Variance]])</f>
        <v>36002</v>
      </c>
      <c r="Q670" s="5" t="str">
        <f>IF(Table4[[#This Row],[AB Variances ]]&gt;$P$2,"Anomaly","Normal")</f>
        <v>Anomaly</v>
      </c>
      <c r="R670" s="5">
        <f>SUMIFS(Table4[BudgetAmount],Table4[ActualExpense],"pending")</f>
        <v>0</v>
      </c>
    </row>
    <row r="671" spans="1:18">
      <c r="A671" t="s">
        <v>1194</v>
      </c>
      <c r="B671" t="s">
        <v>1195</v>
      </c>
      <c r="C671" t="s">
        <v>45</v>
      </c>
      <c r="D671" t="s">
        <v>16</v>
      </c>
      <c r="E671" t="s">
        <v>27</v>
      </c>
      <c r="F671" t="s">
        <v>28</v>
      </c>
      <c r="G671" s="2">
        <v>296537</v>
      </c>
      <c r="H671" s="1">
        <v>349188</v>
      </c>
      <c r="I671">
        <v>52651</v>
      </c>
      <c r="J671" t="s">
        <v>54</v>
      </c>
      <c r="K671" t="s">
        <v>29</v>
      </c>
      <c r="L671" t="s">
        <v>30</v>
      </c>
      <c r="M671" t="s">
        <v>22</v>
      </c>
      <c r="N671" s="5">
        <f>Table4[[#This Row],[BudgetAmount]]/Table4[[#This Row],[Variance]]</f>
        <v>5.6321247459687376</v>
      </c>
      <c r="O671" s="5" t="str">
        <f>TEXT(Table4[[#This Row],[Date]],"mmm")</f>
        <v>Jul</v>
      </c>
      <c r="P671" s="5">
        <f>ABS(Table4[[#This Row],[Variance]])</f>
        <v>52651</v>
      </c>
      <c r="Q671" s="5" t="str">
        <f>IF(Table4[[#This Row],[AB Variances ]]&gt;$P$2,"Anomaly","Normal")</f>
        <v>Anomaly</v>
      </c>
      <c r="R671" s="5">
        <f>SUMIFS(Table4[BudgetAmount],Table4[ActualExpense],"pending")</f>
        <v>0</v>
      </c>
    </row>
    <row r="672" spans="1:18">
      <c r="A672" t="s">
        <v>1196</v>
      </c>
      <c r="B672" t="s">
        <v>854</v>
      </c>
      <c r="C672" t="s">
        <v>15</v>
      </c>
      <c r="D672" t="s">
        <v>40</v>
      </c>
      <c r="E672" t="s">
        <v>27</v>
      </c>
      <c r="F672" t="s">
        <v>28</v>
      </c>
      <c r="G672" s="2">
        <v>316660</v>
      </c>
      <c r="H672" s="1">
        <v>238034</v>
      </c>
      <c r="I672">
        <v>-78626</v>
      </c>
      <c r="J672" t="s">
        <v>19</v>
      </c>
      <c r="K672" t="s">
        <v>20</v>
      </c>
      <c r="L672" t="s">
        <v>68</v>
      </c>
      <c r="M672" t="s">
        <v>22</v>
      </c>
      <c r="N672" s="5">
        <f>Table4[[#This Row],[BudgetAmount]]/Table4[[#This Row],[Variance]]</f>
        <v>-4.027420954900415</v>
      </c>
      <c r="O672" s="5" t="str">
        <f>TEXT(Table4[[#This Row],[Date]],"mmm")</f>
        <v>Nov</v>
      </c>
      <c r="P672" s="5">
        <f>ABS(Table4[[#This Row],[Variance]])</f>
        <v>78626</v>
      </c>
      <c r="Q672" s="5" t="str">
        <f>IF(Table4[[#This Row],[AB Variances ]]&gt;$P$2,"Anomaly","Normal")</f>
        <v>Anomaly</v>
      </c>
      <c r="R672" s="5">
        <f>SUMIFS(Table4[BudgetAmount],Table4[ActualExpense],"pending")</f>
        <v>0</v>
      </c>
    </row>
    <row r="673" spans="1:18">
      <c r="A673" t="s">
        <v>1197</v>
      </c>
      <c r="B673" t="s">
        <v>831</v>
      </c>
      <c r="C673" t="s">
        <v>45</v>
      </c>
      <c r="D673" t="s">
        <v>34</v>
      </c>
      <c r="E673" t="s">
        <v>17</v>
      </c>
      <c r="F673" t="s">
        <v>18</v>
      </c>
      <c r="G673" s="2">
        <v>158393</v>
      </c>
      <c r="H673" s="1">
        <v>205181</v>
      </c>
      <c r="I673">
        <v>46788</v>
      </c>
      <c r="J673" t="s">
        <v>54</v>
      </c>
      <c r="K673" t="s">
        <v>41</v>
      </c>
      <c r="L673" t="s">
        <v>49</v>
      </c>
      <c r="M673" t="s">
        <v>42</v>
      </c>
      <c r="N673" s="5">
        <f>Table4[[#This Row],[BudgetAmount]]/Table4[[#This Row],[Variance]]</f>
        <v>3.3853338462853722</v>
      </c>
      <c r="O673" s="5" t="str">
        <f>TEXT(Table4[[#This Row],[Date]],"mmm")</f>
        <v>Dec</v>
      </c>
      <c r="P673" s="5">
        <f>ABS(Table4[[#This Row],[Variance]])</f>
        <v>46788</v>
      </c>
      <c r="Q673" s="5" t="str">
        <f>IF(Table4[[#This Row],[AB Variances ]]&gt;$P$2,"Anomaly","Normal")</f>
        <v>Anomaly</v>
      </c>
      <c r="R673" s="5">
        <f>SUMIFS(Table4[BudgetAmount],Table4[ActualExpense],"pending")</f>
        <v>0</v>
      </c>
    </row>
    <row r="674" spans="1:18">
      <c r="A674" t="s">
        <v>1198</v>
      </c>
      <c r="B674" t="s">
        <v>1199</v>
      </c>
      <c r="C674" t="s">
        <v>35</v>
      </c>
      <c r="D674" t="s">
        <v>34</v>
      </c>
      <c r="E674" t="s">
        <v>27</v>
      </c>
      <c r="F674" t="s">
        <v>28</v>
      </c>
      <c r="G674" s="2">
        <v>99421</v>
      </c>
      <c r="H674" s="1">
        <v>99125</v>
      </c>
      <c r="I674">
        <v>-296</v>
      </c>
      <c r="J674" t="s">
        <v>54</v>
      </c>
      <c r="K674" t="s">
        <v>29</v>
      </c>
      <c r="L674" t="s">
        <v>49</v>
      </c>
      <c r="M674" t="s">
        <v>42</v>
      </c>
      <c r="N674" s="5">
        <f>Table4[[#This Row],[BudgetAmount]]/Table4[[#This Row],[Variance]]</f>
        <v>-335.88175675675677</v>
      </c>
      <c r="O674" s="5" t="str">
        <f>TEXT(Table4[[#This Row],[Date]],"mmm")</f>
        <v>Oct</v>
      </c>
      <c r="P674" s="5">
        <f>ABS(Table4[[#This Row],[Variance]])</f>
        <v>296</v>
      </c>
      <c r="Q674" s="5" t="str">
        <f>IF(Table4[[#This Row],[AB Variances ]]&gt;$P$2,"Anomaly","Normal")</f>
        <v>Normal</v>
      </c>
      <c r="R674" s="5">
        <f>SUMIFS(Table4[BudgetAmount],Table4[ActualExpense],"pending")</f>
        <v>0</v>
      </c>
    </row>
    <row r="675" spans="1:18">
      <c r="A675" t="s">
        <v>1200</v>
      </c>
      <c r="B675" t="s">
        <v>879</v>
      </c>
      <c r="C675" t="s">
        <v>45</v>
      </c>
      <c r="D675" t="s">
        <v>16</v>
      </c>
      <c r="E675" t="s">
        <v>71</v>
      </c>
      <c r="F675" t="s">
        <v>72</v>
      </c>
      <c r="G675" s="2">
        <v>98351</v>
      </c>
      <c r="H675" s="1">
        <v>119321</v>
      </c>
      <c r="I675">
        <v>20970</v>
      </c>
      <c r="J675" t="s">
        <v>54</v>
      </c>
      <c r="K675" t="s">
        <v>29</v>
      </c>
      <c r="L675" t="s">
        <v>49</v>
      </c>
      <c r="M675" t="s">
        <v>42</v>
      </c>
      <c r="N675" s="5">
        <f>Table4[[#This Row],[BudgetAmount]]/Table4[[#This Row],[Variance]]</f>
        <v>4.6900810681926561</v>
      </c>
      <c r="O675" s="5" t="str">
        <f>TEXT(Table4[[#This Row],[Date]],"mmm")</f>
        <v>May</v>
      </c>
      <c r="P675" s="5">
        <f>ABS(Table4[[#This Row],[Variance]])</f>
        <v>20970</v>
      </c>
      <c r="Q675" s="5" t="str">
        <f>IF(Table4[[#This Row],[AB Variances ]]&gt;$P$2,"Anomaly","Normal")</f>
        <v>Anomaly</v>
      </c>
      <c r="R675" s="5">
        <f>SUMIFS(Table4[BudgetAmount],Table4[ActualExpense],"pending")</f>
        <v>0</v>
      </c>
    </row>
    <row r="676" spans="1:18">
      <c r="A676" t="s">
        <v>1201</v>
      </c>
      <c r="B676" t="s">
        <v>840</v>
      </c>
      <c r="C676" t="s">
        <v>15</v>
      </c>
      <c r="D676" t="s">
        <v>40</v>
      </c>
      <c r="E676" t="s">
        <v>35</v>
      </c>
      <c r="F676" t="s">
        <v>36</v>
      </c>
      <c r="G676" s="2">
        <v>182996</v>
      </c>
      <c r="H676" s="1">
        <v>238156</v>
      </c>
      <c r="I676">
        <v>55160</v>
      </c>
      <c r="J676" t="s">
        <v>54</v>
      </c>
      <c r="K676" t="s">
        <v>29</v>
      </c>
      <c r="L676" t="s">
        <v>21</v>
      </c>
      <c r="M676" t="s">
        <v>22</v>
      </c>
      <c r="N676" s="5">
        <f>Table4[[#This Row],[BudgetAmount]]/Table4[[#This Row],[Variance]]</f>
        <v>3.3175489485134153</v>
      </c>
      <c r="O676" s="5" t="str">
        <f>TEXT(Table4[[#This Row],[Date]],"mmm")</f>
        <v>May</v>
      </c>
      <c r="P676" s="5">
        <f>ABS(Table4[[#This Row],[Variance]])</f>
        <v>55160</v>
      </c>
      <c r="Q676" s="5" t="str">
        <f>IF(Table4[[#This Row],[AB Variances ]]&gt;$P$2,"Anomaly","Normal")</f>
        <v>Anomaly</v>
      </c>
      <c r="R676" s="5">
        <f>SUMIFS(Table4[BudgetAmount],Table4[ActualExpense],"pending")</f>
        <v>0</v>
      </c>
    </row>
    <row r="677" spans="1:18">
      <c r="A677" t="s">
        <v>1202</v>
      </c>
      <c r="B677" t="s">
        <v>552</v>
      </c>
      <c r="C677" t="s">
        <v>35</v>
      </c>
      <c r="D677" t="s">
        <v>40</v>
      </c>
      <c r="E677" t="s">
        <v>17</v>
      </c>
      <c r="F677" t="s">
        <v>18</v>
      </c>
      <c r="G677" s="2">
        <v>175957</v>
      </c>
      <c r="H677" s="1">
        <v>158127</v>
      </c>
      <c r="I677">
        <v>-17830</v>
      </c>
      <c r="J677" t="s">
        <v>54</v>
      </c>
      <c r="K677" t="s">
        <v>20</v>
      </c>
      <c r="L677" t="s">
        <v>49</v>
      </c>
      <c r="M677" t="s">
        <v>42</v>
      </c>
      <c r="N677" s="5">
        <f>Table4[[#This Row],[BudgetAmount]]/Table4[[#This Row],[Variance]]</f>
        <v>-9.8685922602355589</v>
      </c>
      <c r="O677" s="5" t="str">
        <f>TEXT(Table4[[#This Row],[Date]],"mmm")</f>
        <v>Jan</v>
      </c>
      <c r="P677" s="5">
        <f>ABS(Table4[[#This Row],[Variance]])</f>
        <v>17830</v>
      </c>
      <c r="Q677" s="5" t="str">
        <f>IF(Table4[[#This Row],[AB Variances ]]&gt;$P$2,"Anomaly","Normal")</f>
        <v>Anomaly</v>
      </c>
      <c r="R677" s="5">
        <f>SUMIFS(Table4[BudgetAmount],Table4[ActualExpense],"pending")</f>
        <v>0</v>
      </c>
    </row>
    <row r="678" spans="1:18">
      <c r="A678" t="s">
        <v>1203</v>
      </c>
      <c r="B678" t="s">
        <v>1204</v>
      </c>
      <c r="C678" t="s">
        <v>33</v>
      </c>
      <c r="D678" t="s">
        <v>40</v>
      </c>
      <c r="E678" t="s">
        <v>17</v>
      </c>
      <c r="F678" t="s">
        <v>18</v>
      </c>
      <c r="G678" s="2">
        <v>352823</v>
      </c>
      <c r="H678" s="1">
        <v>299853</v>
      </c>
      <c r="I678">
        <v>-52970</v>
      </c>
      <c r="J678" t="s">
        <v>19</v>
      </c>
      <c r="K678" t="s">
        <v>67</v>
      </c>
      <c r="L678" t="s">
        <v>68</v>
      </c>
      <c r="M678" t="s">
        <v>22</v>
      </c>
      <c r="N678" s="5">
        <f>Table4[[#This Row],[BudgetAmount]]/Table4[[#This Row],[Variance]]</f>
        <v>-6.6608080045308666</v>
      </c>
      <c r="O678" s="5" t="str">
        <f>TEXT(Table4[[#This Row],[Date]],"mmm")</f>
        <v>Aug</v>
      </c>
      <c r="P678" s="5">
        <f>ABS(Table4[[#This Row],[Variance]])</f>
        <v>52970</v>
      </c>
      <c r="Q678" s="5" t="str">
        <f>IF(Table4[[#This Row],[AB Variances ]]&gt;$P$2,"Anomaly","Normal")</f>
        <v>Anomaly</v>
      </c>
      <c r="R678" s="5">
        <f>SUMIFS(Table4[BudgetAmount],Table4[ActualExpense],"pending")</f>
        <v>0</v>
      </c>
    </row>
    <row r="679" spans="1:18">
      <c r="A679" t="s">
        <v>1205</v>
      </c>
      <c r="B679" t="s">
        <v>410</v>
      </c>
      <c r="C679" t="s">
        <v>15</v>
      </c>
      <c r="D679" t="s">
        <v>61</v>
      </c>
      <c r="E679" t="s">
        <v>27</v>
      </c>
      <c r="F679" t="s">
        <v>28</v>
      </c>
      <c r="G679" s="2">
        <v>365170</v>
      </c>
      <c r="H679" s="1">
        <v>257781</v>
      </c>
      <c r="I679">
        <v>-107389</v>
      </c>
      <c r="J679" t="s">
        <v>37</v>
      </c>
      <c r="K679" t="s">
        <v>67</v>
      </c>
      <c r="L679" t="s">
        <v>68</v>
      </c>
      <c r="M679" t="s">
        <v>22</v>
      </c>
      <c r="N679" s="5">
        <f>Table4[[#This Row],[BudgetAmount]]/Table4[[#This Row],[Variance]]</f>
        <v>-3.4004413859892542</v>
      </c>
      <c r="O679" s="5" t="str">
        <f>TEXT(Table4[[#This Row],[Date]],"mmm")</f>
        <v>Dec</v>
      </c>
      <c r="P679" s="5">
        <f>ABS(Table4[[#This Row],[Variance]])</f>
        <v>107389</v>
      </c>
      <c r="Q679" s="5" t="str">
        <f>IF(Table4[[#This Row],[AB Variances ]]&gt;$P$2,"Anomaly","Normal")</f>
        <v>Anomaly</v>
      </c>
      <c r="R679" s="5">
        <f>SUMIFS(Table4[BudgetAmount],Table4[ActualExpense],"pending")</f>
        <v>0</v>
      </c>
    </row>
    <row r="680" spans="1:18">
      <c r="A680" t="s">
        <v>1206</v>
      </c>
      <c r="B680" t="s">
        <v>719</v>
      </c>
      <c r="C680" t="s">
        <v>45</v>
      </c>
      <c r="D680" t="s">
        <v>40</v>
      </c>
      <c r="E680" t="s">
        <v>27</v>
      </c>
      <c r="F680" t="s">
        <v>28</v>
      </c>
      <c r="G680" s="2">
        <v>158731</v>
      </c>
      <c r="H680" s="1">
        <v>135329</v>
      </c>
      <c r="I680">
        <v>-23402</v>
      </c>
      <c r="J680" t="s">
        <v>54</v>
      </c>
      <c r="K680" t="s">
        <v>67</v>
      </c>
      <c r="L680" t="s">
        <v>68</v>
      </c>
      <c r="M680" t="s">
        <v>42</v>
      </c>
      <c r="N680" s="5">
        <f>Table4[[#This Row],[BudgetAmount]]/Table4[[#This Row],[Variance]]</f>
        <v>-6.7827963421929747</v>
      </c>
      <c r="O680" s="5" t="str">
        <f>TEXT(Table4[[#This Row],[Date]],"mmm")</f>
        <v>Jul</v>
      </c>
      <c r="P680" s="5">
        <f>ABS(Table4[[#This Row],[Variance]])</f>
        <v>23402</v>
      </c>
      <c r="Q680" s="5" t="str">
        <f>IF(Table4[[#This Row],[AB Variances ]]&gt;$P$2,"Anomaly","Normal")</f>
        <v>Anomaly</v>
      </c>
      <c r="R680" s="5">
        <f>SUMIFS(Table4[BudgetAmount],Table4[ActualExpense],"pending")</f>
        <v>0</v>
      </c>
    </row>
    <row r="681" spans="1:18">
      <c r="A681" t="s">
        <v>1207</v>
      </c>
      <c r="B681" t="s">
        <v>39</v>
      </c>
      <c r="C681" t="s">
        <v>25</v>
      </c>
      <c r="D681" t="s">
        <v>26</v>
      </c>
      <c r="E681" t="s">
        <v>85</v>
      </c>
      <c r="F681" t="s">
        <v>86</v>
      </c>
      <c r="G681" s="2">
        <v>218041</v>
      </c>
      <c r="H681" s="1">
        <v>194892</v>
      </c>
      <c r="I681">
        <v>-23149</v>
      </c>
      <c r="J681" t="s">
        <v>19</v>
      </c>
      <c r="K681" t="s">
        <v>48</v>
      </c>
      <c r="L681" t="s">
        <v>30</v>
      </c>
      <c r="M681" t="s">
        <v>42</v>
      </c>
      <c r="N681" s="5">
        <f>Table4[[#This Row],[BudgetAmount]]/Table4[[#This Row],[Variance]]</f>
        <v>-9.4190245798954599</v>
      </c>
      <c r="O681" s="5" t="str">
        <f>TEXT(Table4[[#This Row],[Date]],"mmm")</f>
        <v>Aug</v>
      </c>
      <c r="P681" s="5">
        <f>ABS(Table4[[#This Row],[Variance]])</f>
        <v>23149</v>
      </c>
      <c r="Q681" s="5" t="str">
        <f>IF(Table4[[#This Row],[AB Variances ]]&gt;$P$2,"Anomaly","Normal")</f>
        <v>Anomaly</v>
      </c>
      <c r="R681" s="5">
        <f>SUMIFS(Table4[BudgetAmount],Table4[ActualExpense],"pending")</f>
        <v>0</v>
      </c>
    </row>
    <row r="682" spans="1:18">
      <c r="A682" t="s">
        <v>1208</v>
      </c>
      <c r="B682" t="s">
        <v>872</v>
      </c>
      <c r="C682" t="s">
        <v>64</v>
      </c>
      <c r="D682" t="s">
        <v>40</v>
      </c>
      <c r="E682" t="s">
        <v>27</v>
      </c>
      <c r="F682" t="s">
        <v>28</v>
      </c>
      <c r="G682" s="2">
        <v>276881</v>
      </c>
      <c r="H682" s="1">
        <v>326132</v>
      </c>
      <c r="I682">
        <v>49251</v>
      </c>
      <c r="J682" t="s">
        <v>19</v>
      </c>
      <c r="K682" t="s">
        <v>20</v>
      </c>
      <c r="L682" t="s">
        <v>49</v>
      </c>
      <c r="M682" t="s">
        <v>22</v>
      </c>
      <c r="N682" s="5">
        <f>Table4[[#This Row],[BudgetAmount]]/Table4[[#This Row],[Variance]]</f>
        <v>5.6218350896428495</v>
      </c>
      <c r="O682" s="5" t="str">
        <f>TEXT(Table4[[#This Row],[Date]],"mmm")</f>
        <v>Nov</v>
      </c>
      <c r="P682" s="5">
        <f>ABS(Table4[[#This Row],[Variance]])</f>
        <v>49251</v>
      </c>
      <c r="Q682" s="5" t="str">
        <f>IF(Table4[[#This Row],[AB Variances ]]&gt;$P$2,"Anomaly","Normal")</f>
        <v>Anomaly</v>
      </c>
      <c r="R682" s="5">
        <f>SUMIFS(Table4[BudgetAmount],Table4[ActualExpense],"pending")</f>
        <v>0</v>
      </c>
    </row>
    <row r="683" spans="1:18">
      <c r="A683" t="s">
        <v>1209</v>
      </c>
      <c r="B683" t="s">
        <v>668</v>
      </c>
      <c r="C683" t="s">
        <v>35</v>
      </c>
      <c r="D683" t="s">
        <v>34</v>
      </c>
      <c r="E683" t="s">
        <v>17</v>
      </c>
      <c r="F683" t="s">
        <v>18</v>
      </c>
      <c r="G683" s="2">
        <v>157222</v>
      </c>
      <c r="H683" s="1">
        <v>132784</v>
      </c>
      <c r="I683">
        <v>-24438</v>
      </c>
      <c r="J683" t="s">
        <v>54</v>
      </c>
      <c r="K683" t="s">
        <v>29</v>
      </c>
      <c r="L683" t="s">
        <v>49</v>
      </c>
      <c r="M683" t="s">
        <v>22</v>
      </c>
      <c r="N683" s="5">
        <f>Table4[[#This Row],[BudgetAmount]]/Table4[[#This Row],[Variance]]</f>
        <v>-6.4335051968246173</v>
      </c>
      <c r="O683" s="5" t="str">
        <f>TEXT(Table4[[#This Row],[Date]],"mmm")</f>
        <v>Mar</v>
      </c>
      <c r="P683" s="5">
        <f>ABS(Table4[[#This Row],[Variance]])</f>
        <v>24438</v>
      </c>
      <c r="Q683" s="5" t="str">
        <f>IF(Table4[[#This Row],[AB Variances ]]&gt;$P$2,"Anomaly","Normal")</f>
        <v>Anomaly</v>
      </c>
      <c r="R683" s="5">
        <f>SUMIFS(Table4[BudgetAmount],Table4[ActualExpense],"pending")</f>
        <v>0</v>
      </c>
    </row>
    <row r="684" spans="1:18">
      <c r="A684" t="s">
        <v>1210</v>
      </c>
      <c r="B684" t="s">
        <v>1211</v>
      </c>
      <c r="C684" t="s">
        <v>64</v>
      </c>
      <c r="D684" t="s">
        <v>40</v>
      </c>
      <c r="E684" t="s">
        <v>35</v>
      </c>
      <c r="F684" t="s">
        <v>36</v>
      </c>
      <c r="G684" s="2">
        <v>262707</v>
      </c>
      <c r="H684" s="1">
        <v>286332</v>
      </c>
      <c r="I684">
        <v>23625</v>
      </c>
      <c r="J684" t="s">
        <v>19</v>
      </c>
      <c r="K684" t="s">
        <v>48</v>
      </c>
      <c r="L684" t="s">
        <v>68</v>
      </c>
      <c r="M684" t="s">
        <v>22</v>
      </c>
      <c r="N684" s="5">
        <f>Table4[[#This Row],[BudgetAmount]]/Table4[[#This Row],[Variance]]</f>
        <v>11.119873015873015</v>
      </c>
      <c r="O684" s="5" t="str">
        <f>TEXT(Table4[[#This Row],[Date]],"mmm")</f>
        <v>Apr</v>
      </c>
      <c r="P684" s="5">
        <f>ABS(Table4[[#This Row],[Variance]])</f>
        <v>23625</v>
      </c>
      <c r="Q684" s="5" t="str">
        <f>IF(Table4[[#This Row],[AB Variances ]]&gt;$P$2,"Anomaly","Normal")</f>
        <v>Anomaly</v>
      </c>
      <c r="R684" s="5">
        <f>SUMIFS(Table4[BudgetAmount],Table4[ActualExpense],"pending")</f>
        <v>0</v>
      </c>
    </row>
    <row r="685" spans="1:18">
      <c r="A685" t="s">
        <v>1212</v>
      </c>
      <c r="B685" t="s">
        <v>198</v>
      </c>
      <c r="C685" t="s">
        <v>45</v>
      </c>
      <c r="D685" t="s">
        <v>26</v>
      </c>
      <c r="E685" t="s">
        <v>27</v>
      </c>
      <c r="F685" t="s">
        <v>28</v>
      </c>
      <c r="G685" s="2">
        <v>66024</v>
      </c>
      <c r="H685" s="1">
        <v>59009</v>
      </c>
      <c r="I685">
        <v>-7015</v>
      </c>
      <c r="J685" t="s">
        <v>19</v>
      </c>
      <c r="K685" t="s">
        <v>48</v>
      </c>
      <c r="L685" t="s">
        <v>49</v>
      </c>
      <c r="M685" t="s">
        <v>22</v>
      </c>
      <c r="N685" s="5">
        <f>Table4[[#This Row],[BudgetAmount]]/Table4[[#This Row],[Variance]]</f>
        <v>-9.4118317890235215</v>
      </c>
      <c r="O685" s="5" t="str">
        <f>TEXT(Table4[[#This Row],[Date]],"mmm")</f>
        <v>Jan</v>
      </c>
      <c r="P685" s="5">
        <f>ABS(Table4[[#This Row],[Variance]])</f>
        <v>7015</v>
      </c>
      <c r="Q685" s="5" t="str">
        <f>IF(Table4[[#This Row],[AB Variances ]]&gt;$P$2,"Anomaly","Normal")</f>
        <v>Normal</v>
      </c>
      <c r="R685" s="5">
        <f>SUMIFS(Table4[BudgetAmount],Table4[ActualExpense],"pending")</f>
        <v>0</v>
      </c>
    </row>
    <row r="686" spans="1:18">
      <c r="A686" t="s">
        <v>1213</v>
      </c>
      <c r="B686" t="s">
        <v>148</v>
      </c>
      <c r="C686" t="s">
        <v>45</v>
      </c>
      <c r="D686" t="s">
        <v>26</v>
      </c>
      <c r="E686" t="s">
        <v>35</v>
      </c>
      <c r="F686" t="s">
        <v>36</v>
      </c>
      <c r="G686" s="2">
        <v>442474</v>
      </c>
      <c r="H686" s="1">
        <v>610785</v>
      </c>
      <c r="I686">
        <v>168311</v>
      </c>
      <c r="J686" t="s">
        <v>37</v>
      </c>
      <c r="K686" t="s">
        <v>20</v>
      </c>
      <c r="L686" t="s">
        <v>49</v>
      </c>
      <c r="M686" t="s">
        <v>42</v>
      </c>
      <c r="N686" s="5">
        <f>Table4[[#This Row],[BudgetAmount]]/Table4[[#This Row],[Variance]]</f>
        <v>2.6289072015495125</v>
      </c>
      <c r="O686" s="5" t="str">
        <f>TEXT(Table4[[#This Row],[Date]],"mmm")</f>
        <v>Oct</v>
      </c>
      <c r="P686" s="5">
        <f>ABS(Table4[[#This Row],[Variance]])</f>
        <v>168311</v>
      </c>
      <c r="Q686" s="5" t="str">
        <f>IF(Table4[[#This Row],[AB Variances ]]&gt;$P$2,"Anomaly","Normal")</f>
        <v>Anomaly</v>
      </c>
      <c r="R686" s="5">
        <f>SUMIFS(Table4[BudgetAmount],Table4[ActualExpense],"pending")</f>
        <v>0</v>
      </c>
    </row>
    <row r="687" spans="1:18">
      <c r="A687" t="s">
        <v>1214</v>
      </c>
      <c r="B687" t="s">
        <v>174</v>
      </c>
      <c r="C687" t="s">
        <v>64</v>
      </c>
      <c r="D687" t="s">
        <v>61</v>
      </c>
      <c r="E687" t="s">
        <v>71</v>
      </c>
      <c r="F687" t="s">
        <v>72</v>
      </c>
      <c r="G687" s="2">
        <v>374785</v>
      </c>
      <c r="H687" s="1">
        <v>422369</v>
      </c>
      <c r="I687">
        <v>47584</v>
      </c>
      <c r="J687" t="s">
        <v>19</v>
      </c>
      <c r="K687" t="s">
        <v>48</v>
      </c>
      <c r="L687" t="s">
        <v>68</v>
      </c>
      <c r="M687" t="s">
        <v>22</v>
      </c>
      <c r="N687" s="5">
        <f>Table4[[#This Row],[BudgetAmount]]/Table4[[#This Row],[Variance]]</f>
        <v>7.8762819435104241</v>
      </c>
      <c r="O687" s="5" t="str">
        <f>TEXT(Table4[[#This Row],[Date]],"mmm")</f>
        <v>Jul</v>
      </c>
      <c r="P687" s="5">
        <f>ABS(Table4[[#This Row],[Variance]])</f>
        <v>47584</v>
      </c>
      <c r="Q687" s="5" t="str">
        <f>IF(Table4[[#This Row],[AB Variances ]]&gt;$P$2,"Anomaly","Normal")</f>
        <v>Anomaly</v>
      </c>
      <c r="R687" s="5">
        <f>SUMIFS(Table4[BudgetAmount],Table4[ActualExpense],"pending")</f>
        <v>0</v>
      </c>
    </row>
    <row r="688" spans="1:18">
      <c r="A688" t="s">
        <v>1215</v>
      </c>
      <c r="B688" t="s">
        <v>377</v>
      </c>
      <c r="C688" t="s">
        <v>35</v>
      </c>
      <c r="D688" t="s">
        <v>16</v>
      </c>
      <c r="E688" t="s">
        <v>85</v>
      </c>
      <c r="F688" t="s">
        <v>86</v>
      </c>
      <c r="G688" s="2">
        <v>462250</v>
      </c>
      <c r="H688" s="1">
        <v>368334</v>
      </c>
      <c r="I688">
        <v>-93916</v>
      </c>
      <c r="J688" t="s">
        <v>37</v>
      </c>
      <c r="K688" t="s">
        <v>29</v>
      </c>
      <c r="L688" t="s">
        <v>68</v>
      </c>
      <c r="M688" t="s">
        <v>22</v>
      </c>
      <c r="N688" s="5">
        <f>Table4[[#This Row],[BudgetAmount]]/Table4[[#This Row],[Variance]]</f>
        <v>-4.9219515311555009</v>
      </c>
      <c r="O688" s="5" t="str">
        <f>TEXT(Table4[[#This Row],[Date]],"mmm")</f>
        <v>Mar</v>
      </c>
      <c r="P688" s="5">
        <f>ABS(Table4[[#This Row],[Variance]])</f>
        <v>93916</v>
      </c>
      <c r="Q688" s="5" t="str">
        <f>IF(Table4[[#This Row],[AB Variances ]]&gt;$P$2,"Anomaly","Normal")</f>
        <v>Anomaly</v>
      </c>
      <c r="R688" s="5">
        <f>SUMIFS(Table4[BudgetAmount],Table4[ActualExpense],"pending")</f>
        <v>0</v>
      </c>
    </row>
    <row r="689" spans="1:18">
      <c r="A689" t="s">
        <v>1216</v>
      </c>
      <c r="B689" t="s">
        <v>1217</v>
      </c>
      <c r="C689" t="s">
        <v>35</v>
      </c>
      <c r="D689" t="s">
        <v>40</v>
      </c>
      <c r="E689" t="s">
        <v>46</v>
      </c>
      <c r="F689" t="s">
        <v>47</v>
      </c>
      <c r="G689" s="2">
        <v>71543</v>
      </c>
      <c r="H689" s="1">
        <v>75037</v>
      </c>
      <c r="I689">
        <v>3494</v>
      </c>
      <c r="J689" t="s">
        <v>37</v>
      </c>
      <c r="K689" t="s">
        <v>20</v>
      </c>
      <c r="L689" t="s">
        <v>49</v>
      </c>
      <c r="M689" t="s">
        <v>42</v>
      </c>
      <c r="N689" s="5">
        <f>Table4[[#This Row],[BudgetAmount]]/Table4[[#This Row],[Variance]]</f>
        <v>20.475958786491127</v>
      </c>
      <c r="O689" s="5" t="str">
        <f>TEXT(Table4[[#This Row],[Date]],"mmm")</f>
        <v>Apr</v>
      </c>
      <c r="P689" s="5">
        <f>ABS(Table4[[#This Row],[Variance]])</f>
        <v>3494</v>
      </c>
      <c r="Q689" s="5" t="str">
        <f>IF(Table4[[#This Row],[AB Variances ]]&gt;$P$2,"Anomaly","Normal")</f>
        <v>Normal</v>
      </c>
      <c r="R689" s="5">
        <f>SUMIFS(Table4[BudgetAmount],Table4[ActualExpense],"pending")</f>
        <v>0</v>
      </c>
    </row>
    <row r="690" spans="1:18">
      <c r="A690" t="s">
        <v>1218</v>
      </c>
      <c r="B690" t="s">
        <v>1219</v>
      </c>
      <c r="C690" t="s">
        <v>15</v>
      </c>
      <c r="D690" t="s">
        <v>61</v>
      </c>
      <c r="E690" t="s">
        <v>71</v>
      </c>
      <c r="F690" t="s">
        <v>72</v>
      </c>
      <c r="G690" s="2">
        <v>293421</v>
      </c>
      <c r="H690" s="1">
        <v>361614</v>
      </c>
      <c r="I690">
        <v>68193</v>
      </c>
      <c r="J690" t="s">
        <v>54</v>
      </c>
      <c r="K690" t="s">
        <v>48</v>
      </c>
      <c r="L690" t="s">
        <v>68</v>
      </c>
      <c r="M690" t="s">
        <v>22</v>
      </c>
      <c r="N690" s="5">
        <f>Table4[[#This Row],[BudgetAmount]]/Table4[[#This Row],[Variance]]</f>
        <v>4.3028023404161715</v>
      </c>
      <c r="O690" s="5" t="str">
        <f>TEXT(Table4[[#This Row],[Date]],"mmm")</f>
        <v>Sep</v>
      </c>
      <c r="P690" s="5">
        <f>ABS(Table4[[#This Row],[Variance]])</f>
        <v>68193</v>
      </c>
      <c r="Q690" s="5" t="str">
        <f>IF(Table4[[#This Row],[AB Variances ]]&gt;$P$2,"Anomaly","Normal")</f>
        <v>Anomaly</v>
      </c>
      <c r="R690" s="5">
        <f>SUMIFS(Table4[BudgetAmount],Table4[ActualExpense],"pending")</f>
        <v>0</v>
      </c>
    </row>
    <row r="691" spans="1:18">
      <c r="A691" t="s">
        <v>1220</v>
      </c>
      <c r="B691" t="s">
        <v>1221</v>
      </c>
      <c r="C691" t="s">
        <v>64</v>
      </c>
      <c r="D691" t="s">
        <v>34</v>
      </c>
      <c r="E691" t="s">
        <v>35</v>
      </c>
      <c r="F691" t="s">
        <v>36</v>
      </c>
      <c r="G691" s="2">
        <v>367069</v>
      </c>
      <c r="H691" s="1">
        <v>410278</v>
      </c>
      <c r="I691">
        <v>43209</v>
      </c>
      <c r="J691" t="s">
        <v>19</v>
      </c>
      <c r="K691" t="s">
        <v>67</v>
      </c>
      <c r="L691" t="s">
        <v>30</v>
      </c>
      <c r="M691" t="s">
        <v>22</v>
      </c>
      <c r="N691" s="5">
        <f>Table4[[#This Row],[BudgetAmount]]/Table4[[#This Row],[Variance]]</f>
        <v>8.4951977597259827</v>
      </c>
      <c r="O691" s="5" t="str">
        <f>TEXT(Table4[[#This Row],[Date]],"mmm")</f>
        <v>Jul</v>
      </c>
      <c r="P691" s="5">
        <f>ABS(Table4[[#This Row],[Variance]])</f>
        <v>43209</v>
      </c>
      <c r="Q691" s="5" t="str">
        <f>IF(Table4[[#This Row],[AB Variances ]]&gt;$P$2,"Anomaly","Normal")</f>
        <v>Anomaly</v>
      </c>
      <c r="R691" s="5">
        <f>SUMIFS(Table4[BudgetAmount],Table4[ActualExpense],"pending")</f>
        <v>0</v>
      </c>
    </row>
    <row r="692" spans="1:18">
      <c r="A692" t="s">
        <v>1222</v>
      </c>
      <c r="B692" t="s">
        <v>1223</v>
      </c>
      <c r="C692" t="s">
        <v>64</v>
      </c>
      <c r="D692" t="s">
        <v>16</v>
      </c>
      <c r="E692" t="s">
        <v>17</v>
      </c>
      <c r="F692" t="s">
        <v>18</v>
      </c>
      <c r="G692" s="2">
        <v>438265</v>
      </c>
      <c r="H692" s="1">
        <v>591041</v>
      </c>
      <c r="I692">
        <v>152776</v>
      </c>
      <c r="J692" t="s">
        <v>37</v>
      </c>
      <c r="K692" t="s">
        <v>41</v>
      </c>
      <c r="L692" t="s">
        <v>68</v>
      </c>
      <c r="M692" t="s">
        <v>22</v>
      </c>
      <c r="N692" s="5">
        <f>Table4[[#This Row],[BudgetAmount]]/Table4[[#This Row],[Variance]]</f>
        <v>2.8686770173325655</v>
      </c>
      <c r="O692" s="5" t="str">
        <f>TEXT(Table4[[#This Row],[Date]],"mmm")</f>
        <v>Mar</v>
      </c>
      <c r="P692" s="5">
        <f>ABS(Table4[[#This Row],[Variance]])</f>
        <v>152776</v>
      </c>
      <c r="Q692" s="5" t="str">
        <f>IF(Table4[[#This Row],[AB Variances ]]&gt;$P$2,"Anomaly","Normal")</f>
        <v>Anomaly</v>
      </c>
      <c r="R692" s="5">
        <f>SUMIFS(Table4[BudgetAmount],Table4[ActualExpense],"pending")</f>
        <v>0</v>
      </c>
    </row>
    <row r="693" spans="1:18">
      <c r="A693" t="s">
        <v>1224</v>
      </c>
      <c r="B693" t="s">
        <v>144</v>
      </c>
      <c r="C693" t="s">
        <v>15</v>
      </c>
      <c r="D693" t="s">
        <v>40</v>
      </c>
      <c r="E693" t="s">
        <v>85</v>
      </c>
      <c r="F693" t="s">
        <v>86</v>
      </c>
      <c r="G693" s="2">
        <v>281734</v>
      </c>
      <c r="H693" s="1">
        <v>291339</v>
      </c>
      <c r="I693">
        <v>9605</v>
      </c>
      <c r="J693" t="s">
        <v>19</v>
      </c>
      <c r="K693" t="s">
        <v>41</v>
      </c>
      <c r="L693" t="s">
        <v>21</v>
      </c>
      <c r="M693" t="s">
        <v>42</v>
      </c>
      <c r="N693" s="5">
        <f>Table4[[#This Row],[BudgetAmount]]/Table4[[#This Row],[Variance]]</f>
        <v>29.332014575741802</v>
      </c>
      <c r="O693" s="5" t="str">
        <f>TEXT(Table4[[#This Row],[Date]],"mmm")</f>
        <v>Apr</v>
      </c>
      <c r="P693" s="5">
        <f>ABS(Table4[[#This Row],[Variance]])</f>
        <v>9605</v>
      </c>
      <c r="Q693" s="5" t="str">
        <f>IF(Table4[[#This Row],[AB Variances ]]&gt;$P$2,"Anomaly","Normal")</f>
        <v>Normal</v>
      </c>
      <c r="R693" s="5">
        <f>SUMIFS(Table4[BudgetAmount],Table4[ActualExpense],"pending")</f>
        <v>0</v>
      </c>
    </row>
    <row r="694" spans="1:18">
      <c r="A694" t="s">
        <v>1225</v>
      </c>
      <c r="B694" t="s">
        <v>760</v>
      </c>
      <c r="C694" t="s">
        <v>35</v>
      </c>
      <c r="D694" t="s">
        <v>34</v>
      </c>
      <c r="E694" t="s">
        <v>27</v>
      </c>
      <c r="F694" t="s">
        <v>28</v>
      </c>
      <c r="G694" s="2">
        <v>99846</v>
      </c>
      <c r="H694" s="1">
        <v>71275</v>
      </c>
      <c r="I694">
        <v>-28571</v>
      </c>
      <c r="J694" t="s">
        <v>37</v>
      </c>
      <c r="K694" t="s">
        <v>67</v>
      </c>
      <c r="L694" t="s">
        <v>21</v>
      </c>
      <c r="M694" t="s">
        <v>42</v>
      </c>
      <c r="N694" s="5">
        <f>Table4[[#This Row],[BudgetAmount]]/Table4[[#This Row],[Variance]]</f>
        <v>-3.494662419936299</v>
      </c>
      <c r="O694" s="5" t="str">
        <f>TEXT(Table4[[#This Row],[Date]],"mmm")</f>
        <v>Aug</v>
      </c>
      <c r="P694" s="5">
        <f>ABS(Table4[[#This Row],[Variance]])</f>
        <v>28571</v>
      </c>
      <c r="Q694" s="5" t="str">
        <f>IF(Table4[[#This Row],[AB Variances ]]&gt;$P$2,"Anomaly","Normal")</f>
        <v>Anomaly</v>
      </c>
      <c r="R694" s="5">
        <f>SUMIFS(Table4[BudgetAmount],Table4[ActualExpense],"pending")</f>
        <v>0</v>
      </c>
    </row>
    <row r="695" spans="1:18">
      <c r="A695" t="s">
        <v>1226</v>
      </c>
      <c r="B695" t="s">
        <v>1227</v>
      </c>
      <c r="C695" t="s">
        <v>35</v>
      </c>
      <c r="D695" t="s">
        <v>16</v>
      </c>
      <c r="E695" t="s">
        <v>17</v>
      </c>
      <c r="F695" t="s">
        <v>18</v>
      </c>
      <c r="G695" s="2">
        <v>284298</v>
      </c>
      <c r="H695" s="1">
        <v>224842</v>
      </c>
      <c r="I695">
        <v>-59456</v>
      </c>
      <c r="J695" t="s">
        <v>54</v>
      </c>
      <c r="K695" t="s">
        <v>20</v>
      </c>
      <c r="L695" t="s">
        <v>68</v>
      </c>
      <c r="M695" t="s">
        <v>42</v>
      </c>
      <c r="N695" s="5">
        <f>Table4[[#This Row],[BudgetAmount]]/Table4[[#This Row],[Variance]]</f>
        <v>-4.7816536598493</v>
      </c>
      <c r="O695" s="5" t="str">
        <f>TEXT(Table4[[#This Row],[Date]],"mmm")</f>
        <v>Nov</v>
      </c>
      <c r="P695" s="5">
        <f>ABS(Table4[[#This Row],[Variance]])</f>
        <v>59456</v>
      </c>
      <c r="Q695" s="5" t="str">
        <f>IF(Table4[[#This Row],[AB Variances ]]&gt;$P$2,"Anomaly","Normal")</f>
        <v>Anomaly</v>
      </c>
      <c r="R695" s="5">
        <f>SUMIFS(Table4[BudgetAmount],Table4[ActualExpense],"pending")</f>
        <v>0</v>
      </c>
    </row>
    <row r="696" spans="1:18">
      <c r="A696" t="s">
        <v>1228</v>
      </c>
      <c r="B696" t="s">
        <v>566</v>
      </c>
      <c r="C696" t="s">
        <v>25</v>
      </c>
      <c r="D696" t="s">
        <v>26</v>
      </c>
      <c r="E696" t="s">
        <v>46</v>
      </c>
      <c r="F696" t="s">
        <v>47</v>
      </c>
      <c r="G696" s="2">
        <v>415923</v>
      </c>
      <c r="H696" s="1">
        <v>446031</v>
      </c>
      <c r="I696">
        <v>30108</v>
      </c>
      <c r="J696" t="s">
        <v>54</v>
      </c>
      <c r="K696" t="s">
        <v>41</v>
      </c>
      <c r="L696" t="s">
        <v>30</v>
      </c>
      <c r="M696" t="s">
        <v>42</v>
      </c>
      <c r="N696" s="5">
        <f>Table4[[#This Row],[BudgetAmount]]/Table4[[#This Row],[Variance]]</f>
        <v>13.814368274212834</v>
      </c>
      <c r="O696" s="5" t="str">
        <f>TEXT(Table4[[#This Row],[Date]],"mmm")</f>
        <v>Dec</v>
      </c>
      <c r="P696" s="5">
        <f>ABS(Table4[[#This Row],[Variance]])</f>
        <v>30108</v>
      </c>
      <c r="Q696" s="5" t="str">
        <f>IF(Table4[[#This Row],[AB Variances ]]&gt;$P$2,"Anomaly","Normal")</f>
        <v>Anomaly</v>
      </c>
      <c r="R696" s="5">
        <f>SUMIFS(Table4[BudgetAmount],Table4[ActualExpense],"pending")</f>
        <v>0</v>
      </c>
    </row>
    <row r="697" spans="1:18">
      <c r="A697" t="s">
        <v>1229</v>
      </c>
      <c r="B697" t="s">
        <v>1023</v>
      </c>
      <c r="C697" t="s">
        <v>64</v>
      </c>
      <c r="D697" t="s">
        <v>34</v>
      </c>
      <c r="E697" t="s">
        <v>85</v>
      </c>
      <c r="F697" t="s">
        <v>86</v>
      </c>
      <c r="G697" s="2">
        <v>412810</v>
      </c>
      <c r="H697" s="1">
        <v>515273</v>
      </c>
      <c r="I697">
        <v>102463</v>
      </c>
      <c r="J697" t="s">
        <v>37</v>
      </c>
      <c r="K697" t="s">
        <v>67</v>
      </c>
      <c r="L697" t="s">
        <v>49</v>
      </c>
      <c r="M697" t="s">
        <v>42</v>
      </c>
      <c r="N697" s="5">
        <f>Table4[[#This Row],[BudgetAmount]]/Table4[[#This Row],[Variance]]</f>
        <v>4.0288689575749297</v>
      </c>
      <c r="O697" s="5" t="str">
        <f>TEXT(Table4[[#This Row],[Date]],"mmm")</f>
        <v>Jan</v>
      </c>
      <c r="P697" s="5">
        <f>ABS(Table4[[#This Row],[Variance]])</f>
        <v>102463</v>
      </c>
      <c r="Q697" s="5" t="str">
        <f>IF(Table4[[#This Row],[AB Variances ]]&gt;$P$2,"Anomaly","Normal")</f>
        <v>Anomaly</v>
      </c>
      <c r="R697" s="5">
        <f>SUMIFS(Table4[BudgetAmount],Table4[ActualExpense],"pending")</f>
        <v>0</v>
      </c>
    </row>
    <row r="698" spans="1:18">
      <c r="A698" t="s">
        <v>1230</v>
      </c>
      <c r="B698" t="s">
        <v>1231</v>
      </c>
      <c r="C698" t="s">
        <v>35</v>
      </c>
      <c r="D698" t="s">
        <v>26</v>
      </c>
      <c r="E698" t="s">
        <v>17</v>
      </c>
      <c r="F698" t="s">
        <v>18</v>
      </c>
      <c r="G698" s="2">
        <v>155582</v>
      </c>
      <c r="H698" s="1">
        <v>172008</v>
      </c>
      <c r="I698">
        <v>16426</v>
      </c>
      <c r="J698" t="s">
        <v>37</v>
      </c>
      <c r="K698" t="s">
        <v>29</v>
      </c>
      <c r="L698" t="s">
        <v>49</v>
      </c>
      <c r="M698" t="s">
        <v>22</v>
      </c>
      <c r="N698" s="5">
        <f>Table4[[#This Row],[BudgetAmount]]/Table4[[#This Row],[Variance]]</f>
        <v>9.4716912212346287</v>
      </c>
      <c r="O698" s="5" t="str">
        <f>TEXT(Table4[[#This Row],[Date]],"mmm")</f>
        <v>Jul</v>
      </c>
      <c r="P698" s="5">
        <f>ABS(Table4[[#This Row],[Variance]])</f>
        <v>16426</v>
      </c>
      <c r="Q698" s="5" t="str">
        <f>IF(Table4[[#This Row],[AB Variances ]]&gt;$P$2,"Anomaly","Normal")</f>
        <v>Normal</v>
      </c>
      <c r="R698" s="5">
        <f>SUMIFS(Table4[BudgetAmount],Table4[ActualExpense],"pending")</f>
        <v>0</v>
      </c>
    </row>
    <row r="699" spans="1:18">
      <c r="A699" t="s">
        <v>1232</v>
      </c>
      <c r="B699" t="s">
        <v>1233</v>
      </c>
      <c r="C699" t="s">
        <v>35</v>
      </c>
      <c r="D699" t="s">
        <v>61</v>
      </c>
      <c r="E699" t="s">
        <v>46</v>
      </c>
      <c r="F699" t="s">
        <v>47</v>
      </c>
      <c r="G699" s="2">
        <v>444561</v>
      </c>
      <c r="H699" s="1">
        <v>540848</v>
      </c>
      <c r="I699">
        <v>96287</v>
      </c>
      <c r="J699" t="s">
        <v>19</v>
      </c>
      <c r="K699" t="s">
        <v>29</v>
      </c>
      <c r="L699" t="s">
        <v>30</v>
      </c>
      <c r="M699" t="s">
        <v>22</v>
      </c>
      <c r="N699" s="5">
        <f>Table4[[#This Row],[BudgetAmount]]/Table4[[#This Row],[Variance]]</f>
        <v>4.6170407220081628</v>
      </c>
      <c r="O699" s="5" t="str">
        <f>TEXT(Table4[[#This Row],[Date]],"mmm")</f>
        <v>Jul</v>
      </c>
      <c r="P699" s="5">
        <f>ABS(Table4[[#This Row],[Variance]])</f>
        <v>96287</v>
      </c>
      <c r="Q699" s="5" t="str">
        <f>IF(Table4[[#This Row],[AB Variances ]]&gt;$P$2,"Anomaly","Normal")</f>
        <v>Anomaly</v>
      </c>
      <c r="R699" s="5">
        <f>SUMIFS(Table4[BudgetAmount],Table4[ActualExpense],"pending")</f>
        <v>0</v>
      </c>
    </row>
    <row r="700" spans="1:18">
      <c r="A700" t="s">
        <v>1234</v>
      </c>
      <c r="B700" t="s">
        <v>1235</v>
      </c>
      <c r="C700" t="s">
        <v>45</v>
      </c>
      <c r="D700" t="s">
        <v>34</v>
      </c>
      <c r="E700" t="s">
        <v>35</v>
      </c>
      <c r="F700" t="s">
        <v>36</v>
      </c>
      <c r="G700" s="2">
        <v>127855</v>
      </c>
      <c r="H700" s="1">
        <v>174456</v>
      </c>
      <c r="I700">
        <v>46601</v>
      </c>
      <c r="J700" t="s">
        <v>19</v>
      </c>
      <c r="K700" t="s">
        <v>67</v>
      </c>
      <c r="L700" t="s">
        <v>21</v>
      </c>
      <c r="M700" t="s">
        <v>42</v>
      </c>
      <c r="N700" s="5">
        <f>Table4[[#This Row],[BudgetAmount]]/Table4[[#This Row],[Variance]]</f>
        <v>2.7436106521319283</v>
      </c>
      <c r="O700" s="5" t="str">
        <f>TEXT(Table4[[#This Row],[Date]],"mmm")</f>
        <v>May</v>
      </c>
      <c r="P700" s="5">
        <f>ABS(Table4[[#This Row],[Variance]])</f>
        <v>46601</v>
      </c>
      <c r="Q700" s="5" t="str">
        <f>IF(Table4[[#This Row],[AB Variances ]]&gt;$P$2,"Anomaly","Normal")</f>
        <v>Anomaly</v>
      </c>
      <c r="R700" s="5">
        <f>SUMIFS(Table4[BudgetAmount],Table4[ActualExpense],"pending")</f>
        <v>0</v>
      </c>
    </row>
    <row r="701" spans="1:18">
      <c r="A701" t="s">
        <v>1236</v>
      </c>
      <c r="B701" t="s">
        <v>451</v>
      </c>
      <c r="C701" t="s">
        <v>35</v>
      </c>
      <c r="D701" t="s">
        <v>40</v>
      </c>
      <c r="E701" t="s">
        <v>71</v>
      </c>
      <c r="F701" t="s">
        <v>72</v>
      </c>
      <c r="G701" s="2">
        <v>430505</v>
      </c>
      <c r="H701" s="1">
        <v>478203</v>
      </c>
      <c r="I701">
        <v>47698</v>
      </c>
      <c r="J701" t="s">
        <v>37</v>
      </c>
      <c r="K701" t="s">
        <v>48</v>
      </c>
      <c r="L701" t="s">
        <v>49</v>
      </c>
      <c r="M701" t="s">
        <v>42</v>
      </c>
      <c r="N701" s="5">
        <f>Table4[[#This Row],[BudgetAmount]]/Table4[[#This Row],[Variance]]</f>
        <v>9.0256404880707795</v>
      </c>
      <c r="O701" s="5" t="str">
        <f>TEXT(Table4[[#This Row],[Date]],"mmm")</f>
        <v>Feb</v>
      </c>
      <c r="P701" s="5">
        <f>ABS(Table4[[#This Row],[Variance]])</f>
        <v>47698</v>
      </c>
      <c r="Q701" s="5" t="str">
        <f>IF(Table4[[#This Row],[AB Variances ]]&gt;$P$2,"Anomaly","Normal")</f>
        <v>Anomaly</v>
      </c>
      <c r="R701" s="5">
        <f>SUMIFS(Table4[BudgetAmount],Table4[ActualExpense],"pending")</f>
        <v>0</v>
      </c>
    </row>
    <row r="702" spans="1:18">
      <c r="A702" t="s">
        <v>1237</v>
      </c>
      <c r="B702" t="s">
        <v>826</v>
      </c>
      <c r="C702" t="s">
        <v>15</v>
      </c>
      <c r="D702" t="s">
        <v>26</v>
      </c>
      <c r="E702" t="s">
        <v>71</v>
      </c>
      <c r="F702" t="s">
        <v>72</v>
      </c>
      <c r="G702" s="2">
        <v>174987</v>
      </c>
      <c r="H702" s="1">
        <v>157781</v>
      </c>
      <c r="I702">
        <v>-17206</v>
      </c>
      <c r="J702" t="s">
        <v>54</v>
      </c>
      <c r="K702" t="s">
        <v>67</v>
      </c>
      <c r="L702" t="s">
        <v>30</v>
      </c>
      <c r="M702" t="s">
        <v>22</v>
      </c>
      <c r="N702" s="5">
        <f>Table4[[#This Row],[BudgetAmount]]/Table4[[#This Row],[Variance]]</f>
        <v>-10.170115076136231</v>
      </c>
      <c r="O702" s="5" t="str">
        <f>TEXT(Table4[[#This Row],[Date]],"mmm")</f>
        <v>Oct</v>
      </c>
      <c r="P702" s="5">
        <f>ABS(Table4[[#This Row],[Variance]])</f>
        <v>17206</v>
      </c>
      <c r="Q702" s="5" t="str">
        <f>IF(Table4[[#This Row],[AB Variances ]]&gt;$P$2,"Anomaly","Normal")</f>
        <v>Anomaly</v>
      </c>
      <c r="R702" s="5">
        <f>SUMIFS(Table4[BudgetAmount],Table4[ActualExpense],"pending")</f>
        <v>0</v>
      </c>
    </row>
    <row r="703" spans="1:18">
      <c r="A703" t="s">
        <v>1238</v>
      </c>
      <c r="B703" t="s">
        <v>1239</v>
      </c>
      <c r="C703" t="s">
        <v>45</v>
      </c>
      <c r="D703" t="s">
        <v>16</v>
      </c>
      <c r="E703" t="s">
        <v>17</v>
      </c>
      <c r="F703" t="s">
        <v>18</v>
      </c>
      <c r="G703" s="2">
        <v>242721</v>
      </c>
      <c r="H703" s="1">
        <v>210361</v>
      </c>
      <c r="I703">
        <v>-32360</v>
      </c>
      <c r="J703" t="s">
        <v>19</v>
      </c>
      <c r="K703" t="s">
        <v>41</v>
      </c>
      <c r="L703" t="s">
        <v>21</v>
      </c>
      <c r="M703" t="s">
        <v>42</v>
      </c>
      <c r="N703" s="5">
        <f>Table4[[#This Row],[BudgetAmount]]/Table4[[#This Row],[Variance]]</f>
        <v>-7.5006489493201487</v>
      </c>
      <c r="O703" s="5" t="str">
        <f>TEXT(Table4[[#This Row],[Date]],"mmm")</f>
        <v>Jan</v>
      </c>
      <c r="P703" s="5">
        <f>ABS(Table4[[#This Row],[Variance]])</f>
        <v>32360</v>
      </c>
      <c r="Q703" s="5" t="str">
        <f>IF(Table4[[#This Row],[AB Variances ]]&gt;$P$2,"Anomaly","Normal")</f>
        <v>Anomaly</v>
      </c>
      <c r="R703" s="5">
        <f>SUMIFS(Table4[BudgetAmount],Table4[ActualExpense],"pending")</f>
        <v>0</v>
      </c>
    </row>
    <row r="704" spans="1:18">
      <c r="A704" t="s">
        <v>1240</v>
      </c>
      <c r="B704" t="s">
        <v>497</v>
      </c>
      <c r="C704" t="s">
        <v>45</v>
      </c>
      <c r="D704" t="s">
        <v>16</v>
      </c>
      <c r="E704" t="s">
        <v>27</v>
      </c>
      <c r="F704" t="s">
        <v>28</v>
      </c>
      <c r="G704" s="2">
        <v>195744</v>
      </c>
      <c r="H704" s="1">
        <v>171036</v>
      </c>
      <c r="I704">
        <v>-24708</v>
      </c>
      <c r="J704" t="s">
        <v>19</v>
      </c>
      <c r="K704" t="s">
        <v>20</v>
      </c>
      <c r="L704" t="s">
        <v>21</v>
      </c>
      <c r="M704" t="s">
        <v>42</v>
      </c>
      <c r="N704" s="5">
        <f>Table4[[#This Row],[BudgetAmount]]/Table4[[#This Row],[Variance]]</f>
        <v>-7.9222923749392908</v>
      </c>
      <c r="O704" s="5" t="str">
        <f>TEXT(Table4[[#This Row],[Date]],"mmm")</f>
        <v>Apr</v>
      </c>
      <c r="P704" s="5">
        <f>ABS(Table4[[#This Row],[Variance]])</f>
        <v>24708</v>
      </c>
      <c r="Q704" s="5" t="str">
        <f>IF(Table4[[#This Row],[AB Variances ]]&gt;$P$2,"Anomaly","Normal")</f>
        <v>Anomaly</v>
      </c>
      <c r="R704" s="5">
        <f>SUMIFS(Table4[BudgetAmount],Table4[ActualExpense],"pending")</f>
        <v>0</v>
      </c>
    </row>
    <row r="705" spans="1:18">
      <c r="A705" t="s">
        <v>1241</v>
      </c>
      <c r="B705" t="s">
        <v>1242</v>
      </c>
      <c r="C705" t="s">
        <v>64</v>
      </c>
      <c r="D705" t="s">
        <v>40</v>
      </c>
      <c r="E705" t="s">
        <v>17</v>
      </c>
      <c r="F705" t="s">
        <v>18</v>
      </c>
      <c r="G705" s="2">
        <v>298340</v>
      </c>
      <c r="H705" s="1">
        <v>349924</v>
      </c>
      <c r="I705">
        <v>51584</v>
      </c>
      <c r="J705" t="s">
        <v>37</v>
      </c>
      <c r="K705" t="s">
        <v>29</v>
      </c>
      <c r="L705" t="s">
        <v>21</v>
      </c>
      <c r="M705" t="s">
        <v>22</v>
      </c>
      <c r="N705" s="5">
        <f>Table4[[#This Row],[BudgetAmount]]/Table4[[#This Row],[Variance]]</f>
        <v>5.7835763027295286</v>
      </c>
      <c r="O705" s="5" t="str">
        <f>TEXT(Table4[[#This Row],[Date]],"mmm")</f>
        <v>May</v>
      </c>
      <c r="P705" s="5">
        <f>ABS(Table4[[#This Row],[Variance]])</f>
        <v>51584</v>
      </c>
      <c r="Q705" s="5" t="str">
        <f>IF(Table4[[#This Row],[AB Variances ]]&gt;$P$2,"Anomaly","Normal")</f>
        <v>Anomaly</v>
      </c>
      <c r="R705" s="5">
        <f>SUMIFS(Table4[BudgetAmount],Table4[ActualExpense],"pending")</f>
        <v>0</v>
      </c>
    </row>
    <row r="706" spans="1:18">
      <c r="A706" t="s">
        <v>1243</v>
      </c>
      <c r="B706" t="s">
        <v>1244</v>
      </c>
      <c r="C706" t="s">
        <v>35</v>
      </c>
      <c r="D706" t="s">
        <v>26</v>
      </c>
      <c r="E706" t="s">
        <v>17</v>
      </c>
      <c r="F706" t="s">
        <v>18</v>
      </c>
      <c r="G706" s="2">
        <v>410880</v>
      </c>
      <c r="H706" s="1">
        <v>559501</v>
      </c>
      <c r="I706">
        <v>148621</v>
      </c>
      <c r="J706" t="s">
        <v>37</v>
      </c>
      <c r="K706" t="s">
        <v>29</v>
      </c>
      <c r="L706" t="s">
        <v>49</v>
      </c>
      <c r="M706" t="s">
        <v>22</v>
      </c>
      <c r="N706" s="5">
        <f>Table4[[#This Row],[BudgetAmount]]/Table4[[#This Row],[Variance]]</f>
        <v>2.7646160367646564</v>
      </c>
      <c r="O706" s="5" t="str">
        <f>TEXT(Table4[[#This Row],[Date]],"mmm")</f>
        <v>May</v>
      </c>
      <c r="P706" s="5">
        <f>ABS(Table4[[#This Row],[Variance]])</f>
        <v>148621</v>
      </c>
      <c r="Q706" s="5" t="str">
        <f>IF(Table4[[#This Row],[AB Variances ]]&gt;$P$2,"Anomaly","Normal")</f>
        <v>Anomaly</v>
      </c>
      <c r="R706" s="5">
        <f>SUMIFS(Table4[BudgetAmount],Table4[ActualExpense],"pending")</f>
        <v>0</v>
      </c>
    </row>
    <row r="707" spans="1:18">
      <c r="A707" t="s">
        <v>1245</v>
      </c>
      <c r="B707" t="s">
        <v>1246</v>
      </c>
      <c r="C707" t="s">
        <v>33</v>
      </c>
      <c r="D707" t="s">
        <v>34</v>
      </c>
      <c r="E707" t="s">
        <v>35</v>
      </c>
      <c r="F707" t="s">
        <v>36</v>
      </c>
      <c r="G707" s="2">
        <v>291565</v>
      </c>
      <c r="H707" s="1">
        <v>323697</v>
      </c>
      <c r="I707">
        <v>32132</v>
      </c>
      <c r="J707" t="s">
        <v>19</v>
      </c>
      <c r="K707" t="s">
        <v>29</v>
      </c>
      <c r="L707" t="s">
        <v>30</v>
      </c>
      <c r="M707" t="s">
        <v>42</v>
      </c>
      <c r="N707" s="5">
        <f>Table4[[#This Row],[BudgetAmount]]/Table4[[#This Row],[Variance]]</f>
        <v>9.0739760985933025</v>
      </c>
      <c r="O707" s="5" t="str">
        <f>TEXT(Table4[[#This Row],[Date]],"mmm")</f>
        <v>May</v>
      </c>
      <c r="P707" s="5">
        <f>ABS(Table4[[#This Row],[Variance]])</f>
        <v>32132</v>
      </c>
      <c r="Q707" s="5" t="str">
        <f>IF(Table4[[#This Row],[AB Variances ]]&gt;$P$2,"Anomaly","Normal")</f>
        <v>Anomaly</v>
      </c>
      <c r="R707" s="5">
        <f>SUMIFS(Table4[BudgetAmount],Table4[ActualExpense],"pending")</f>
        <v>0</v>
      </c>
    </row>
    <row r="708" spans="1:18">
      <c r="A708" t="s">
        <v>1247</v>
      </c>
      <c r="B708" t="s">
        <v>1248</v>
      </c>
      <c r="C708" t="s">
        <v>25</v>
      </c>
      <c r="D708" t="s">
        <v>61</v>
      </c>
      <c r="E708" t="s">
        <v>35</v>
      </c>
      <c r="F708" t="s">
        <v>36</v>
      </c>
      <c r="G708" s="2">
        <v>268710</v>
      </c>
      <c r="H708" s="1">
        <v>243658</v>
      </c>
      <c r="I708">
        <v>-25052</v>
      </c>
      <c r="J708" t="s">
        <v>37</v>
      </c>
      <c r="K708" t="s">
        <v>67</v>
      </c>
      <c r="L708" t="s">
        <v>49</v>
      </c>
      <c r="M708" t="s">
        <v>22</v>
      </c>
      <c r="N708" s="5">
        <f>Table4[[#This Row],[BudgetAmount]]/Table4[[#This Row],[Variance]]</f>
        <v>-10.726089733354623</v>
      </c>
      <c r="O708" s="5" t="str">
        <f>TEXT(Table4[[#This Row],[Date]],"mmm")</f>
        <v>Mar</v>
      </c>
      <c r="P708" s="5">
        <f>ABS(Table4[[#This Row],[Variance]])</f>
        <v>25052</v>
      </c>
      <c r="Q708" s="5" t="str">
        <f>IF(Table4[[#This Row],[AB Variances ]]&gt;$P$2,"Anomaly","Normal")</f>
        <v>Anomaly</v>
      </c>
      <c r="R708" s="5">
        <f>SUMIFS(Table4[BudgetAmount],Table4[ActualExpense],"pending")</f>
        <v>0</v>
      </c>
    </row>
    <row r="709" spans="1:18">
      <c r="A709" t="s">
        <v>1249</v>
      </c>
      <c r="B709" t="s">
        <v>1250</v>
      </c>
      <c r="C709" t="s">
        <v>33</v>
      </c>
      <c r="D709" t="s">
        <v>16</v>
      </c>
      <c r="E709" t="s">
        <v>46</v>
      </c>
      <c r="F709" t="s">
        <v>47</v>
      </c>
      <c r="G709" s="2">
        <v>351609</v>
      </c>
      <c r="H709" s="1">
        <v>307661</v>
      </c>
      <c r="I709">
        <v>-43948</v>
      </c>
      <c r="J709" t="s">
        <v>37</v>
      </c>
      <c r="K709" t="s">
        <v>48</v>
      </c>
      <c r="L709" t="s">
        <v>49</v>
      </c>
      <c r="M709" t="s">
        <v>42</v>
      </c>
      <c r="N709" s="5">
        <f>Table4[[#This Row],[BudgetAmount]]/Table4[[#This Row],[Variance]]</f>
        <v>-8.0005688541003011</v>
      </c>
      <c r="O709" s="5" t="str">
        <f>TEXT(Table4[[#This Row],[Date]],"mmm")</f>
        <v>Feb</v>
      </c>
      <c r="P709" s="5">
        <f>ABS(Table4[[#This Row],[Variance]])</f>
        <v>43948</v>
      </c>
      <c r="Q709" s="5" t="str">
        <f>IF(Table4[[#This Row],[AB Variances ]]&gt;$P$2,"Anomaly","Normal")</f>
        <v>Anomaly</v>
      </c>
      <c r="R709" s="5">
        <f>SUMIFS(Table4[BudgetAmount],Table4[ActualExpense],"pending")</f>
        <v>0</v>
      </c>
    </row>
    <row r="710" spans="1:18">
      <c r="A710" t="s">
        <v>1251</v>
      </c>
      <c r="B710" t="s">
        <v>1252</v>
      </c>
      <c r="C710" t="s">
        <v>25</v>
      </c>
      <c r="D710" t="s">
        <v>61</v>
      </c>
      <c r="E710" t="s">
        <v>27</v>
      </c>
      <c r="F710" t="s">
        <v>28</v>
      </c>
      <c r="G710" s="2">
        <v>288911</v>
      </c>
      <c r="H710" s="1">
        <v>238310</v>
      </c>
      <c r="I710">
        <v>-50601</v>
      </c>
      <c r="J710" t="s">
        <v>54</v>
      </c>
      <c r="K710" t="s">
        <v>20</v>
      </c>
      <c r="L710" t="s">
        <v>21</v>
      </c>
      <c r="M710" t="s">
        <v>22</v>
      </c>
      <c r="N710" s="5">
        <f>Table4[[#This Row],[BudgetAmount]]/Table4[[#This Row],[Variance]]</f>
        <v>-5.709590719550997</v>
      </c>
      <c r="O710" s="5" t="str">
        <f>TEXT(Table4[[#This Row],[Date]],"mmm")</f>
        <v>May</v>
      </c>
      <c r="P710" s="5">
        <f>ABS(Table4[[#This Row],[Variance]])</f>
        <v>50601</v>
      </c>
      <c r="Q710" s="5" t="str">
        <f>IF(Table4[[#This Row],[AB Variances ]]&gt;$P$2,"Anomaly","Normal")</f>
        <v>Anomaly</v>
      </c>
      <c r="R710" s="5">
        <f>SUMIFS(Table4[BudgetAmount],Table4[ActualExpense],"pending")</f>
        <v>0</v>
      </c>
    </row>
    <row r="711" spans="1:18">
      <c r="A711" t="s">
        <v>1253</v>
      </c>
      <c r="B711" t="s">
        <v>259</v>
      </c>
      <c r="C711" t="s">
        <v>45</v>
      </c>
      <c r="D711" t="s">
        <v>34</v>
      </c>
      <c r="E711" t="s">
        <v>71</v>
      </c>
      <c r="F711" t="s">
        <v>72</v>
      </c>
      <c r="G711" s="2">
        <v>279562</v>
      </c>
      <c r="H711" s="1">
        <v>240201</v>
      </c>
      <c r="I711">
        <v>-39361</v>
      </c>
      <c r="J711" t="s">
        <v>37</v>
      </c>
      <c r="K711" t="s">
        <v>41</v>
      </c>
      <c r="L711" t="s">
        <v>49</v>
      </c>
      <c r="M711" t="s">
        <v>42</v>
      </c>
      <c r="N711" s="5">
        <f>Table4[[#This Row],[BudgetAmount]]/Table4[[#This Row],[Variance]]</f>
        <v>-7.1025126394146492</v>
      </c>
      <c r="O711" s="5" t="str">
        <f>TEXT(Table4[[#This Row],[Date]],"mmm")</f>
        <v>Apr</v>
      </c>
      <c r="P711" s="5">
        <f>ABS(Table4[[#This Row],[Variance]])</f>
        <v>39361</v>
      </c>
      <c r="Q711" s="5" t="str">
        <f>IF(Table4[[#This Row],[AB Variances ]]&gt;$P$2,"Anomaly","Normal")</f>
        <v>Anomaly</v>
      </c>
      <c r="R711" s="5">
        <f>SUMIFS(Table4[BudgetAmount],Table4[ActualExpense],"pending")</f>
        <v>0</v>
      </c>
    </row>
    <row r="712" spans="1:18">
      <c r="A712" t="s">
        <v>1254</v>
      </c>
      <c r="B712" t="s">
        <v>1255</v>
      </c>
      <c r="C712" t="s">
        <v>64</v>
      </c>
      <c r="D712" t="s">
        <v>34</v>
      </c>
      <c r="E712" t="s">
        <v>85</v>
      </c>
      <c r="F712" t="s">
        <v>86</v>
      </c>
      <c r="G712" s="2">
        <v>151501</v>
      </c>
      <c r="H712" s="1">
        <v>130368</v>
      </c>
      <c r="I712">
        <v>-21133</v>
      </c>
      <c r="J712" t="s">
        <v>19</v>
      </c>
      <c r="K712" t="s">
        <v>48</v>
      </c>
      <c r="L712" t="s">
        <v>21</v>
      </c>
      <c r="M712" t="s">
        <v>22</v>
      </c>
      <c r="N712" s="5">
        <f>Table4[[#This Row],[BudgetAmount]]/Table4[[#This Row],[Variance]]</f>
        <v>-7.168930109307718</v>
      </c>
      <c r="O712" s="5" t="str">
        <f>TEXT(Table4[[#This Row],[Date]],"mmm")</f>
        <v>Aug</v>
      </c>
      <c r="P712" s="5">
        <f>ABS(Table4[[#This Row],[Variance]])</f>
        <v>21133</v>
      </c>
      <c r="Q712" s="5" t="str">
        <f>IF(Table4[[#This Row],[AB Variances ]]&gt;$P$2,"Anomaly","Normal")</f>
        <v>Anomaly</v>
      </c>
      <c r="R712" s="5">
        <f>SUMIFS(Table4[BudgetAmount],Table4[ActualExpense],"pending")</f>
        <v>0</v>
      </c>
    </row>
    <row r="713" spans="1:18">
      <c r="A713" t="s">
        <v>1256</v>
      </c>
      <c r="B713" t="s">
        <v>919</v>
      </c>
      <c r="C713" t="s">
        <v>25</v>
      </c>
      <c r="D713" t="s">
        <v>16</v>
      </c>
      <c r="E713" t="s">
        <v>85</v>
      </c>
      <c r="F713" t="s">
        <v>86</v>
      </c>
      <c r="G713" s="2">
        <v>212343</v>
      </c>
      <c r="H713" s="1">
        <v>155331</v>
      </c>
      <c r="I713">
        <v>-57012</v>
      </c>
      <c r="J713" t="s">
        <v>54</v>
      </c>
      <c r="K713" t="s">
        <v>41</v>
      </c>
      <c r="L713" t="s">
        <v>49</v>
      </c>
      <c r="M713" t="s">
        <v>22</v>
      </c>
      <c r="N713" s="5">
        <f>Table4[[#This Row],[BudgetAmount]]/Table4[[#This Row],[Variance]]</f>
        <v>-3.7245316775415702</v>
      </c>
      <c r="O713" s="5" t="str">
        <f>TEXT(Table4[[#This Row],[Date]],"mmm")</f>
        <v>Mar</v>
      </c>
      <c r="P713" s="5">
        <f>ABS(Table4[[#This Row],[Variance]])</f>
        <v>57012</v>
      </c>
      <c r="Q713" s="5" t="str">
        <f>IF(Table4[[#This Row],[AB Variances ]]&gt;$P$2,"Anomaly","Normal")</f>
        <v>Anomaly</v>
      </c>
      <c r="R713" s="5">
        <f>SUMIFS(Table4[BudgetAmount],Table4[ActualExpense],"pending")</f>
        <v>0</v>
      </c>
    </row>
    <row r="714" spans="1:18">
      <c r="A714" t="s">
        <v>1257</v>
      </c>
      <c r="B714" t="s">
        <v>335</v>
      </c>
      <c r="C714" t="s">
        <v>25</v>
      </c>
      <c r="D714" t="s">
        <v>34</v>
      </c>
      <c r="E714" t="s">
        <v>27</v>
      </c>
      <c r="F714" t="s">
        <v>28</v>
      </c>
      <c r="G714" s="2">
        <v>179480</v>
      </c>
      <c r="H714" s="1">
        <v>236000</v>
      </c>
      <c r="I714">
        <v>56520</v>
      </c>
      <c r="J714" t="s">
        <v>54</v>
      </c>
      <c r="K714" t="s">
        <v>20</v>
      </c>
      <c r="L714" t="s">
        <v>68</v>
      </c>
      <c r="M714" t="s">
        <v>22</v>
      </c>
      <c r="N714" s="5">
        <f>Table4[[#This Row],[BudgetAmount]]/Table4[[#This Row],[Variance]]</f>
        <v>3.175513092710545</v>
      </c>
      <c r="O714" s="5" t="str">
        <f>TEXT(Table4[[#This Row],[Date]],"mmm")</f>
        <v>Jul</v>
      </c>
      <c r="P714" s="5">
        <f>ABS(Table4[[#This Row],[Variance]])</f>
        <v>56520</v>
      </c>
      <c r="Q714" s="5" t="str">
        <f>IF(Table4[[#This Row],[AB Variances ]]&gt;$P$2,"Anomaly","Normal")</f>
        <v>Anomaly</v>
      </c>
      <c r="R714" s="5">
        <f>SUMIFS(Table4[BudgetAmount],Table4[ActualExpense],"pending")</f>
        <v>0</v>
      </c>
    </row>
    <row r="715" spans="1:18">
      <c r="A715" t="s">
        <v>1258</v>
      </c>
      <c r="B715" t="s">
        <v>1259</v>
      </c>
      <c r="C715" t="s">
        <v>64</v>
      </c>
      <c r="D715" t="s">
        <v>16</v>
      </c>
      <c r="E715" t="s">
        <v>17</v>
      </c>
      <c r="F715" t="s">
        <v>18</v>
      </c>
      <c r="G715" s="2">
        <v>424130</v>
      </c>
      <c r="H715" s="1">
        <v>480789</v>
      </c>
      <c r="I715">
        <v>56659</v>
      </c>
      <c r="J715" t="s">
        <v>54</v>
      </c>
      <c r="K715" t="s">
        <v>41</v>
      </c>
      <c r="L715" t="s">
        <v>49</v>
      </c>
      <c r="M715" t="s">
        <v>42</v>
      </c>
      <c r="N715" s="5">
        <f>Table4[[#This Row],[BudgetAmount]]/Table4[[#This Row],[Variance]]</f>
        <v>7.4856598245645003</v>
      </c>
      <c r="O715" s="5" t="str">
        <f>TEXT(Table4[[#This Row],[Date]],"mmm")</f>
        <v>Jan</v>
      </c>
      <c r="P715" s="5">
        <f>ABS(Table4[[#This Row],[Variance]])</f>
        <v>56659</v>
      </c>
      <c r="Q715" s="5" t="str">
        <f>IF(Table4[[#This Row],[AB Variances ]]&gt;$P$2,"Anomaly","Normal")</f>
        <v>Anomaly</v>
      </c>
      <c r="R715" s="5">
        <f>SUMIFS(Table4[BudgetAmount],Table4[ActualExpense],"pending")</f>
        <v>0</v>
      </c>
    </row>
    <row r="716" spans="1:18">
      <c r="A716" t="s">
        <v>1260</v>
      </c>
      <c r="B716" t="s">
        <v>1261</v>
      </c>
      <c r="C716" t="s">
        <v>15</v>
      </c>
      <c r="D716" t="s">
        <v>61</v>
      </c>
      <c r="E716" t="s">
        <v>85</v>
      </c>
      <c r="F716" t="s">
        <v>86</v>
      </c>
      <c r="G716" s="2">
        <v>99410</v>
      </c>
      <c r="H716" s="1">
        <v>74260</v>
      </c>
      <c r="I716">
        <v>-25150</v>
      </c>
      <c r="J716" t="s">
        <v>37</v>
      </c>
      <c r="K716" t="s">
        <v>29</v>
      </c>
      <c r="L716" t="s">
        <v>68</v>
      </c>
      <c r="M716" t="s">
        <v>22</v>
      </c>
      <c r="N716" s="5">
        <f>Table4[[#This Row],[BudgetAmount]]/Table4[[#This Row],[Variance]]</f>
        <v>-3.9526838966202784</v>
      </c>
      <c r="O716" s="5" t="str">
        <f>TEXT(Table4[[#This Row],[Date]],"mmm")</f>
        <v>Jan</v>
      </c>
      <c r="P716" s="5">
        <f>ABS(Table4[[#This Row],[Variance]])</f>
        <v>25150</v>
      </c>
      <c r="Q716" s="5" t="str">
        <f>IF(Table4[[#This Row],[AB Variances ]]&gt;$P$2,"Anomaly","Normal")</f>
        <v>Anomaly</v>
      </c>
      <c r="R716" s="5">
        <f>SUMIFS(Table4[BudgetAmount],Table4[ActualExpense],"pending")</f>
        <v>0</v>
      </c>
    </row>
    <row r="717" spans="1:18">
      <c r="A717" t="s">
        <v>1262</v>
      </c>
      <c r="B717" t="s">
        <v>1263</v>
      </c>
      <c r="C717" t="s">
        <v>35</v>
      </c>
      <c r="D717" t="s">
        <v>26</v>
      </c>
      <c r="E717" t="s">
        <v>35</v>
      </c>
      <c r="F717" t="s">
        <v>36</v>
      </c>
      <c r="G717" s="2">
        <v>58200</v>
      </c>
      <c r="H717" s="1">
        <v>42019</v>
      </c>
      <c r="I717">
        <v>-16181</v>
      </c>
      <c r="J717" t="s">
        <v>54</v>
      </c>
      <c r="K717" t="s">
        <v>67</v>
      </c>
      <c r="L717" t="s">
        <v>21</v>
      </c>
      <c r="M717" t="s">
        <v>42</v>
      </c>
      <c r="N717" s="5">
        <f>Table4[[#This Row],[BudgetAmount]]/Table4[[#This Row],[Variance]]</f>
        <v>-3.596811074717261</v>
      </c>
      <c r="O717" s="5" t="str">
        <f>TEXT(Table4[[#This Row],[Date]],"mmm")</f>
        <v>Dec</v>
      </c>
      <c r="P717" s="5">
        <f>ABS(Table4[[#This Row],[Variance]])</f>
        <v>16181</v>
      </c>
      <c r="Q717" s="5" t="str">
        <f>IF(Table4[[#This Row],[AB Variances ]]&gt;$P$2,"Anomaly","Normal")</f>
        <v>Normal</v>
      </c>
      <c r="R717" s="5">
        <f>SUMIFS(Table4[BudgetAmount],Table4[ActualExpense],"pending")</f>
        <v>0</v>
      </c>
    </row>
    <row r="718" spans="1:18">
      <c r="A718" t="s">
        <v>1264</v>
      </c>
      <c r="B718" t="s">
        <v>1265</v>
      </c>
      <c r="C718" t="s">
        <v>64</v>
      </c>
      <c r="D718" t="s">
        <v>40</v>
      </c>
      <c r="E718" t="s">
        <v>46</v>
      </c>
      <c r="F718" t="s">
        <v>47</v>
      </c>
      <c r="G718" s="2">
        <v>91406</v>
      </c>
      <c r="H718" s="1">
        <v>75799</v>
      </c>
      <c r="I718">
        <v>-15607</v>
      </c>
      <c r="J718" t="s">
        <v>37</v>
      </c>
      <c r="K718" t="s">
        <v>20</v>
      </c>
      <c r="L718" t="s">
        <v>49</v>
      </c>
      <c r="M718" t="s">
        <v>42</v>
      </c>
      <c r="N718" s="5">
        <f>Table4[[#This Row],[BudgetAmount]]/Table4[[#This Row],[Variance]]</f>
        <v>-5.856730954059076</v>
      </c>
      <c r="O718" s="5" t="str">
        <f>TEXT(Table4[[#This Row],[Date]],"mmm")</f>
        <v>Oct</v>
      </c>
      <c r="P718" s="5">
        <f>ABS(Table4[[#This Row],[Variance]])</f>
        <v>15607</v>
      </c>
      <c r="Q718" s="5" t="str">
        <f>IF(Table4[[#This Row],[AB Variances ]]&gt;$P$2,"Anomaly","Normal")</f>
        <v>Normal</v>
      </c>
      <c r="R718" s="5">
        <f>SUMIFS(Table4[BudgetAmount],Table4[ActualExpense],"pending")</f>
        <v>0</v>
      </c>
    </row>
    <row r="719" spans="1:18">
      <c r="A719" t="s">
        <v>1266</v>
      </c>
      <c r="B719" t="s">
        <v>1267</v>
      </c>
      <c r="C719" t="s">
        <v>33</v>
      </c>
      <c r="D719" t="s">
        <v>34</v>
      </c>
      <c r="E719" t="s">
        <v>35</v>
      </c>
      <c r="F719" t="s">
        <v>36</v>
      </c>
      <c r="G719" s="2">
        <v>321299</v>
      </c>
      <c r="H719" s="1">
        <v>295282</v>
      </c>
      <c r="I719">
        <v>-26017</v>
      </c>
      <c r="J719" t="s">
        <v>37</v>
      </c>
      <c r="K719" t="s">
        <v>67</v>
      </c>
      <c r="L719" t="s">
        <v>49</v>
      </c>
      <c r="M719" t="s">
        <v>22</v>
      </c>
      <c r="N719" s="5">
        <f>Table4[[#This Row],[BudgetAmount]]/Table4[[#This Row],[Variance]]</f>
        <v>-12.349579121343737</v>
      </c>
      <c r="O719" s="5" t="str">
        <f>TEXT(Table4[[#This Row],[Date]],"mmm")</f>
        <v>Mar</v>
      </c>
      <c r="P719" s="5">
        <f>ABS(Table4[[#This Row],[Variance]])</f>
        <v>26017</v>
      </c>
      <c r="Q719" s="5" t="str">
        <f>IF(Table4[[#This Row],[AB Variances ]]&gt;$P$2,"Anomaly","Normal")</f>
        <v>Anomaly</v>
      </c>
      <c r="R719" s="5">
        <f>SUMIFS(Table4[BudgetAmount],Table4[ActualExpense],"pending")</f>
        <v>0</v>
      </c>
    </row>
    <row r="720" spans="1:18">
      <c r="A720" t="s">
        <v>1268</v>
      </c>
      <c r="B720" t="s">
        <v>1269</v>
      </c>
      <c r="C720" t="s">
        <v>45</v>
      </c>
      <c r="D720" t="s">
        <v>34</v>
      </c>
      <c r="E720" t="s">
        <v>71</v>
      </c>
      <c r="F720" t="s">
        <v>72</v>
      </c>
      <c r="G720" s="2">
        <v>399441</v>
      </c>
      <c r="H720" s="1">
        <v>404131</v>
      </c>
      <c r="I720">
        <v>4690</v>
      </c>
      <c r="J720" t="s">
        <v>37</v>
      </c>
      <c r="K720" t="s">
        <v>41</v>
      </c>
      <c r="L720" t="s">
        <v>21</v>
      </c>
      <c r="M720" t="s">
        <v>22</v>
      </c>
      <c r="N720" s="5">
        <f>Table4[[#This Row],[BudgetAmount]]/Table4[[#This Row],[Variance]]</f>
        <v>85.168656716417914</v>
      </c>
      <c r="O720" s="5" t="str">
        <f>TEXT(Table4[[#This Row],[Date]],"mmm")</f>
        <v>Jan</v>
      </c>
      <c r="P720" s="5">
        <f>ABS(Table4[[#This Row],[Variance]])</f>
        <v>4690</v>
      </c>
      <c r="Q720" s="5" t="str">
        <f>IF(Table4[[#This Row],[AB Variances ]]&gt;$P$2,"Anomaly","Normal")</f>
        <v>Normal</v>
      </c>
      <c r="R720" s="5">
        <f>SUMIFS(Table4[BudgetAmount],Table4[ActualExpense],"pending")</f>
        <v>0</v>
      </c>
    </row>
    <row r="721" spans="1:18">
      <c r="A721" t="s">
        <v>1270</v>
      </c>
      <c r="B721" t="s">
        <v>1008</v>
      </c>
      <c r="C721" t="s">
        <v>45</v>
      </c>
      <c r="D721" t="s">
        <v>40</v>
      </c>
      <c r="E721" t="s">
        <v>27</v>
      </c>
      <c r="F721" t="s">
        <v>28</v>
      </c>
      <c r="G721" s="2">
        <v>311737</v>
      </c>
      <c r="H721" s="1">
        <v>426079</v>
      </c>
      <c r="I721">
        <v>114342</v>
      </c>
      <c r="J721" t="s">
        <v>54</v>
      </c>
      <c r="K721" t="s">
        <v>29</v>
      </c>
      <c r="L721" t="s">
        <v>30</v>
      </c>
      <c r="M721" t="s">
        <v>22</v>
      </c>
      <c r="N721" s="5">
        <f>Table4[[#This Row],[BudgetAmount]]/Table4[[#This Row],[Variance]]</f>
        <v>2.7263560196603174</v>
      </c>
      <c r="O721" s="5" t="str">
        <f>TEXT(Table4[[#This Row],[Date]],"mmm")</f>
        <v>Oct</v>
      </c>
      <c r="P721" s="5">
        <f>ABS(Table4[[#This Row],[Variance]])</f>
        <v>114342</v>
      </c>
      <c r="Q721" s="5" t="str">
        <f>IF(Table4[[#This Row],[AB Variances ]]&gt;$P$2,"Anomaly","Normal")</f>
        <v>Anomaly</v>
      </c>
      <c r="R721" s="5">
        <f>SUMIFS(Table4[BudgetAmount],Table4[ActualExpense],"pending")</f>
        <v>0</v>
      </c>
    </row>
    <row r="722" spans="1:18">
      <c r="A722" t="s">
        <v>1271</v>
      </c>
      <c r="B722" t="s">
        <v>322</v>
      </c>
      <c r="C722" t="s">
        <v>15</v>
      </c>
      <c r="D722" t="s">
        <v>61</v>
      </c>
      <c r="E722" t="s">
        <v>17</v>
      </c>
      <c r="F722" t="s">
        <v>18</v>
      </c>
      <c r="G722" s="2">
        <v>248465</v>
      </c>
      <c r="H722" s="1">
        <v>226775</v>
      </c>
      <c r="I722">
        <v>-21690</v>
      </c>
      <c r="J722" t="s">
        <v>19</v>
      </c>
      <c r="K722" t="s">
        <v>67</v>
      </c>
      <c r="L722" t="s">
        <v>30</v>
      </c>
      <c r="M722" t="s">
        <v>42</v>
      </c>
      <c r="N722" s="5">
        <f>Table4[[#This Row],[BudgetAmount]]/Table4[[#This Row],[Variance]]</f>
        <v>-11.455278930382665</v>
      </c>
      <c r="O722" s="5" t="str">
        <f>TEXT(Table4[[#This Row],[Date]],"mmm")</f>
        <v>Mar</v>
      </c>
      <c r="P722" s="5">
        <f>ABS(Table4[[#This Row],[Variance]])</f>
        <v>21690</v>
      </c>
      <c r="Q722" s="5" t="str">
        <f>IF(Table4[[#This Row],[AB Variances ]]&gt;$P$2,"Anomaly","Normal")</f>
        <v>Anomaly</v>
      </c>
      <c r="R722" s="5">
        <f>SUMIFS(Table4[BudgetAmount],Table4[ActualExpense],"pending")</f>
        <v>0</v>
      </c>
    </row>
    <row r="723" spans="1:18">
      <c r="A723" t="s">
        <v>1272</v>
      </c>
      <c r="B723" t="s">
        <v>272</v>
      </c>
      <c r="C723" t="s">
        <v>25</v>
      </c>
      <c r="D723" t="s">
        <v>61</v>
      </c>
      <c r="E723" t="s">
        <v>46</v>
      </c>
      <c r="F723" t="s">
        <v>47</v>
      </c>
      <c r="G723" s="2">
        <v>402957</v>
      </c>
      <c r="H723" s="1">
        <v>552299</v>
      </c>
      <c r="I723">
        <v>149342</v>
      </c>
      <c r="J723" t="s">
        <v>37</v>
      </c>
      <c r="K723" t="s">
        <v>41</v>
      </c>
      <c r="L723" t="s">
        <v>49</v>
      </c>
      <c r="M723" t="s">
        <v>22</v>
      </c>
      <c r="N723" s="5">
        <f>Table4[[#This Row],[BudgetAmount]]/Table4[[#This Row],[Variance]]</f>
        <v>2.698216174954132</v>
      </c>
      <c r="O723" s="5" t="str">
        <f>TEXT(Table4[[#This Row],[Date]],"mmm")</f>
        <v>Sep</v>
      </c>
      <c r="P723" s="5">
        <f>ABS(Table4[[#This Row],[Variance]])</f>
        <v>149342</v>
      </c>
      <c r="Q723" s="5" t="str">
        <f>IF(Table4[[#This Row],[AB Variances ]]&gt;$P$2,"Anomaly","Normal")</f>
        <v>Anomaly</v>
      </c>
      <c r="R723" s="5">
        <f>SUMIFS(Table4[BudgetAmount],Table4[ActualExpense],"pending")</f>
        <v>0</v>
      </c>
    </row>
    <row r="724" spans="1:18">
      <c r="A724" t="s">
        <v>1273</v>
      </c>
      <c r="B724" t="s">
        <v>679</v>
      </c>
      <c r="C724" t="s">
        <v>33</v>
      </c>
      <c r="D724" t="s">
        <v>40</v>
      </c>
      <c r="E724" t="s">
        <v>46</v>
      </c>
      <c r="F724" t="s">
        <v>47</v>
      </c>
      <c r="G724" s="2">
        <v>272112</v>
      </c>
      <c r="H724" s="1">
        <v>365822</v>
      </c>
      <c r="I724">
        <v>93710</v>
      </c>
      <c r="J724" t="s">
        <v>54</v>
      </c>
      <c r="K724" t="s">
        <v>41</v>
      </c>
      <c r="L724" t="s">
        <v>49</v>
      </c>
      <c r="M724" t="s">
        <v>42</v>
      </c>
      <c r="N724" s="5">
        <f>Table4[[#This Row],[BudgetAmount]]/Table4[[#This Row],[Variance]]</f>
        <v>2.9037669405613062</v>
      </c>
      <c r="O724" s="5" t="str">
        <f>TEXT(Table4[[#This Row],[Date]],"mmm")</f>
        <v>Apr</v>
      </c>
      <c r="P724" s="5">
        <f>ABS(Table4[[#This Row],[Variance]])</f>
        <v>93710</v>
      </c>
      <c r="Q724" s="5" t="str">
        <f>IF(Table4[[#This Row],[AB Variances ]]&gt;$P$2,"Anomaly","Normal")</f>
        <v>Anomaly</v>
      </c>
      <c r="R724" s="5">
        <f>SUMIFS(Table4[BudgetAmount],Table4[ActualExpense],"pending")</f>
        <v>0</v>
      </c>
    </row>
    <row r="725" spans="1:18">
      <c r="A725" t="s">
        <v>1274</v>
      </c>
      <c r="B725" t="s">
        <v>533</v>
      </c>
      <c r="C725" t="s">
        <v>35</v>
      </c>
      <c r="D725" t="s">
        <v>16</v>
      </c>
      <c r="E725" t="s">
        <v>85</v>
      </c>
      <c r="F725" t="s">
        <v>86</v>
      </c>
      <c r="G725" s="2">
        <v>65066</v>
      </c>
      <c r="H725" s="1">
        <v>47814</v>
      </c>
      <c r="I725">
        <v>-17252</v>
      </c>
      <c r="J725" t="s">
        <v>19</v>
      </c>
      <c r="K725" t="s">
        <v>67</v>
      </c>
      <c r="L725" t="s">
        <v>49</v>
      </c>
      <c r="M725" t="s">
        <v>22</v>
      </c>
      <c r="N725" s="5">
        <f>Table4[[#This Row],[BudgetAmount]]/Table4[[#This Row],[Variance]]</f>
        <v>-3.7715047530721075</v>
      </c>
      <c r="O725" s="5" t="str">
        <f>TEXT(Table4[[#This Row],[Date]],"mmm")</f>
        <v>Apr</v>
      </c>
      <c r="P725" s="5">
        <f>ABS(Table4[[#This Row],[Variance]])</f>
        <v>17252</v>
      </c>
      <c r="Q725" s="5" t="str">
        <f>IF(Table4[[#This Row],[AB Variances ]]&gt;$P$2,"Anomaly","Normal")</f>
        <v>Anomaly</v>
      </c>
      <c r="R725" s="5">
        <f>SUMIFS(Table4[BudgetAmount],Table4[ActualExpense],"pending")</f>
        <v>0</v>
      </c>
    </row>
    <row r="726" spans="1:18">
      <c r="A726" t="s">
        <v>1275</v>
      </c>
      <c r="B726" t="s">
        <v>74</v>
      </c>
      <c r="C726" t="s">
        <v>15</v>
      </c>
      <c r="D726" t="s">
        <v>61</v>
      </c>
      <c r="E726" t="s">
        <v>46</v>
      </c>
      <c r="F726" t="s">
        <v>47</v>
      </c>
      <c r="G726" s="2">
        <v>78620</v>
      </c>
      <c r="H726" s="1">
        <v>106979</v>
      </c>
      <c r="I726">
        <v>28359</v>
      </c>
      <c r="J726" t="s">
        <v>54</v>
      </c>
      <c r="K726" t="s">
        <v>48</v>
      </c>
      <c r="L726" t="s">
        <v>68</v>
      </c>
      <c r="M726" t="s">
        <v>42</v>
      </c>
      <c r="N726" s="5">
        <f>Table4[[#This Row],[BudgetAmount]]/Table4[[#This Row],[Variance]]</f>
        <v>2.7723121407665996</v>
      </c>
      <c r="O726" s="5" t="str">
        <f>TEXT(Table4[[#This Row],[Date]],"mmm")</f>
        <v>Apr</v>
      </c>
      <c r="P726" s="5">
        <f>ABS(Table4[[#This Row],[Variance]])</f>
        <v>28359</v>
      </c>
      <c r="Q726" s="5" t="str">
        <f>IF(Table4[[#This Row],[AB Variances ]]&gt;$P$2,"Anomaly","Normal")</f>
        <v>Anomaly</v>
      </c>
      <c r="R726" s="5">
        <f>SUMIFS(Table4[BudgetAmount],Table4[ActualExpense],"pending")</f>
        <v>0</v>
      </c>
    </row>
    <row r="727" spans="1:18">
      <c r="A727" t="s">
        <v>1276</v>
      </c>
      <c r="B727" t="s">
        <v>1014</v>
      </c>
      <c r="C727" t="s">
        <v>33</v>
      </c>
      <c r="D727" t="s">
        <v>16</v>
      </c>
      <c r="E727" t="s">
        <v>17</v>
      </c>
      <c r="F727" t="s">
        <v>18</v>
      </c>
      <c r="G727" s="2">
        <v>62645</v>
      </c>
      <c r="H727" s="1">
        <v>54735</v>
      </c>
      <c r="I727">
        <v>-7910</v>
      </c>
      <c r="J727" t="s">
        <v>54</v>
      </c>
      <c r="K727" t="s">
        <v>48</v>
      </c>
      <c r="L727" t="s">
        <v>68</v>
      </c>
      <c r="M727" t="s">
        <v>22</v>
      </c>
      <c r="N727" s="5">
        <f>Table4[[#This Row],[BudgetAmount]]/Table4[[#This Row],[Variance]]</f>
        <v>-7.9197218710493047</v>
      </c>
      <c r="O727" s="5" t="str">
        <f>TEXT(Table4[[#This Row],[Date]],"mmm")</f>
        <v>Dec</v>
      </c>
      <c r="P727" s="5">
        <f>ABS(Table4[[#This Row],[Variance]])</f>
        <v>7910</v>
      </c>
      <c r="Q727" s="5" t="str">
        <f>IF(Table4[[#This Row],[AB Variances ]]&gt;$P$2,"Anomaly","Normal")</f>
        <v>Normal</v>
      </c>
      <c r="R727" s="5">
        <f>SUMIFS(Table4[BudgetAmount],Table4[ActualExpense],"pending")</f>
        <v>0</v>
      </c>
    </row>
    <row r="728" spans="1:18">
      <c r="A728" t="s">
        <v>1277</v>
      </c>
      <c r="B728" t="s">
        <v>1278</v>
      </c>
      <c r="C728" t="s">
        <v>25</v>
      </c>
      <c r="D728" t="s">
        <v>34</v>
      </c>
      <c r="E728" t="s">
        <v>85</v>
      </c>
      <c r="F728" t="s">
        <v>86</v>
      </c>
      <c r="G728" s="2">
        <v>284955</v>
      </c>
      <c r="H728" s="1">
        <v>360809</v>
      </c>
      <c r="I728">
        <v>75854</v>
      </c>
      <c r="J728" t="s">
        <v>54</v>
      </c>
      <c r="K728" t="s">
        <v>20</v>
      </c>
      <c r="L728" t="s">
        <v>30</v>
      </c>
      <c r="M728" t="s">
        <v>42</v>
      </c>
      <c r="N728" s="5">
        <f>Table4[[#This Row],[BudgetAmount]]/Table4[[#This Row],[Variance]]</f>
        <v>3.7566245682495318</v>
      </c>
      <c r="O728" s="5" t="str">
        <f>TEXT(Table4[[#This Row],[Date]],"mmm")</f>
        <v>Feb</v>
      </c>
      <c r="P728" s="5">
        <f>ABS(Table4[[#This Row],[Variance]])</f>
        <v>75854</v>
      </c>
      <c r="Q728" s="5" t="str">
        <f>IF(Table4[[#This Row],[AB Variances ]]&gt;$P$2,"Anomaly","Normal")</f>
        <v>Anomaly</v>
      </c>
      <c r="R728" s="5">
        <f>SUMIFS(Table4[BudgetAmount],Table4[ActualExpense],"pending")</f>
        <v>0</v>
      </c>
    </row>
    <row r="729" spans="1:18">
      <c r="A729" t="s">
        <v>1279</v>
      </c>
      <c r="B729" t="s">
        <v>249</v>
      </c>
      <c r="C729" t="s">
        <v>15</v>
      </c>
      <c r="D729" t="s">
        <v>40</v>
      </c>
      <c r="E729" t="s">
        <v>27</v>
      </c>
      <c r="F729" t="s">
        <v>28</v>
      </c>
      <c r="G729" s="2">
        <v>52814</v>
      </c>
      <c r="H729" s="1">
        <v>59029</v>
      </c>
      <c r="I729">
        <v>6215</v>
      </c>
      <c r="J729" t="s">
        <v>54</v>
      </c>
      <c r="K729" t="s">
        <v>67</v>
      </c>
      <c r="L729" t="s">
        <v>68</v>
      </c>
      <c r="M729" t="s">
        <v>42</v>
      </c>
      <c r="N729" s="5">
        <f>Table4[[#This Row],[BudgetAmount]]/Table4[[#This Row],[Variance]]</f>
        <v>8.4978278358809334</v>
      </c>
      <c r="O729" s="5" t="str">
        <f>TEXT(Table4[[#This Row],[Date]],"mmm")</f>
        <v>Aug</v>
      </c>
      <c r="P729" s="5">
        <f>ABS(Table4[[#This Row],[Variance]])</f>
        <v>6215</v>
      </c>
      <c r="Q729" s="5" t="str">
        <f>IF(Table4[[#This Row],[AB Variances ]]&gt;$P$2,"Anomaly","Normal")</f>
        <v>Normal</v>
      </c>
      <c r="R729" s="5">
        <f>SUMIFS(Table4[BudgetAmount],Table4[ActualExpense],"pending")</f>
        <v>0</v>
      </c>
    </row>
    <row r="730" spans="1:18">
      <c r="A730" t="s">
        <v>1280</v>
      </c>
      <c r="B730" t="s">
        <v>1281</v>
      </c>
      <c r="C730" t="s">
        <v>15</v>
      </c>
      <c r="D730" t="s">
        <v>61</v>
      </c>
      <c r="E730" t="s">
        <v>46</v>
      </c>
      <c r="F730" t="s">
        <v>47</v>
      </c>
      <c r="G730" s="2">
        <v>424414</v>
      </c>
      <c r="H730" s="1">
        <v>513062</v>
      </c>
      <c r="I730">
        <v>88648</v>
      </c>
      <c r="J730" t="s">
        <v>54</v>
      </c>
      <c r="K730" t="s">
        <v>67</v>
      </c>
      <c r="L730" t="s">
        <v>49</v>
      </c>
      <c r="M730" t="s">
        <v>42</v>
      </c>
      <c r="N730" s="5">
        <f>Table4[[#This Row],[BudgetAmount]]/Table4[[#This Row],[Variance]]</f>
        <v>4.7876319826730436</v>
      </c>
      <c r="O730" s="5" t="str">
        <f>TEXT(Table4[[#This Row],[Date]],"mmm")</f>
        <v>May</v>
      </c>
      <c r="P730" s="5">
        <f>ABS(Table4[[#This Row],[Variance]])</f>
        <v>88648</v>
      </c>
      <c r="Q730" s="5" t="str">
        <f>IF(Table4[[#This Row],[AB Variances ]]&gt;$P$2,"Anomaly","Normal")</f>
        <v>Anomaly</v>
      </c>
      <c r="R730" s="5">
        <f>SUMIFS(Table4[BudgetAmount],Table4[ActualExpense],"pending")</f>
        <v>0</v>
      </c>
    </row>
    <row r="731" spans="1:18">
      <c r="A731" t="s">
        <v>1282</v>
      </c>
      <c r="B731" t="s">
        <v>622</v>
      </c>
      <c r="C731" t="s">
        <v>35</v>
      </c>
      <c r="D731" t="s">
        <v>16</v>
      </c>
      <c r="E731" t="s">
        <v>85</v>
      </c>
      <c r="F731" t="s">
        <v>86</v>
      </c>
      <c r="G731" s="2">
        <v>133423</v>
      </c>
      <c r="H731" s="1">
        <v>125184</v>
      </c>
      <c r="I731">
        <v>-8239</v>
      </c>
      <c r="J731" t="s">
        <v>19</v>
      </c>
      <c r="K731" t="s">
        <v>41</v>
      </c>
      <c r="L731" t="s">
        <v>49</v>
      </c>
      <c r="M731" t="s">
        <v>42</v>
      </c>
      <c r="N731" s="5">
        <f>Table4[[#This Row],[BudgetAmount]]/Table4[[#This Row],[Variance]]</f>
        <v>-16.194076951086299</v>
      </c>
      <c r="O731" s="5" t="str">
        <f>TEXT(Table4[[#This Row],[Date]],"mmm")</f>
        <v>Sep</v>
      </c>
      <c r="P731" s="5">
        <f>ABS(Table4[[#This Row],[Variance]])</f>
        <v>8239</v>
      </c>
      <c r="Q731" s="5" t="str">
        <f>IF(Table4[[#This Row],[AB Variances ]]&gt;$P$2,"Anomaly","Normal")</f>
        <v>Normal</v>
      </c>
      <c r="R731" s="5">
        <f>SUMIFS(Table4[BudgetAmount],Table4[ActualExpense],"pending")</f>
        <v>0</v>
      </c>
    </row>
    <row r="732" spans="1:18">
      <c r="A732" t="s">
        <v>1283</v>
      </c>
      <c r="B732" t="s">
        <v>1284</v>
      </c>
      <c r="C732" t="s">
        <v>45</v>
      </c>
      <c r="D732" t="s">
        <v>26</v>
      </c>
      <c r="E732" t="s">
        <v>35</v>
      </c>
      <c r="F732" t="s">
        <v>36</v>
      </c>
      <c r="G732" s="2">
        <v>273673</v>
      </c>
      <c r="H732" s="1">
        <v>290085</v>
      </c>
      <c r="I732">
        <v>16412</v>
      </c>
      <c r="J732" t="s">
        <v>37</v>
      </c>
      <c r="K732" t="s">
        <v>48</v>
      </c>
      <c r="L732" t="s">
        <v>30</v>
      </c>
      <c r="M732" t="s">
        <v>42</v>
      </c>
      <c r="N732" s="5">
        <f>Table4[[#This Row],[BudgetAmount]]/Table4[[#This Row],[Variance]]</f>
        <v>16.675176699975626</v>
      </c>
      <c r="O732" s="5" t="str">
        <f>TEXT(Table4[[#This Row],[Date]],"mmm")</f>
        <v>Dec</v>
      </c>
      <c r="P732" s="5">
        <f>ABS(Table4[[#This Row],[Variance]])</f>
        <v>16412</v>
      </c>
      <c r="Q732" s="5" t="str">
        <f>IF(Table4[[#This Row],[AB Variances ]]&gt;$P$2,"Anomaly","Normal")</f>
        <v>Normal</v>
      </c>
      <c r="R732" s="5">
        <f>SUMIFS(Table4[BudgetAmount],Table4[ActualExpense],"pending")</f>
        <v>0</v>
      </c>
    </row>
    <row r="733" spans="1:18">
      <c r="A733" t="s">
        <v>1285</v>
      </c>
      <c r="B733" t="s">
        <v>1286</v>
      </c>
      <c r="C733" t="s">
        <v>15</v>
      </c>
      <c r="D733" t="s">
        <v>40</v>
      </c>
      <c r="E733" t="s">
        <v>85</v>
      </c>
      <c r="F733" t="s">
        <v>86</v>
      </c>
      <c r="G733" s="2">
        <v>463694</v>
      </c>
      <c r="H733" s="1">
        <v>344222</v>
      </c>
      <c r="I733">
        <v>-119472</v>
      </c>
      <c r="J733" t="s">
        <v>19</v>
      </c>
      <c r="K733" t="s">
        <v>41</v>
      </c>
      <c r="L733" t="s">
        <v>30</v>
      </c>
      <c r="M733" t="s">
        <v>42</v>
      </c>
      <c r="N733" s="5">
        <f>Table4[[#This Row],[BudgetAmount]]/Table4[[#This Row],[Variance]]</f>
        <v>-3.8811939199142897</v>
      </c>
      <c r="O733" s="5" t="str">
        <f>TEXT(Table4[[#This Row],[Date]],"mmm")</f>
        <v>Nov</v>
      </c>
      <c r="P733" s="5">
        <f>ABS(Table4[[#This Row],[Variance]])</f>
        <v>119472</v>
      </c>
      <c r="Q733" s="5" t="str">
        <f>IF(Table4[[#This Row],[AB Variances ]]&gt;$P$2,"Anomaly","Normal")</f>
        <v>Anomaly</v>
      </c>
      <c r="R733" s="5">
        <f>SUMIFS(Table4[BudgetAmount],Table4[ActualExpense],"pending")</f>
        <v>0</v>
      </c>
    </row>
    <row r="734" spans="1:18">
      <c r="A734" t="s">
        <v>1287</v>
      </c>
      <c r="B734" t="s">
        <v>1288</v>
      </c>
      <c r="C734" t="s">
        <v>35</v>
      </c>
      <c r="D734" t="s">
        <v>61</v>
      </c>
      <c r="E734" t="s">
        <v>35</v>
      </c>
      <c r="F734" t="s">
        <v>36</v>
      </c>
      <c r="G734" s="2">
        <v>313391</v>
      </c>
      <c r="H734" s="1">
        <v>392800</v>
      </c>
      <c r="I734">
        <v>79409</v>
      </c>
      <c r="J734" t="s">
        <v>37</v>
      </c>
      <c r="K734" t="s">
        <v>29</v>
      </c>
      <c r="L734" t="s">
        <v>49</v>
      </c>
      <c r="M734" t="s">
        <v>42</v>
      </c>
      <c r="N734" s="5">
        <f>Table4[[#This Row],[BudgetAmount]]/Table4[[#This Row],[Variance]]</f>
        <v>3.9465425833343826</v>
      </c>
      <c r="O734" s="5" t="str">
        <f>TEXT(Table4[[#This Row],[Date]],"mmm")</f>
        <v>Jun</v>
      </c>
      <c r="P734" s="5">
        <f>ABS(Table4[[#This Row],[Variance]])</f>
        <v>79409</v>
      </c>
      <c r="Q734" s="5" t="str">
        <f>IF(Table4[[#This Row],[AB Variances ]]&gt;$P$2,"Anomaly","Normal")</f>
        <v>Anomaly</v>
      </c>
      <c r="R734" s="5">
        <f>SUMIFS(Table4[BudgetAmount],Table4[ActualExpense],"pending")</f>
        <v>0</v>
      </c>
    </row>
    <row r="735" spans="1:18">
      <c r="A735" t="s">
        <v>1289</v>
      </c>
      <c r="B735" t="s">
        <v>559</v>
      </c>
      <c r="C735" t="s">
        <v>33</v>
      </c>
      <c r="D735" t="s">
        <v>34</v>
      </c>
      <c r="E735" t="s">
        <v>85</v>
      </c>
      <c r="F735" t="s">
        <v>86</v>
      </c>
      <c r="G735" s="2">
        <v>415978</v>
      </c>
      <c r="H735" s="1">
        <v>433898</v>
      </c>
      <c r="I735">
        <v>17920</v>
      </c>
      <c r="J735" t="s">
        <v>54</v>
      </c>
      <c r="K735" t="s">
        <v>48</v>
      </c>
      <c r="L735" t="s">
        <v>21</v>
      </c>
      <c r="M735" t="s">
        <v>22</v>
      </c>
      <c r="N735" s="5">
        <f>Table4[[#This Row],[BudgetAmount]]/Table4[[#This Row],[Variance]]</f>
        <v>23.213058035714287</v>
      </c>
      <c r="O735" s="5" t="str">
        <f>TEXT(Table4[[#This Row],[Date]],"mmm")</f>
        <v>Jun</v>
      </c>
      <c r="P735" s="5">
        <f>ABS(Table4[[#This Row],[Variance]])</f>
        <v>17920</v>
      </c>
      <c r="Q735" s="5" t="str">
        <f>IF(Table4[[#This Row],[AB Variances ]]&gt;$P$2,"Anomaly","Normal")</f>
        <v>Anomaly</v>
      </c>
      <c r="R735" s="5">
        <f>SUMIFS(Table4[BudgetAmount],Table4[ActualExpense],"pending")</f>
        <v>0</v>
      </c>
    </row>
    <row r="736" spans="1:18">
      <c r="A736" t="s">
        <v>1290</v>
      </c>
      <c r="B736" t="s">
        <v>719</v>
      </c>
      <c r="C736" t="s">
        <v>35</v>
      </c>
      <c r="D736" t="s">
        <v>61</v>
      </c>
      <c r="E736" t="s">
        <v>27</v>
      </c>
      <c r="F736" t="s">
        <v>28</v>
      </c>
      <c r="G736" s="2">
        <v>200197</v>
      </c>
      <c r="H736" s="1">
        <v>226247</v>
      </c>
      <c r="I736">
        <v>26050</v>
      </c>
      <c r="J736" t="s">
        <v>37</v>
      </c>
      <c r="K736" t="s">
        <v>48</v>
      </c>
      <c r="L736" t="s">
        <v>21</v>
      </c>
      <c r="M736" t="s">
        <v>42</v>
      </c>
      <c r="N736" s="5">
        <f>Table4[[#This Row],[BudgetAmount]]/Table4[[#This Row],[Variance]]</f>
        <v>7.6851055662188097</v>
      </c>
      <c r="O736" s="5" t="str">
        <f>TEXT(Table4[[#This Row],[Date]],"mmm")</f>
        <v>Jul</v>
      </c>
      <c r="P736" s="5">
        <f>ABS(Table4[[#This Row],[Variance]])</f>
        <v>26050</v>
      </c>
      <c r="Q736" s="5" t="str">
        <f>IF(Table4[[#This Row],[AB Variances ]]&gt;$P$2,"Anomaly","Normal")</f>
        <v>Anomaly</v>
      </c>
      <c r="R736" s="5">
        <f>SUMIFS(Table4[BudgetAmount],Table4[ActualExpense],"pending")</f>
        <v>0</v>
      </c>
    </row>
    <row r="737" spans="1:18">
      <c r="A737" t="s">
        <v>1291</v>
      </c>
      <c r="B737" t="s">
        <v>1292</v>
      </c>
      <c r="C737" t="s">
        <v>45</v>
      </c>
      <c r="D737" t="s">
        <v>16</v>
      </c>
      <c r="E737" t="s">
        <v>85</v>
      </c>
      <c r="F737" t="s">
        <v>86</v>
      </c>
      <c r="G737" s="2">
        <v>91049</v>
      </c>
      <c r="H737" s="1">
        <v>101640</v>
      </c>
      <c r="I737">
        <v>10591</v>
      </c>
      <c r="J737" t="s">
        <v>54</v>
      </c>
      <c r="K737" t="s">
        <v>48</v>
      </c>
      <c r="L737" t="s">
        <v>49</v>
      </c>
      <c r="M737" t="s">
        <v>42</v>
      </c>
      <c r="N737" s="5">
        <f>Table4[[#This Row],[BudgetAmount]]/Table4[[#This Row],[Variance]]</f>
        <v>8.5968274950429606</v>
      </c>
      <c r="O737" s="5" t="str">
        <f>TEXT(Table4[[#This Row],[Date]],"mmm")</f>
        <v>Aug</v>
      </c>
      <c r="P737" s="5">
        <f>ABS(Table4[[#This Row],[Variance]])</f>
        <v>10591</v>
      </c>
      <c r="Q737" s="5" t="str">
        <f>IF(Table4[[#This Row],[AB Variances ]]&gt;$P$2,"Anomaly","Normal")</f>
        <v>Normal</v>
      </c>
      <c r="R737" s="5">
        <f>SUMIFS(Table4[BudgetAmount],Table4[ActualExpense],"pending")</f>
        <v>0</v>
      </c>
    </row>
    <row r="738" spans="1:18">
      <c r="A738" t="s">
        <v>1293</v>
      </c>
      <c r="B738" t="s">
        <v>404</v>
      </c>
      <c r="C738" t="s">
        <v>35</v>
      </c>
      <c r="D738" t="s">
        <v>26</v>
      </c>
      <c r="E738" t="s">
        <v>35</v>
      </c>
      <c r="F738" t="s">
        <v>36</v>
      </c>
      <c r="G738" s="2">
        <v>313325</v>
      </c>
      <c r="H738" s="1">
        <v>248058</v>
      </c>
      <c r="I738">
        <v>-65267</v>
      </c>
      <c r="J738" t="s">
        <v>54</v>
      </c>
      <c r="K738" t="s">
        <v>48</v>
      </c>
      <c r="L738" t="s">
        <v>30</v>
      </c>
      <c r="M738" t="s">
        <v>22</v>
      </c>
      <c r="N738" s="5">
        <f>Table4[[#This Row],[BudgetAmount]]/Table4[[#This Row],[Variance]]</f>
        <v>-4.8006649608531111</v>
      </c>
      <c r="O738" s="5" t="str">
        <f>TEXT(Table4[[#This Row],[Date]],"mmm")</f>
        <v>Feb</v>
      </c>
      <c r="P738" s="5">
        <f>ABS(Table4[[#This Row],[Variance]])</f>
        <v>65267</v>
      </c>
      <c r="Q738" s="5" t="str">
        <f>IF(Table4[[#This Row],[AB Variances ]]&gt;$P$2,"Anomaly","Normal")</f>
        <v>Anomaly</v>
      </c>
      <c r="R738" s="5">
        <f>SUMIFS(Table4[BudgetAmount],Table4[ActualExpense],"pending")</f>
        <v>0</v>
      </c>
    </row>
    <row r="739" spans="1:18">
      <c r="A739" t="s">
        <v>1294</v>
      </c>
      <c r="B739" t="s">
        <v>357</v>
      </c>
      <c r="C739" t="s">
        <v>25</v>
      </c>
      <c r="D739" t="s">
        <v>61</v>
      </c>
      <c r="E739" t="s">
        <v>85</v>
      </c>
      <c r="F739" t="s">
        <v>86</v>
      </c>
      <c r="G739" s="2">
        <v>93581</v>
      </c>
      <c r="H739" s="1">
        <v>90158</v>
      </c>
      <c r="I739">
        <v>-3423</v>
      </c>
      <c r="J739" t="s">
        <v>37</v>
      </c>
      <c r="K739" t="s">
        <v>20</v>
      </c>
      <c r="L739" t="s">
        <v>30</v>
      </c>
      <c r="M739" t="s">
        <v>42</v>
      </c>
      <c r="N739" s="5">
        <f>Table4[[#This Row],[BudgetAmount]]/Table4[[#This Row],[Variance]]</f>
        <v>-27.338884019865613</v>
      </c>
      <c r="O739" s="5" t="str">
        <f>TEXT(Table4[[#This Row],[Date]],"mmm")</f>
        <v>May</v>
      </c>
      <c r="P739" s="5">
        <f>ABS(Table4[[#This Row],[Variance]])</f>
        <v>3423</v>
      </c>
      <c r="Q739" s="5" t="str">
        <f>IF(Table4[[#This Row],[AB Variances ]]&gt;$P$2,"Anomaly","Normal")</f>
        <v>Normal</v>
      </c>
      <c r="R739" s="5">
        <f>SUMIFS(Table4[BudgetAmount],Table4[ActualExpense],"pending")</f>
        <v>0</v>
      </c>
    </row>
    <row r="740" spans="1:18">
      <c r="A740" t="s">
        <v>1295</v>
      </c>
      <c r="B740" t="s">
        <v>456</v>
      </c>
      <c r="C740" t="s">
        <v>15</v>
      </c>
      <c r="D740" t="s">
        <v>16</v>
      </c>
      <c r="E740" t="s">
        <v>85</v>
      </c>
      <c r="F740" t="s">
        <v>86</v>
      </c>
      <c r="G740" s="2">
        <v>288929</v>
      </c>
      <c r="H740" s="1">
        <v>389646</v>
      </c>
      <c r="I740">
        <v>100717</v>
      </c>
      <c r="J740" t="s">
        <v>37</v>
      </c>
      <c r="K740" t="s">
        <v>67</v>
      </c>
      <c r="L740" t="s">
        <v>30</v>
      </c>
      <c r="M740" t="s">
        <v>42</v>
      </c>
      <c r="N740" s="5">
        <f>Table4[[#This Row],[BudgetAmount]]/Table4[[#This Row],[Variance]]</f>
        <v>2.8687212685048205</v>
      </c>
      <c r="O740" s="5" t="str">
        <f>TEXT(Table4[[#This Row],[Date]],"mmm")</f>
        <v>May</v>
      </c>
      <c r="P740" s="5">
        <f>ABS(Table4[[#This Row],[Variance]])</f>
        <v>100717</v>
      </c>
      <c r="Q740" s="5" t="str">
        <f>IF(Table4[[#This Row],[AB Variances ]]&gt;$P$2,"Anomaly","Normal")</f>
        <v>Anomaly</v>
      </c>
      <c r="R740" s="5">
        <f>SUMIFS(Table4[BudgetAmount],Table4[ActualExpense],"pending")</f>
        <v>0</v>
      </c>
    </row>
    <row r="741" spans="1:18">
      <c r="A741" t="s">
        <v>1296</v>
      </c>
      <c r="B741" t="s">
        <v>190</v>
      </c>
      <c r="C741" t="s">
        <v>15</v>
      </c>
      <c r="D741" t="s">
        <v>34</v>
      </c>
      <c r="E741" t="s">
        <v>71</v>
      </c>
      <c r="F741" t="s">
        <v>72</v>
      </c>
      <c r="G741" s="2">
        <v>385360</v>
      </c>
      <c r="H741" s="1">
        <v>279630</v>
      </c>
      <c r="I741">
        <v>-105730</v>
      </c>
      <c r="J741" t="s">
        <v>37</v>
      </c>
      <c r="K741" t="s">
        <v>29</v>
      </c>
      <c r="L741" t="s">
        <v>49</v>
      </c>
      <c r="M741" t="s">
        <v>42</v>
      </c>
      <c r="N741" s="5">
        <f>Table4[[#This Row],[BudgetAmount]]/Table4[[#This Row],[Variance]]</f>
        <v>-3.6447555093161825</v>
      </c>
      <c r="O741" s="5" t="str">
        <f>TEXT(Table4[[#This Row],[Date]],"mmm")</f>
        <v>Jan</v>
      </c>
      <c r="P741" s="5">
        <f>ABS(Table4[[#This Row],[Variance]])</f>
        <v>105730</v>
      </c>
      <c r="Q741" s="5" t="str">
        <f>IF(Table4[[#This Row],[AB Variances ]]&gt;$P$2,"Anomaly","Normal")</f>
        <v>Anomaly</v>
      </c>
      <c r="R741" s="5">
        <f>SUMIFS(Table4[BudgetAmount],Table4[ActualExpense],"pending")</f>
        <v>0</v>
      </c>
    </row>
    <row r="742" spans="1:18">
      <c r="A742" t="s">
        <v>1297</v>
      </c>
      <c r="B742" t="s">
        <v>92</v>
      </c>
      <c r="C742" t="s">
        <v>64</v>
      </c>
      <c r="D742" t="s">
        <v>16</v>
      </c>
      <c r="E742" t="s">
        <v>46</v>
      </c>
      <c r="F742" t="s">
        <v>47</v>
      </c>
      <c r="G742" s="2">
        <v>245835</v>
      </c>
      <c r="H742" s="1">
        <v>196412</v>
      </c>
      <c r="I742">
        <v>-49423</v>
      </c>
      <c r="J742" t="s">
        <v>19</v>
      </c>
      <c r="K742" t="s">
        <v>41</v>
      </c>
      <c r="L742" t="s">
        <v>49</v>
      </c>
      <c r="M742" t="s">
        <v>42</v>
      </c>
      <c r="N742" s="5">
        <f>Table4[[#This Row],[BudgetAmount]]/Table4[[#This Row],[Variance]]</f>
        <v>-4.9741011270056452</v>
      </c>
      <c r="O742" s="5" t="str">
        <f>TEXT(Table4[[#This Row],[Date]],"mmm")</f>
        <v>Apr</v>
      </c>
      <c r="P742" s="5">
        <f>ABS(Table4[[#This Row],[Variance]])</f>
        <v>49423</v>
      </c>
      <c r="Q742" s="5" t="str">
        <f>IF(Table4[[#This Row],[AB Variances ]]&gt;$P$2,"Anomaly","Normal")</f>
        <v>Anomaly</v>
      </c>
      <c r="R742" s="5">
        <f>SUMIFS(Table4[BudgetAmount],Table4[ActualExpense],"pending")</f>
        <v>0</v>
      </c>
    </row>
    <row r="743" spans="1:18">
      <c r="A743" t="s">
        <v>1298</v>
      </c>
      <c r="B743" t="s">
        <v>1246</v>
      </c>
      <c r="C743" t="s">
        <v>35</v>
      </c>
      <c r="D743" t="s">
        <v>26</v>
      </c>
      <c r="E743" t="s">
        <v>46</v>
      </c>
      <c r="F743" t="s">
        <v>47</v>
      </c>
      <c r="G743" s="2">
        <v>498748</v>
      </c>
      <c r="H743" s="1">
        <v>683888</v>
      </c>
      <c r="I743">
        <v>185140</v>
      </c>
      <c r="J743" t="s">
        <v>37</v>
      </c>
      <c r="K743" t="s">
        <v>41</v>
      </c>
      <c r="L743" t="s">
        <v>21</v>
      </c>
      <c r="M743" t="s">
        <v>22</v>
      </c>
      <c r="N743" s="5">
        <f>Table4[[#This Row],[BudgetAmount]]/Table4[[#This Row],[Variance]]</f>
        <v>2.6938965107486226</v>
      </c>
      <c r="O743" s="5" t="str">
        <f>TEXT(Table4[[#This Row],[Date]],"mmm")</f>
        <v>May</v>
      </c>
      <c r="P743" s="5">
        <f>ABS(Table4[[#This Row],[Variance]])</f>
        <v>185140</v>
      </c>
      <c r="Q743" s="5" t="str">
        <f>IF(Table4[[#This Row],[AB Variances ]]&gt;$P$2,"Anomaly","Normal")</f>
        <v>Anomaly</v>
      </c>
      <c r="R743" s="5">
        <f>SUMIFS(Table4[BudgetAmount],Table4[ActualExpense],"pending")</f>
        <v>0</v>
      </c>
    </row>
    <row r="744" spans="1:18">
      <c r="A744" t="s">
        <v>1299</v>
      </c>
      <c r="B744" t="s">
        <v>1300</v>
      </c>
      <c r="C744" t="s">
        <v>33</v>
      </c>
      <c r="D744" t="s">
        <v>61</v>
      </c>
      <c r="E744" t="s">
        <v>46</v>
      </c>
      <c r="F744" t="s">
        <v>47</v>
      </c>
      <c r="G744" s="2">
        <v>284357</v>
      </c>
      <c r="H744" s="1">
        <v>374895</v>
      </c>
      <c r="I744">
        <v>90538</v>
      </c>
      <c r="J744" t="s">
        <v>19</v>
      </c>
      <c r="K744" t="s">
        <v>67</v>
      </c>
      <c r="L744" t="s">
        <v>49</v>
      </c>
      <c r="M744" t="s">
        <v>42</v>
      </c>
      <c r="N744" s="5">
        <f>Table4[[#This Row],[BudgetAmount]]/Table4[[#This Row],[Variance]]</f>
        <v>3.1407475314232696</v>
      </c>
      <c r="O744" s="5" t="str">
        <f>TEXT(Table4[[#This Row],[Date]],"mmm")</f>
        <v>Jul</v>
      </c>
      <c r="P744" s="5">
        <f>ABS(Table4[[#This Row],[Variance]])</f>
        <v>90538</v>
      </c>
      <c r="Q744" s="5" t="str">
        <f>IF(Table4[[#This Row],[AB Variances ]]&gt;$P$2,"Anomaly","Normal")</f>
        <v>Anomaly</v>
      </c>
      <c r="R744" s="5">
        <f>SUMIFS(Table4[BudgetAmount],Table4[ActualExpense],"pending")</f>
        <v>0</v>
      </c>
    </row>
    <row r="745" spans="1:18">
      <c r="A745" t="s">
        <v>1301</v>
      </c>
      <c r="B745" t="s">
        <v>676</v>
      </c>
      <c r="C745" t="s">
        <v>35</v>
      </c>
      <c r="D745" t="s">
        <v>40</v>
      </c>
      <c r="E745" t="s">
        <v>27</v>
      </c>
      <c r="F745" t="s">
        <v>28</v>
      </c>
      <c r="G745" s="2">
        <v>278023</v>
      </c>
      <c r="H745" s="1">
        <v>373489</v>
      </c>
      <c r="I745">
        <v>95466</v>
      </c>
      <c r="J745" t="s">
        <v>19</v>
      </c>
      <c r="K745" t="s">
        <v>41</v>
      </c>
      <c r="L745" t="s">
        <v>68</v>
      </c>
      <c r="M745" t="s">
        <v>42</v>
      </c>
      <c r="N745" s="5">
        <f>Table4[[#This Row],[BudgetAmount]]/Table4[[#This Row],[Variance]]</f>
        <v>2.9122724320700564</v>
      </c>
      <c r="O745" s="5" t="str">
        <f>TEXT(Table4[[#This Row],[Date]],"mmm")</f>
        <v>Jul</v>
      </c>
      <c r="P745" s="5">
        <f>ABS(Table4[[#This Row],[Variance]])</f>
        <v>95466</v>
      </c>
      <c r="Q745" s="5" t="str">
        <f>IF(Table4[[#This Row],[AB Variances ]]&gt;$P$2,"Anomaly","Normal")</f>
        <v>Anomaly</v>
      </c>
      <c r="R745" s="5">
        <f>SUMIFS(Table4[BudgetAmount],Table4[ActualExpense],"pending")</f>
        <v>0</v>
      </c>
    </row>
    <row r="746" spans="1:18">
      <c r="A746" t="s">
        <v>1302</v>
      </c>
      <c r="B746" t="s">
        <v>1303</v>
      </c>
      <c r="C746" t="s">
        <v>35</v>
      </c>
      <c r="D746" t="s">
        <v>61</v>
      </c>
      <c r="E746" t="s">
        <v>46</v>
      </c>
      <c r="F746" t="s">
        <v>47</v>
      </c>
      <c r="G746" s="2">
        <v>63174</v>
      </c>
      <c r="H746" s="1">
        <v>58343</v>
      </c>
      <c r="I746">
        <v>-4831</v>
      </c>
      <c r="J746" t="s">
        <v>37</v>
      </c>
      <c r="K746" t="s">
        <v>29</v>
      </c>
      <c r="L746" t="s">
        <v>68</v>
      </c>
      <c r="M746" t="s">
        <v>22</v>
      </c>
      <c r="N746" s="5">
        <f>Table4[[#This Row],[BudgetAmount]]/Table4[[#This Row],[Variance]]</f>
        <v>-13.076795694473194</v>
      </c>
      <c r="O746" s="5" t="str">
        <f>TEXT(Table4[[#This Row],[Date]],"mmm")</f>
        <v>Jun</v>
      </c>
      <c r="P746" s="5">
        <f>ABS(Table4[[#This Row],[Variance]])</f>
        <v>4831</v>
      </c>
      <c r="Q746" s="5" t="str">
        <f>IF(Table4[[#This Row],[AB Variances ]]&gt;$P$2,"Anomaly","Normal")</f>
        <v>Normal</v>
      </c>
      <c r="R746" s="5">
        <f>SUMIFS(Table4[BudgetAmount],Table4[ActualExpense],"pending")</f>
        <v>0</v>
      </c>
    </row>
    <row r="747" spans="1:18">
      <c r="A747" t="s">
        <v>1304</v>
      </c>
      <c r="B747" t="s">
        <v>1305</v>
      </c>
      <c r="C747" t="s">
        <v>15</v>
      </c>
      <c r="D747" t="s">
        <v>40</v>
      </c>
      <c r="E747" t="s">
        <v>35</v>
      </c>
      <c r="F747" t="s">
        <v>36</v>
      </c>
      <c r="G747" s="2">
        <v>324720</v>
      </c>
      <c r="H747" s="1">
        <v>389189</v>
      </c>
      <c r="I747">
        <v>64469</v>
      </c>
      <c r="J747" t="s">
        <v>19</v>
      </c>
      <c r="K747" t="s">
        <v>48</v>
      </c>
      <c r="L747" t="s">
        <v>49</v>
      </c>
      <c r="M747" t="s">
        <v>22</v>
      </c>
      <c r="N747" s="5">
        <f>Table4[[#This Row],[BudgetAmount]]/Table4[[#This Row],[Variance]]</f>
        <v>5.0368394111898738</v>
      </c>
      <c r="O747" s="5" t="str">
        <f>TEXT(Table4[[#This Row],[Date]],"mmm")</f>
        <v>Oct</v>
      </c>
      <c r="P747" s="5">
        <f>ABS(Table4[[#This Row],[Variance]])</f>
        <v>64469</v>
      </c>
      <c r="Q747" s="5" t="str">
        <f>IF(Table4[[#This Row],[AB Variances ]]&gt;$P$2,"Anomaly","Normal")</f>
        <v>Anomaly</v>
      </c>
      <c r="R747" s="5">
        <f>SUMIFS(Table4[BudgetAmount],Table4[ActualExpense],"pending")</f>
        <v>0</v>
      </c>
    </row>
    <row r="748" spans="1:18">
      <c r="A748" t="s">
        <v>1306</v>
      </c>
      <c r="B748" t="s">
        <v>345</v>
      </c>
      <c r="C748" t="s">
        <v>35</v>
      </c>
      <c r="D748" t="s">
        <v>61</v>
      </c>
      <c r="E748" t="s">
        <v>71</v>
      </c>
      <c r="F748" t="s">
        <v>72</v>
      </c>
      <c r="G748" s="2">
        <v>127192</v>
      </c>
      <c r="H748" s="1">
        <v>111522</v>
      </c>
      <c r="I748">
        <v>-15670</v>
      </c>
      <c r="J748" t="s">
        <v>19</v>
      </c>
      <c r="K748" t="s">
        <v>48</v>
      </c>
      <c r="L748" t="s">
        <v>49</v>
      </c>
      <c r="M748" t="s">
        <v>22</v>
      </c>
      <c r="N748" s="5">
        <f>Table4[[#This Row],[BudgetAmount]]/Table4[[#This Row],[Variance]]</f>
        <v>-8.1169112954690483</v>
      </c>
      <c r="O748" s="5" t="str">
        <f>TEXT(Table4[[#This Row],[Date]],"mmm")</f>
        <v>Mar</v>
      </c>
      <c r="P748" s="5">
        <f>ABS(Table4[[#This Row],[Variance]])</f>
        <v>15670</v>
      </c>
      <c r="Q748" s="5" t="str">
        <f>IF(Table4[[#This Row],[AB Variances ]]&gt;$P$2,"Anomaly","Normal")</f>
        <v>Normal</v>
      </c>
      <c r="R748" s="5">
        <f>SUMIFS(Table4[BudgetAmount],Table4[ActualExpense],"pending")</f>
        <v>0</v>
      </c>
    </row>
    <row r="749" spans="1:18">
      <c r="A749" t="s">
        <v>1307</v>
      </c>
      <c r="B749" t="s">
        <v>1308</v>
      </c>
      <c r="C749" t="s">
        <v>35</v>
      </c>
      <c r="D749" t="s">
        <v>34</v>
      </c>
      <c r="E749" t="s">
        <v>85</v>
      </c>
      <c r="F749" t="s">
        <v>86</v>
      </c>
      <c r="G749" s="2">
        <v>447580</v>
      </c>
      <c r="H749" s="1">
        <v>580083</v>
      </c>
      <c r="I749">
        <v>132503</v>
      </c>
      <c r="J749" t="s">
        <v>54</v>
      </c>
      <c r="K749" t="s">
        <v>41</v>
      </c>
      <c r="L749" t="s">
        <v>49</v>
      </c>
      <c r="M749" t="s">
        <v>42</v>
      </c>
      <c r="N749" s="5">
        <f>Table4[[#This Row],[BudgetAmount]]/Table4[[#This Row],[Variance]]</f>
        <v>3.3778857837181047</v>
      </c>
      <c r="O749" s="5" t="str">
        <f>TEXT(Table4[[#This Row],[Date]],"mmm")</f>
        <v>Nov</v>
      </c>
      <c r="P749" s="5">
        <f>ABS(Table4[[#This Row],[Variance]])</f>
        <v>132503</v>
      </c>
      <c r="Q749" s="5" t="str">
        <f>IF(Table4[[#This Row],[AB Variances ]]&gt;$P$2,"Anomaly","Normal")</f>
        <v>Anomaly</v>
      </c>
      <c r="R749" s="5">
        <f>SUMIFS(Table4[BudgetAmount],Table4[ActualExpense],"pending")</f>
        <v>0</v>
      </c>
    </row>
    <row r="750" spans="1:18">
      <c r="A750" t="s">
        <v>1309</v>
      </c>
      <c r="B750" t="s">
        <v>508</v>
      </c>
      <c r="C750" t="s">
        <v>25</v>
      </c>
      <c r="D750" t="s">
        <v>61</v>
      </c>
      <c r="E750" t="s">
        <v>85</v>
      </c>
      <c r="F750" t="s">
        <v>86</v>
      </c>
      <c r="G750" s="2">
        <v>496598</v>
      </c>
      <c r="H750" s="1">
        <v>668995</v>
      </c>
      <c r="I750">
        <v>172397</v>
      </c>
      <c r="J750" t="s">
        <v>37</v>
      </c>
      <c r="K750" t="s">
        <v>29</v>
      </c>
      <c r="L750" t="s">
        <v>30</v>
      </c>
      <c r="M750" t="s">
        <v>42</v>
      </c>
      <c r="N750" s="5">
        <f>Table4[[#This Row],[BudgetAmount]]/Table4[[#This Row],[Variance]]</f>
        <v>2.8805489654692367</v>
      </c>
      <c r="O750" s="5" t="str">
        <f>TEXT(Table4[[#This Row],[Date]],"mmm")</f>
        <v>Jan</v>
      </c>
      <c r="P750" s="5">
        <f>ABS(Table4[[#This Row],[Variance]])</f>
        <v>172397</v>
      </c>
      <c r="Q750" s="5" t="str">
        <f>IF(Table4[[#This Row],[AB Variances ]]&gt;$P$2,"Anomaly","Normal")</f>
        <v>Anomaly</v>
      </c>
      <c r="R750" s="5">
        <f>SUMIFS(Table4[BudgetAmount],Table4[ActualExpense],"pending")</f>
        <v>0</v>
      </c>
    </row>
    <row r="751" spans="1:18">
      <c r="A751" t="s">
        <v>1310</v>
      </c>
      <c r="B751" t="s">
        <v>1311</v>
      </c>
      <c r="C751" t="s">
        <v>35</v>
      </c>
      <c r="D751" t="s">
        <v>40</v>
      </c>
      <c r="E751" t="s">
        <v>27</v>
      </c>
      <c r="F751" t="s">
        <v>28</v>
      </c>
      <c r="G751" s="2">
        <v>468775</v>
      </c>
      <c r="H751" s="1">
        <v>647257</v>
      </c>
      <c r="I751">
        <v>178482</v>
      </c>
      <c r="J751" t="s">
        <v>54</v>
      </c>
      <c r="K751" t="s">
        <v>48</v>
      </c>
      <c r="L751" t="s">
        <v>30</v>
      </c>
      <c r="M751" t="s">
        <v>42</v>
      </c>
      <c r="N751" s="5">
        <f>Table4[[#This Row],[BudgetAmount]]/Table4[[#This Row],[Variance]]</f>
        <v>2.6264553288286776</v>
      </c>
      <c r="O751" s="5" t="str">
        <f>TEXT(Table4[[#This Row],[Date]],"mmm")</f>
        <v>Oct</v>
      </c>
      <c r="P751" s="5">
        <f>ABS(Table4[[#This Row],[Variance]])</f>
        <v>178482</v>
      </c>
      <c r="Q751" s="5" t="str">
        <f>IF(Table4[[#This Row],[AB Variances ]]&gt;$P$2,"Anomaly","Normal")</f>
        <v>Anomaly</v>
      </c>
      <c r="R751" s="5">
        <f>SUMIFS(Table4[BudgetAmount],Table4[ActualExpense],"pending")</f>
        <v>0</v>
      </c>
    </row>
    <row r="752" spans="1:18">
      <c r="A752" t="s">
        <v>1312</v>
      </c>
      <c r="B752" t="s">
        <v>1281</v>
      </c>
      <c r="C752" t="s">
        <v>35</v>
      </c>
      <c r="D752" t="s">
        <v>34</v>
      </c>
      <c r="E752" t="s">
        <v>71</v>
      </c>
      <c r="F752" t="s">
        <v>72</v>
      </c>
      <c r="G752" s="2">
        <v>424768</v>
      </c>
      <c r="H752" s="1">
        <v>398413</v>
      </c>
      <c r="I752">
        <v>-26355</v>
      </c>
      <c r="J752" t="s">
        <v>19</v>
      </c>
      <c r="K752" t="s">
        <v>20</v>
      </c>
      <c r="L752" t="s">
        <v>21</v>
      </c>
      <c r="M752" t="s">
        <v>42</v>
      </c>
      <c r="N752" s="5">
        <f>Table4[[#This Row],[BudgetAmount]]/Table4[[#This Row],[Variance]]</f>
        <v>-16.117169417567823</v>
      </c>
      <c r="O752" s="5" t="str">
        <f>TEXT(Table4[[#This Row],[Date]],"mmm")</f>
        <v>May</v>
      </c>
      <c r="P752" s="5">
        <f>ABS(Table4[[#This Row],[Variance]])</f>
        <v>26355</v>
      </c>
      <c r="Q752" s="5" t="str">
        <f>IF(Table4[[#This Row],[AB Variances ]]&gt;$P$2,"Anomaly","Normal")</f>
        <v>Anomaly</v>
      </c>
      <c r="R752" s="5">
        <f>SUMIFS(Table4[BudgetAmount],Table4[ActualExpense],"pending")</f>
        <v>0</v>
      </c>
    </row>
    <row r="753" spans="1:18">
      <c r="A753" t="s">
        <v>1313</v>
      </c>
      <c r="B753" t="s">
        <v>1303</v>
      </c>
      <c r="C753" t="s">
        <v>33</v>
      </c>
      <c r="D753" t="s">
        <v>34</v>
      </c>
      <c r="E753" t="s">
        <v>35</v>
      </c>
      <c r="F753" t="s">
        <v>36</v>
      </c>
      <c r="G753" s="2">
        <v>244286</v>
      </c>
      <c r="H753" s="1">
        <v>201911</v>
      </c>
      <c r="I753">
        <v>-42375</v>
      </c>
      <c r="J753" t="s">
        <v>54</v>
      </c>
      <c r="K753" t="s">
        <v>20</v>
      </c>
      <c r="L753" t="s">
        <v>49</v>
      </c>
      <c r="M753" t="s">
        <v>42</v>
      </c>
      <c r="N753" s="5">
        <f>Table4[[#This Row],[BudgetAmount]]/Table4[[#This Row],[Variance]]</f>
        <v>-5.764861356932153</v>
      </c>
      <c r="O753" s="5" t="str">
        <f>TEXT(Table4[[#This Row],[Date]],"mmm")</f>
        <v>Jun</v>
      </c>
      <c r="P753" s="5">
        <f>ABS(Table4[[#This Row],[Variance]])</f>
        <v>42375</v>
      </c>
      <c r="Q753" s="5" t="str">
        <f>IF(Table4[[#This Row],[AB Variances ]]&gt;$P$2,"Anomaly","Normal")</f>
        <v>Anomaly</v>
      </c>
      <c r="R753" s="5">
        <f>SUMIFS(Table4[BudgetAmount],Table4[ActualExpense],"pending")</f>
        <v>0</v>
      </c>
    </row>
    <row r="754" spans="1:18">
      <c r="A754" t="s">
        <v>1314</v>
      </c>
      <c r="B754" t="s">
        <v>156</v>
      </c>
      <c r="C754" t="s">
        <v>15</v>
      </c>
      <c r="D754" t="s">
        <v>34</v>
      </c>
      <c r="E754" t="s">
        <v>17</v>
      </c>
      <c r="F754" t="s">
        <v>18</v>
      </c>
      <c r="G754" s="2">
        <v>259633</v>
      </c>
      <c r="H754" s="1">
        <v>324346</v>
      </c>
      <c r="I754">
        <v>64713</v>
      </c>
      <c r="J754" t="s">
        <v>19</v>
      </c>
      <c r="K754" t="s">
        <v>29</v>
      </c>
      <c r="L754" t="s">
        <v>68</v>
      </c>
      <c r="M754" t="s">
        <v>22</v>
      </c>
      <c r="N754" s="5">
        <f>Table4[[#This Row],[BudgetAmount]]/Table4[[#This Row],[Variance]]</f>
        <v>4.0120686724460306</v>
      </c>
      <c r="O754" s="5" t="str">
        <f>TEXT(Table4[[#This Row],[Date]],"mmm")</f>
        <v>May</v>
      </c>
      <c r="P754" s="5">
        <f>ABS(Table4[[#This Row],[Variance]])</f>
        <v>64713</v>
      </c>
      <c r="Q754" s="5" t="str">
        <f>IF(Table4[[#This Row],[AB Variances ]]&gt;$P$2,"Anomaly","Normal")</f>
        <v>Anomaly</v>
      </c>
      <c r="R754" s="5">
        <f>SUMIFS(Table4[BudgetAmount],Table4[ActualExpense],"pending")</f>
        <v>0</v>
      </c>
    </row>
    <row r="755" spans="1:18">
      <c r="A755" t="s">
        <v>1315</v>
      </c>
      <c r="B755" t="s">
        <v>1316</v>
      </c>
      <c r="C755" t="s">
        <v>45</v>
      </c>
      <c r="D755" t="s">
        <v>40</v>
      </c>
      <c r="E755" t="s">
        <v>71</v>
      </c>
      <c r="F755" t="s">
        <v>72</v>
      </c>
      <c r="G755" s="2">
        <v>455379</v>
      </c>
      <c r="H755" s="1">
        <v>483604</v>
      </c>
      <c r="I755">
        <v>28225</v>
      </c>
      <c r="J755" t="s">
        <v>54</v>
      </c>
      <c r="K755" t="s">
        <v>48</v>
      </c>
      <c r="L755" t="s">
        <v>68</v>
      </c>
      <c r="M755" t="s">
        <v>42</v>
      </c>
      <c r="N755" s="5">
        <f>Table4[[#This Row],[BudgetAmount]]/Table4[[#This Row],[Variance]]</f>
        <v>16.133888396811336</v>
      </c>
      <c r="O755" s="5" t="str">
        <f>TEXT(Table4[[#This Row],[Date]],"mmm")</f>
        <v>Aug</v>
      </c>
      <c r="P755" s="5">
        <f>ABS(Table4[[#This Row],[Variance]])</f>
        <v>28225</v>
      </c>
      <c r="Q755" s="5" t="str">
        <f>IF(Table4[[#This Row],[AB Variances ]]&gt;$P$2,"Anomaly","Normal")</f>
        <v>Anomaly</v>
      </c>
      <c r="R755" s="5">
        <f>SUMIFS(Table4[BudgetAmount],Table4[ActualExpense],"pending")</f>
        <v>0</v>
      </c>
    </row>
    <row r="756" spans="1:18">
      <c r="A756" t="s">
        <v>1317</v>
      </c>
      <c r="B756" t="s">
        <v>609</v>
      </c>
      <c r="C756" t="s">
        <v>45</v>
      </c>
      <c r="D756" t="s">
        <v>16</v>
      </c>
      <c r="E756" t="s">
        <v>35</v>
      </c>
      <c r="F756" t="s">
        <v>36</v>
      </c>
      <c r="G756" s="2">
        <v>368987</v>
      </c>
      <c r="H756" s="1">
        <v>471691</v>
      </c>
      <c r="I756">
        <v>102704</v>
      </c>
      <c r="J756" t="s">
        <v>19</v>
      </c>
      <c r="K756" t="s">
        <v>29</v>
      </c>
      <c r="L756" t="s">
        <v>21</v>
      </c>
      <c r="M756" t="s">
        <v>42</v>
      </c>
      <c r="N756" s="5">
        <f>Table4[[#This Row],[BudgetAmount]]/Table4[[#This Row],[Variance]]</f>
        <v>3.5927227761333542</v>
      </c>
      <c r="O756" s="5" t="str">
        <f>TEXT(Table4[[#This Row],[Date]],"mmm")</f>
        <v>Jun</v>
      </c>
      <c r="P756" s="5">
        <f>ABS(Table4[[#This Row],[Variance]])</f>
        <v>102704</v>
      </c>
      <c r="Q756" s="5" t="str">
        <f>IF(Table4[[#This Row],[AB Variances ]]&gt;$P$2,"Anomaly","Normal")</f>
        <v>Anomaly</v>
      </c>
      <c r="R756" s="5">
        <f>SUMIFS(Table4[BudgetAmount],Table4[ActualExpense],"pending")</f>
        <v>0</v>
      </c>
    </row>
    <row r="757" spans="1:18">
      <c r="A757" t="s">
        <v>1318</v>
      </c>
      <c r="B757" t="s">
        <v>229</v>
      </c>
      <c r="C757" t="s">
        <v>15</v>
      </c>
      <c r="D757" t="s">
        <v>61</v>
      </c>
      <c r="E757" t="s">
        <v>71</v>
      </c>
      <c r="F757" t="s">
        <v>72</v>
      </c>
      <c r="G757" s="2">
        <v>163269</v>
      </c>
      <c r="H757" s="1">
        <v>174096</v>
      </c>
      <c r="I757">
        <v>10827</v>
      </c>
      <c r="J757" t="s">
        <v>54</v>
      </c>
      <c r="K757" t="s">
        <v>29</v>
      </c>
      <c r="L757" t="s">
        <v>68</v>
      </c>
      <c r="M757" t="s">
        <v>22</v>
      </c>
      <c r="N757" s="5">
        <f>Table4[[#This Row],[BudgetAmount]]/Table4[[#This Row],[Variance]]</f>
        <v>15.079800498753118</v>
      </c>
      <c r="O757" s="5" t="str">
        <f>TEXT(Table4[[#This Row],[Date]],"mmm")</f>
        <v>Feb</v>
      </c>
      <c r="P757" s="5">
        <f>ABS(Table4[[#This Row],[Variance]])</f>
        <v>10827</v>
      </c>
      <c r="Q757" s="5" t="str">
        <f>IF(Table4[[#This Row],[AB Variances ]]&gt;$P$2,"Anomaly","Normal")</f>
        <v>Normal</v>
      </c>
      <c r="R757" s="5">
        <f>SUMIFS(Table4[BudgetAmount],Table4[ActualExpense],"pending")</f>
        <v>0</v>
      </c>
    </row>
    <row r="758" spans="1:18">
      <c r="A758" t="s">
        <v>1319</v>
      </c>
      <c r="B758" t="s">
        <v>546</v>
      </c>
      <c r="C758" t="s">
        <v>64</v>
      </c>
      <c r="D758" t="s">
        <v>34</v>
      </c>
      <c r="E758" t="s">
        <v>71</v>
      </c>
      <c r="F758" t="s">
        <v>72</v>
      </c>
      <c r="G758" s="2">
        <v>105930</v>
      </c>
      <c r="H758" s="1">
        <v>115283</v>
      </c>
      <c r="I758">
        <v>9353</v>
      </c>
      <c r="J758" t="s">
        <v>54</v>
      </c>
      <c r="K758" t="s">
        <v>67</v>
      </c>
      <c r="L758" t="s">
        <v>30</v>
      </c>
      <c r="M758" t="s">
        <v>22</v>
      </c>
      <c r="N758" s="5">
        <f>Table4[[#This Row],[BudgetAmount]]/Table4[[#This Row],[Variance]]</f>
        <v>11.325777825296695</v>
      </c>
      <c r="O758" s="5" t="str">
        <f>TEXT(Table4[[#This Row],[Date]],"mmm")</f>
        <v>Mar</v>
      </c>
      <c r="P758" s="5">
        <f>ABS(Table4[[#This Row],[Variance]])</f>
        <v>9353</v>
      </c>
      <c r="Q758" s="5" t="str">
        <f>IF(Table4[[#This Row],[AB Variances ]]&gt;$P$2,"Anomaly","Normal")</f>
        <v>Normal</v>
      </c>
      <c r="R758" s="5">
        <f>SUMIFS(Table4[BudgetAmount],Table4[ActualExpense],"pending")</f>
        <v>0</v>
      </c>
    </row>
    <row r="759" spans="1:18">
      <c r="A759" t="s">
        <v>1320</v>
      </c>
      <c r="B759" t="s">
        <v>780</v>
      </c>
      <c r="C759" t="s">
        <v>15</v>
      </c>
      <c r="D759" t="s">
        <v>61</v>
      </c>
      <c r="E759" t="s">
        <v>46</v>
      </c>
      <c r="F759" t="s">
        <v>47</v>
      </c>
      <c r="G759" s="2">
        <v>128697</v>
      </c>
      <c r="H759" s="1">
        <v>100676</v>
      </c>
      <c r="I759">
        <v>-28021</v>
      </c>
      <c r="J759" t="s">
        <v>37</v>
      </c>
      <c r="K759" t="s">
        <v>20</v>
      </c>
      <c r="L759" t="s">
        <v>21</v>
      </c>
      <c r="M759" t="s">
        <v>42</v>
      </c>
      <c r="N759" s="5">
        <f>Table4[[#This Row],[BudgetAmount]]/Table4[[#This Row],[Variance]]</f>
        <v>-4.5928767709931835</v>
      </c>
      <c r="O759" s="5" t="str">
        <f>TEXT(Table4[[#This Row],[Date]],"mmm")</f>
        <v>May</v>
      </c>
      <c r="P759" s="5">
        <f>ABS(Table4[[#This Row],[Variance]])</f>
        <v>28021</v>
      </c>
      <c r="Q759" s="5" t="str">
        <f>IF(Table4[[#This Row],[AB Variances ]]&gt;$P$2,"Anomaly","Normal")</f>
        <v>Anomaly</v>
      </c>
      <c r="R759" s="5">
        <f>SUMIFS(Table4[BudgetAmount],Table4[ActualExpense],"pending")</f>
        <v>0</v>
      </c>
    </row>
    <row r="760" spans="1:18">
      <c r="A760" t="s">
        <v>1321</v>
      </c>
      <c r="B760" t="s">
        <v>112</v>
      </c>
      <c r="C760" t="s">
        <v>45</v>
      </c>
      <c r="D760" t="s">
        <v>16</v>
      </c>
      <c r="E760" t="s">
        <v>27</v>
      </c>
      <c r="F760" t="s">
        <v>28</v>
      </c>
      <c r="G760" s="2">
        <v>52917</v>
      </c>
      <c r="H760" s="1">
        <v>61640</v>
      </c>
      <c r="I760">
        <v>8723</v>
      </c>
      <c r="J760" t="s">
        <v>19</v>
      </c>
      <c r="K760" t="s">
        <v>20</v>
      </c>
      <c r="L760" t="s">
        <v>21</v>
      </c>
      <c r="M760" t="s">
        <v>42</v>
      </c>
      <c r="N760" s="5">
        <f>Table4[[#This Row],[BudgetAmount]]/Table4[[#This Row],[Variance]]</f>
        <v>6.0663762467041158</v>
      </c>
      <c r="O760" s="5" t="str">
        <f>TEXT(Table4[[#This Row],[Date]],"mmm")</f>
        <v>Mar</v>
      </c>
      <c r="P760" s="5">
        <f>ABS(Table4[[#This Row],[Variance]])</f>
        <v>8723</v>
      </c>
      <c r="Q760" s="5" t="str">
        <f>IF(Table4[[#This Row],[AB Variances ]]&gt;$P$2,"Anomaly","Normal")</f>
        <v>Normal</v>
      </c>
      <c r="R760" s="5">
        <f>SUMIFS(Table4[BudgetAmount],Table4[ActualExpense],"pending")</f>
        <v>0</v>
      </c>
    </row>
    <row r="761" spans="1:18">
      <c r="A761" t="s">
        <v>1322</v>
      </c>
      <c r="B761" t="s">
        <v>1323</v>
      </c>
      <c r="C761" t="s">
        <v>35</v>
      </c>
      <c r="D761" t="s">
        <v>40</v>
      </c>
      <c r="E761" t="s">
        <v>17</v>
      </c>
      <c r="F761" t="s">
        <v>18</v>
      </c>
      <c r="G761" s="2">
        <v>378419</v>
      </c>
      <c r="H761" s="1">
        <v>287884</v>
      </c>
      <c r="I761">
        <v>-90535</v>
      </c>
      <c r="J761" t="s">
        <v>37</v>
      </c>
      <c r="K761" t="s">
        <v>41</v>
      </c>
      <c r="L761" t="s">
        <v>21</v>
      </c>
      <c r="M761" t="s">
        <v>22</v>
      </c>
      <c r="N761" s="5">
        <f>Table4[[#This Row],[BudgetAmount]]/Table4[[#This Row],[Variance]]</f>
        <v>-4.1798089136797927</v>
      </c>
      <c r="O761" s="5" t="str">
        <f>TEXT(Table4[[#This Row],[Date]],"mmm")</f>
        <v>Apr</v>
      </c>
      <c r="P761" s="5">
        <f>ABS(Table4[[#This Row],[Variance]])</f>
        <v>90535</v>
      </c>
      <c r="Q761" s="5" t="str">
        <f>IF(Table4[[#This Row],[AB Variances ]]&gt;$P$2,"Anomaly","Normal")</f>
        <v>Anomaly</v>
      </c>
      <c r="R761" s="5">
        <f>SUMIFS(Table4[BudgetAmount],Table4[ActualExpense],"pending")</f>
        <v>0</v>
      </c>
    </row>
    <row r="762" spans="1:18">
      <c r="A762" t="s">
        <v>1324</v>
      </c>
      <c r="B762" t="s">
        <v>767</v>
      </c>
      <c r="C762" t="s">
        <v>15</v>
      </c>
      <c r="D762" t="s">
        <v>34</v>
      </c>
      <c r="E762" t="s">
        <v>85</v>
      </c>
      <c r="F762" t="s">
        <v>86</v>
      </c>
      <c r="G762" s="2">
        <v>406200</v>
      </c>
      <c r="H762" s="1">
        <v>476411</v>
      </c>
      <c r="I762">
        <v>70211</v>
      </c>
      <c r="J762" t="s">
        <v>54</v>
      </c>
      <c r="K762" t="s">
        <v>20</v>
      </c>
      <c r="L762" t="s">
        <v>21</v>
      </c>
      <c r="M762" t="s">
        <v>22</v>
      </c>
      <c r="N762" s="5">
        <f>Table4[[#This Row],[BudgetAmount]]/Table4[[#This Row],[Variance]]</f>
        <v>5.7854182393072309</v>
      </c>
      <c r="O762" s="5" t="str">
        <f>TEXT(Table4[[#This Row],[Date]],"mmm")</f>
        <v>Sep</v>
      </c>
      <c r="P762" s="5">
        <f>ABS(Table4[[#This Row],[Variance]])</f>
        <v>70211</v>
      </c>
      <c r="Q762" s="5" t="str">
        <f>IF(Table4[[#This Row],[AB Variances ]]&gt;$P$2,"Anomaly","Normal")</f>
        <v>Anomaly</v>
      </c>
      <c r="R762" s="5">
        <f>SUMIFS(Table4[BudgetAmount],Table4[ActualExpense],"pending")</f>
        <v>0</v>
      </c>
    </row>
    <row r="763" spans="1:18">
      <c r="A763" t="s">
        <v>1325</v>
      </c>
      <c r="B763" t="s">
        <v>1326</v>
      </c>
      <c r="C763" t="s">
        <v>33</v>
      </c>
      <c r="D763" t="s">
        <v>26</v>
      </c>
      <c r="E763" t="s">
        <v>85</v>
      </c>
      <c r="F763" t="s">
        <v>86</v>
      </c>
      <c r="G763" s="2">
        <v>256369</v>
      </c>
      <c r="H763" s="1">
        <v>243644</v>
      </c>
      <c r="I763">
        <v>-12725</v>
      </c>
      <c r="J763" t="s">
        <v>54</v>
      </c>
      <c r="K763" t="s">
        <v>20</v>
      </c>
      <c r="L763" t="s">
        <v>49</v>
      </c>
      <c r="M763" t="s">
        <v>42</v>
      </c>
      <c r="N763" s="5">
        <f>Table4[[#This Row],[BudgetAmount]]/Table4[[#This Row],[Variance]]</f>
        <v>-20.146876227897838</v>
      </c>
      <c r="O763" s="5" t="str">
        <f>TEXT(Table4[[#This Row],[Date]],"mmm")</f>
        <v>Sep</v>
      </c>
      <c r="P763" s="5">
        <f>ABS(Table4[[#This Row],[Variance]])</f>
        <v>12725</v>
      </c>
      <c r="Q763" s="5" t="str">
        <f>IF(Table4[[#This Row],[AB Variances ]]&gt;$P$2,"Anomaly","Normal")</f>
        <v>Normal</v>
      </c>
      <c r="R763" s="5">
        <f>SUMIFS(Table4[BudgetAmount],Table4[ActualExpense],"pending")</f>
        <v>0</v>
      </c>
    </row>
    <row r="764" spans="1:18">
      <c r="A764" t="s">
        <v>1327</v>
      </c>
      <c r="B764" t="s">
        <v>586</v>
      </c>
      <c r="C764" t="s">
        <v>45</v>
      </c>
      <c r="D764" t="s">
        <v>40</v>
      </c>
      <c r="E764" t="s">
        <v>85</v>
      </c>
      <c r="F764" t="s">
        <v>86</v>
      </c>
      <c r="G764" s="2">
        <v>438565</v>
      </c>
      <c r="H764" s="1">
        <v>476474</v>
      </c>
      <c r="I764">
        <v>37909</v>
      </c>
      <c r="J764" t="s">
        <v>54</v>
      </c>
      <c r="K764" t="s">
        <v>29</v>
      </c>
      <c r="L764" t="s">
        <v>49</v>
      </c>
      <c r="M764" t="s">
        <v>22</v>
      </c>
      <c r="N764" s="5">
        <f>Table4[[#This Row],[BudgetAmount]]/Table4[[#This Row],[Variance]]</f>
        <v>11.568888654409243</v>
      </c>
      <c r="O764" s="5" t="str">
        <f>TEXT(Table4[[#This Row],[Date]],"mmm")</f>
        <v>Mar</v>
      </c>
      <c r="P764" s="5">
        <f>ABS(Table4[[#This Row],[Variance]])</f>
        <v>37909</v>
      </c>
      <c r="Q764" s="5" t="str">
        <f>IF(Table4[[#This Row],[AB Variances ]]&gt;$P$2,"Anomaly","Normal")</f>
        <v>Anomaly</v>
      </c>
      <c r="R764" s="5">
        <f>SUMIFS(Table4[BudgetAmount],Table4[ActualExpense],"pending")</f>
        <v>0</v>
      </c>
    </row>
    <row r="765" spans="1:18">
      <c r="A765" t="s">
        <v>1328</v>
      </c>
      <c r="B765" t="s">
        <v>1329</v>
      </c>
      <c r="C765" t="s">
        <v>45</v>
      </c>
      <c r="D765" t="s">
        <v>40</v>
      </c>
      <c r="E765" t="s">
        <v>85</v>
      </c>
      <c r="F765" t="s">
        <v>86</v>
      </c>
      <c r="G765" s="2">
        <v>383715</v>
      </c>
      <c r="H765" s="1">
        <v>475035</v>
      </c>
      <c r="I765">
        <v>91320</v>
      </c>
      <c r="J765" t="s">
        <v>54</v>
      </c>
      <c r="K765" t="s">
        <v>20</v>
      </c>
      <c r="L765" t="s">
        <v>30</v>
      </c>
      <c r="M765" t="s">
        <v>22</v>
      </c>
      <c r="N765" s="5">
        <f>Table4[[#This Row],[BudgetAmount]]/Table4[[#This Row],[Variance]]</f>
        <v>4.201872536136662</v>
      </c>
      <c r="O765" s="5" t="str">
        <f>TEXT(Table4[[#This Row],[Date]],"mmm")</f>
        <v>Jan</v>
      </c>
      <c r="P765" s="5">
        <f>ABS(Table4[[#This Row],[Variance]])</f>
        <v>91320</v>
      </c>
      <c r="Q765" s="5" t="str">
        <f>IF(Table4[[#This Row],[AB Variances ]]&gt;$P$2,"Anomaly","Normal")</f>
        <v>Anomaly</v>
      </c>
      <c r="R765" s="5">
        <f>SUMIFS(Table4[BudgetAmount],Table4[ActualExpense],"pending")</f>
        <v>0</v>
      </c>
    </row>
    <row r="766" spans="1:18">
      <c r="A766" t="s">
        <v>1330</v>
      </c>
      <c r="B766" t="s">
        <v>194</v>
      </c>
      <c r="C766" t="s">
        <v>35</v>
      </c>
      <c r="D766" t="s">
        <v>34</v>
      </c>
      <c r="E766" t="s">
        <v>46</v>
      </c>
      <c r="F766" t="s">
        <v>47</v>
      </c>
      <c r="G766" s="2">
        <v>282070</v>
      </c>
      <c r="H766" s="1">
        <v>266202</v>
      </c>
      <c r="I766">
        <v>-15868</v>
      </c>
      <c r="J766" t="s">
        <v>37</v>
      </c>
      <c r="K766" t="s">
        <v>48</v>
      </c>
      <c r="L766" t="s">
        <v>68</v>
      </c>
      <c r="M766" t="s">
        <v>22</v>
      </c>
      <c r="N766" s="5">
        <f>Table4[[#This Row],[BudgetAmount]]/Table4[[#This Row],[Variance]]</f>
        <v>-17.776027224602974</v>
      </c>
      <c r="O766" s="5" t="str">
        <f>TEXT(Table4[[#This Row],[Date]],"mmm")</f>
        <v>Feb</v>
      </c>
      <c r="P766" s="5">
        <f>ABS(Table4[[#This Row],[Variance]])</f>
        <v>15868</v>
      </c>
      <c r="Q766" s="5" t="str">
        <f>IF(Table4[[#This Row],[AB Variances ]]&gt;$P$2,"Anomaly","Normal")</f>
        <v>Normal</v>
      </c>
      <c r="R766" s="5">
        <f>SUMIFS(Table4[BudgetAmount],Table4[ActualExpense],"pending")</f>
        <v>0</v>
      </c>
    </row>
    <row r="767" spans="1:18">
      <c r="A767" t="s">
        <v>1331</v>
      </c>
      <c r="B767" t="s">
        <v>285</v>
      </c>
      <c r="C767" t="s">
        <v>45</v>
      </c>
      <c r="D767" t="s">
        <v>34</v>
      </c>
      <c r="E767" t="s">
        <v>17</v>
      </c>
      <c r="F767" t="s">
        <v>18</v>
      </c>
      <c r="G767" s="2">
        <v>289835</v>
      </c>
      <c r="H767" s="1">
        <v>308767</v>
      </c>
      <c r="I767">
        <v>18932</v>
      </c>
      <c r="J767" t="s">
        <v>19</v>
      </c>
      <c r="K767" t="s">
        <v>20</v>
      </c>
      <c r="L767" t="s">
        <v>21</v>
      </c>
      <c r="M767" t="s">
        <v>42</v>
      </c>
      <c r="N767" s="5">
        <f>Table4[[#This Row],[BudgetAmount]]/Table4[[#This Row],[Variance]]</f>
        <v>15.309264736953306</v>
      </c>
      <c r="O767" s="5" t="str">
        <f>TEXT(Table4[[#This Row],[Date]],"mmm")</f>
        <v>Mar</v>
      </c>
      <c r="P767" s="5">
        <f>ABS(Table4[[#This Row],[Variance]])</f>
        <v>18932</v>
      </c>
      <c r="Q767" s="5" t="str">
        <f>IF(Table4[[#This Row],[AB Variances ]]&gt;$P$2,"Anomaly","Normal")</f>
        <v>Anomaly</v>
      </c>
      <c r="R767" s="5">
        <f>SUMIFS(Table4[BudgetAmount],Table4[ActualExpense],"pending")</f>
        <v>0</v>
      </c>
    </row>
    <row r="768" spans="1:18">
      <c r="A768" t="s">
        <v>1332</v>
      </c>
      <c r="B768" t="s">
        <v>1239</v>
      </c>
      <c r="C768" t="s">
        <v>33</v>
      </c>
      <c r="D768" t="s">
        <v>40</v>
      </c>
      <c r="E768" t="s">
        <v>17</v>
      </c>
      <c r="F768" t="s">
        <v>18</v>
      </c>
      <c r="G768" s="2">
        <v>286931</v>
      </c>
      <c r="H768" s="1">
        <v>226827</v>
      </c>
      <c r="I768">
        <v>-60104</v>
      </c>
      <c r="J768" t="s">
        <v>54</v>
      </c>
      <c r="K768" t="s">
        <v>41</v>
      </c>
      <c r="L768" t="s">
        <v>21</v>
      </c>
      <c r="M768" t="s">
        <v>42</v>
      </c>
      <c r="N768" s="5">
        <f>Table4[[#This Row],[BudgetAmount]]/Table4[[#This Row],[Variance]]</f>
        <v>-4.7739085584986025</v>
      </c>
      <c r="O768" s="5" t="str">
        <f>TEXT(Table4[[#This Row],[Date]],"mmm")</f>
        <v>Jan</v>
      </c>
      <c r="P768" s="5">
        <f>ABS(Table4[[#This Row],[Variance]])</f>
        <v>60104</v>
      </c>
      <c r="Q768" s="5" t="str">
        <f>IF(Table4[[#This Row],[AB Variances ]]&gt;$P$2,"Anomaly","Normal")</f>
        <v>Anomaly</v>
      </c>
      <c r="R768" s="5">
        <f>SUMIFS(Table4[BudgetAmount],Table4[ActualExpense],"pending")</f>
        <v>0</v>
      </c>
    </row>
    <row r="769" spans="1:18">
      <c r="A769" t="s">
        <v>1333</v>
      </c>
      <c r="B769" t="s">
        <v>750</v>
      </c>
      <c r="C769" t="s">
        <v>45</v>
      </c>
      <c r="D769" t="s">
        <v>26</v>
      </c>
      <c r="E769" t="s">
        <v>17</v>
      </c>
      <c r="F769" t="s">
        <v>18</v>
      </c>
      <c r="G769" s="2">
        <v>427578</v>
      </c>
      <c r="H769" s="1">
        <v>519951</v>
      </c>
      <c r="I769">
        <v>92373</v>
      </c>
      <c r="J769" t="s">
        <v>37</v>
      </c>
      <c r="K769" t="s">
        <v>29</v>
      </c>
      <c r="L769" t="s">
        <v>30</v>
      </c>
      <c r="M769" t="s">
        <v>42</v>
      </c>
      <c r="N769" s="5">
        <f>Table4[[#This Row],[BudgetAmount]]/Table4[[#This Row],[Variance]]</f>
        <v>4.6288201097723363</v>
      </c>
      <c r="O769" s="5" t="str">
        <f>TEXT(Table4[[#This Row],[Date]],"mmm")</f>
        <v>Sep</v>
      </c>
      <c r="P769" s="5">
        <f>ABS(Table4[[#This Row],[Variance]])</f>
        <v>92373</v>
      </c>
      <c r="Q769" s="5" t="str">
        <f>IF(Table4[[#This Row],[AB Variances ]]&gt;$P$2,"Anomaly","Normal")</f>
        <v>Anomaly</v>
      </c>
      <c r="R769" s="5">
        <f>SUMIFS(Table4[BudgetAmount],Table4[ActualExpense],"pending")</f>
        <v>0</v>
      </c>
    </row>
    <row r="770" spans="1:18">
      <c r="A770" t="s">
        <v>1334</v>
      </c>
      <c r="B770" t="s">
        <v>354</v>
      </c>
      <c r="C770" t="s">
        <v>15</v>
      </c>
      <c r="D770" t="s">
        <v>34</v>
      </c>
      <c r="E770" t="s">
        <v>17</v>
      </c>
      <c r="F770" t="s">
        <v>18</v>
      </c>
      <c r="G770" s="2">
        <v>338035</v>
      </c>
      <c r="H770" s="1">
        <v>471297</v>
      </c>
      <c r="I770">
        <v>133262</v>
      </c>
      <c r="J770" t="s">
        <v>19</v>
      </c>
      <c r="K770" t="s">
        <v>67</v>
      </c>
      <c r="L770" t="s">
        <v>49</v>
      </c>
      <c r="M770" t="s">
        <v>42</v>
      </c>
      <c r="N770" s="5">
        <f>Table4[[#This Row],[BudgetAmount]]/Table4[[#This Row],[Variance]]</f>
        <v>2.5366195914814424</v>
      </c>
      <c r="O770" s="5" t="str">
        <f>TEXT(Table4[[#This Row],[Date]],"mmm")</f>
        <v>Jul</v>
      </c>
      <c r="P770" s="5">
        <f>ABS(Table4[[#This Row],[Variance]])</f>
        <v>133262</v>
      </c>
      <c r="Q770" s="5" t="str">
        <f>IF(Table4[[#This Row],[AB Variances ]]&gt;$P$2,"Anomaly","Normal")</f>
        <v>Anomaly</v>
      </c>
      <c r="R770" s="5">
        <f>SUMIFS(Table4[BudgetAmount],Table4[ActualExpense],"pending")</f>
        <v>0</v>
      </c>
    </row>
    <row r="771" spans="1:18">
      <c r="A771" t="s">
        <v>1335</v>
      </c>
      <c r="B771" t="s">
        <v>940</v>
      </c>
      <c r="C771" t="s">
        <v>35</v>
      </c>
      <c r="D771" t="s">
        <v>16</v>
      </c>
      <c r="E771" t="s">
        <v>46</v>
      </c>
      <c r="F771" t="s">
        <v>47</v>
      </c>
      <c r="G771" s="2">
        <v>308239</v>
      </c>
      <c r="H771" s="1">
        <v>294764</v>
      </c>
      <c r="I771">
        <v>-13475</v>
      </c>
      <c r="J771" t="s">
        <v>37</v>
      </c>
      <c r="K771" t="s">
        <v>41</v>
      </c>
      <c r="L771" t="s">
        <v>21</v>
      </c>
      <c r="M771" t="s">
        <v>42</v>
      </c>
      <c r="N771" s="5">
        <f>Table4[[#This Row],[BudgetAmount]]/Table4[[#This Row],[Variance]]</f>
        <v>-22.874879406307979</v>
      </c>
      <c r="O771" s="5" t="str">
        <f>TEXT(Table4[[#This Row],[Date]],"mmm")</f>
        <v>Nov</v>
      </c>
      <c r="P771" s="5">
        <f>ABS(Table4[[#This Row],[Variance]])</f>
        <v>13475</v>
      </c>
      <c r="Q771" s="5" t="str">
        <f>IF(Table4[[#This Row],[AB Variances ]]&gt;$P$2,"Anomaly","Normal")</f>
        <v>Normal</v>
      </c>
      <c r="R771" s="5">
        <f>SUMIFS(Table4[BudgetAmount],Table4[ActualExpense],"pending")</f>
        <v>0</v>
      </c>
    </row>
    <row r="772" spans="1:18">
      <c r="A772" t="s">
        <v>1336</v>
      </c>
      <c r="B772" t="s">
        <v>1337</v>
      </c>
      <c r="C772" t="s">
        <v>25</v>
      </c>
      <c r="D772" t="s">
        <v>34</v>
      </c>
      <c r="E772" t="s">
        <v>85</v>
      </c>
      <c r="F772" t="s">
        <v>86</v>
      </c>
      <c r="G772" s="2">
        <v>311711</v>
      </c>
      <c r="H772" s="1">
        <v>339747</v>
      </c>
      <c r="I772">
        <v>28036</v>
      </c>
      <c r="J772" t="s">
        <v>19</v>
      </c>
      <c r="K772" t="s">
        <v>48</v>
      </c>
      <c r="L772" t="s">
        <v>68</v>
      </c>
      <c r="M772" t="s">
        <v>22</v>
      </c>
      <c r="N772" s="5">
        <f>Table4[[#This Row],[BudgetAmount]]/Table4[[#This Row],[Variance]]</f>
        <v>11.118240833214438</v>
      </c>
      <c r="O772" s="5" t="str">
        <f>TEXT(Table4[[#This Row],[Date]],"mmm")</f>
        <v>Jun</v>
      </c>
      <c r="P772" s="5">
        <f>ABS(Table4[[#This Row],[Variance]])</f>
        <v>28036</v>
      </c>
      <c r="Q772" s="5" t="str">
        <f>IF(Table4[[#This Row],[AB Variances ]]&gt;$P$2,"Anomaly","Normal")</f>
        <v>Anomaly</v>
      </c>
      <c r="R772" s="5">
        <f>SUMIFS(Table4[BudgetAmount],Table4[ActualExpense],"pending")</f>
        <v>0</v>
      </c>
    </row>
    <row r="773" spans="1:18">
      <c r="A773" t="s">
        <v>1338</v>
      </c>
      <c r="B773" t="s">
        <v>1339</v>
      </c>
      <c r="C773" t="s">
        <v>15</v>
      </c>
      <c r="D773" t="s">
        <v>26</v>
      </c>
      <c r="E773" t="s">
        <v>46</v>
      </c>
      <c r="F773" t="s">
        <v>47</v>
      </c>
      <c r="G773" s="2">
        <v>459163</v>
      </c>
      <c r="H773" s="1">
        <v>341836</v>
      </c>
      <c r="I773">
        <v>-117327</v>
      </c>
      <c r="J773" t="s">
        <v>19</v>
      </c>
      <c r="K773" t="s">
        <v>48</v>
      </c>
      <c r="L773" t="s">
        <v>68</v>
      </c>
      <c r="M773" t="s">
        <v>42</v>
      </c>
      <c r="N773" s="5">
        <f>Table4[[#This Row],[BudgetAmount]]/Table4[[#This Row],[Variance]]</f>
        <v>-3.9135322645256418</v>
      </c>
      <c r="O773" s="5" t="str">
        <f>TEXT(Table4[[#This Row],[Date]],"mmm")</f>
        <v>Jan</v>
      </c>
      <c r="P773" s="5">
        <f>ABS(Table4[[#This Row],[Variance]])</f>
        <v>117327</v>
      </c>
      <c r="Q773" s="5" t="str">
        <f>IF(Table4[[#This Row],[AB Variances ]]&gt;$P$2,"Anomaly","Normal")</f>
        <v>Anomaly</v>
      </c>
      <c r="R773" s="5">
        <f>SUMIFS(Table4[BudgetAmount],Table4[ActualExpense],"pending")</f>
        <v>0</v>
      </c>
    </row>
    <row r="774" spans="1:18">
      <c r="A774" t="s">
        <v>1340</v>
      </c>
      <c r="B774" t="s">
        <v>745</v>
      </c>
      <c r="C774" t="s">
        <v>45</v>
      </c>
      <c r="D774" t="s">
        <v>16</v>
      </c>
      <c r="E774" t="s">
        <v>17</v>
      </c>
      <c r="F774" t="s">
        <v>18</v>
      </c>
      <c r="G774" s="2">
        <v>146959</v>
      </c>
      <c r="H774" s="1">
        <v>143554</v>
      </c>
      <c r="I774">
        <v>-3405</v>
      </c>
      <c r="J774" t="s">
        <v>54</v>
      </c>
      <c r="K774" t="s">
        <v>29</v>
      </c>
      <c r="L774" t="s">
        <v>49</v>
      </c>
      <c r="M774" t="s">
        <v>22</v>
      </c>
      <c r="N774" s="5">
        <f>Table4[[#This Row],[BudgetAmount]]/Table4[[#This Row],[Variance]]</f>
        <v>-43.159765051395006</v>
      </c>
      <c r="O774" s="5" t="str">
        <f>TEXT(Table4[[#This Row],[Date]],"mmm")</f>
        <v>Mar</v>
      </c>
      <c r="P774" s="5">
        <f>ABS(Table4[[#This Row],[Variance]])</f>
        <v>3405</v>
      </c>
      <c r="Q774" s="5" t="str">
        <f>IF(Table4[[#This Row],[AB Variances ]]&gt;$P$2,"Anomaly","Normal")</f>
        <v>Normal</v>
      </c>
      <c r="R774" s="5">
        <f>SUMIFS(Table4[BudgetAmount],Table4[ActualExpense],"pending")</f>
        <v>0</v>
      </c>
    </row>
    <row r="775" spans="1:18">
      <c r="A775" t="s">
        <v>1341</v>
      </c>
      <c r="B775" t="s">
        <v>670</v>
      </c>
      <c r="C775" t="s">
        <v>35</v>
      </c>
      <c r="D775" t="s">
        <v>16</v>
      </c>
      <c r="E775" t="s">
        <v>27</v>
      </c>
      <c r="F775" t="s">
        <v>28</v>
      </c>
      <c r="G775" s="2">
        <v>453832</v>
      </c>
      <c r="H775" s="1">
        <v>608191</v>
      </c>
      <c r="I775">
        <v>154359</v>
      </c>
      <c r="J775" t="s">
        <v>54</v>
      </c>
      <c r="K775" t="s">
        <v>29</v>
      </c>
      <c r="L775" t="s">
        <v>21</v>
      </c>
      <c r="M775" t="s">
        <v>22</v>
      </c>
      <c r="N775" s="5">
        <f>Table4[[#This Row],[BudgetAmount]]/Table4[[#This Row],[Variance]]</f>
        <v>2.9401071528061209</v>
      </c>
      <c r="O775" s="5" t="str">
        <f>TEXT(Table4[[#This Row],[Date]],"mmm")</f>
        <v>Aug</v>
      </c>
      <c r="P775" s="5">
        <f>ABS(Table4[[#This Row],[Variance]])</f>
        <v>154359</v>
      </c>
      <c r="Q775" s="5" t="str">
        <f>IF(Table4[[#This Row],[AB Variances ]]&gt;$P$2,"Anomaly","Normal")</f>
        <v>Anomaly</v>
      </c>
      <c r="R775" s="5">
        <f>SUMIFS(Table4[BudgetAmount],Table4[ActualExpense],"pending")</f>
        <v>0</v>
      </c>
    </row>
    <row r="776" spans="1:18">
      <c r="A776" t="s">
        <v>1342</v>
      </c>
      <c r="B776" t="s">
        <v>1101</v>
      </c>
      <c r="C776" t="s">
        <v>45</v>
      </c>
      <c r="D776" t="s">
        <v>40</v>
      </c>
      <c r="E776" t="s">
        <v>46</v>
      </c>
      <c r="F776" t="s">
        <v>47</v>
      </c>
      <c r="G776" s="2">
        <v>216965</v>
      </c>
      <c r="H776" s="1">
        <v>271839</v>
      </c>
      <c r="I776">
        <v>54874</v>
      </c>
      <c r="J776" t="s">
        <v>54</v>
      </c>
      <c r="K776" t="s">
        <v>41</v>
      </c>
      <c r="L776" t="s">
        <v>21</v>
      </c>
      <c r="M776" t="s">
        <v>22</v>
      </c>
      <c r="N776" s="5">
        <f>Table4[[#This Row],[BudgetAmount]]/Table4[[#This Row],[Variance]]</f>
        <v>3.953876152640595</v>
      </c>
      <c r="O776" s="5" t="str">
        <f>TEXT(Table4[[#This Row],[Date]],"mmm")</f>
        <v>Dec</v>
      </c>
      <c r="P776" s="5">
        <f>ABS(Table4[[#This Row],[Variance]])</f>
        <v>54874</v>
      </c>
      <c r="Q776" s="5" t="str">
        <f>IF(Table4[[#This Row],[AB Variances ]]&gt;$P$2,"Anomaly","Normal")</f>
        <v>Anomaly</v>
      </c>
      <c r="R776" s="5">
        <f>SUMIFS(Table4[BudgetAmount],Table4[ActualExpense],"pending")</f>
        <v>0</v>
      </c>
    </row>
    <row r="777" spans="1:18">
      <c r="A777" t="s">
        <v>1343</v>
      </c>
      <c r="B777" t="s">
        <v>1344</v>
      </c>
      <c r="C777" t="s">
        <v>45</v>
      </c>
      <c r="D777" t="s">
        <v>16</v>
      </c>
      <c r="E777" t="s">
        <v>71</v>
      </c>
      <c r="F777" t="s">
        <v>72</v>
      </c>
      <c r="G777" s="2">
        <v>300682</v>
      </c>
      <c r="H777" s="1">
        <v>293477</v>
      </c>
      <c r="I777">
        <v>-7205</v>
      </c>
      <c r="J777" t="s">
        <v>54</v>
      </c>
      <c r="K777" t="s">
        <v>41</v>
      </c>
      <c r="L777" t="s">
        <v>49</v>
      </c>
      <c r="M777" t="s">
        <v>22</v>
      </c>
      <c r="N777" s="5">
        <f>Table4[[#This Row],[BudgetAmount]]/Table4[[#This Row],[Variance]]</f>
        <v>-41.732408049965301</v>
      </c>
      <c r="O777" s="5" t="str">
        <f>TEXT(Table4[[#This Row],[Date]],"mmm")</f>
        <v>Jul</v>
      </c>
      <c r="P777" s="5">
        <f>ABS(Table4[[#This Row],[Variance]])</f>
        <v>7205</v>
      </c>
      <c r="Q777" s="5" t="str">
        <f>IF(Table4[[#This Row],[AB Variances ]]&gt;$P$2,"Anomaly","Normal")</f>
        <v>Normal</v>
      </c>
      <c r="R777" s="5">
        <f>SUMIFS(Table4[BudgetAmount],Table4[ActualExpense],"pending")</f>
        <v>0</v>
      </c>
    </row>
    <row r="778" spans="1:18">
      <c r="A778" t="s">
        <v>1345</v>
      </c>
      <c r="B778" t="s">
        <v>521</v>
      </c>
      <c r="C778" t="s">
        <v>33</v>
      </c>
      <c r="D778" t="s">
        <v>26</v>
      </c>
      <c r="E778" t="s">
        <v>71</v>
      </c>
      <c r="F778" t="s">
        <v>72</v>
      </c>
      <c r="G778" s="2">
        <v>367226</v>
      </c>
      <c r="H778" s="1">
        <v>483134</v>
      </c>
      <c r="I778">
        <v>115908</v>
      </c>
      <c r="J778" t="s">
        <v>19</v>
      </c>
      <c r="K778" t="s">
        <v>67</v>
      </c>
      <c r="L778" t="s">
        <v>68</v>
      </c>
      <c r="M778" t="s">
        <v>22</v>
      </c>
      <c r="N778" s="5">
        <f>Table4[[#This Row],[BudgetAmount]]/Table4[[#This Row],[Variance]]</f>
        <v>3.1682541325879146</v>
      </c>
      <c r="O778" s="5" t="str">
        <f>TEXT(Table4[[#This Row],[Date]],"mmm")</f>
        <v>Apr</v>
      </c>
      <c r="P778" s="5">
        <f>ABS(Table4[[#This Row],[Variance]])</f>
        <v>115908</v>
      </c>
      <c r="Q778" s="5" t="str">
        <f>IF(Table4[[#This Row],[AB Variances ]]&gt;$P$2,"Anomaly","Normal")</f>
        <v>Anomaly</v>
      </c>
      <c r="R778" s="5">
        <f>SUMIFS(Table4[BudgetAmount],Table4[ActualExpense],"pending")</f>
        <v>0</v>
      </c>
    </row>
    <row r="779" spans="1:18">
      <c r="A779" t="s">
        <v>1346</v>
      </c>
      <c r="B779" t="s">
        <v>1347</v>
      </c>
      <c r="C779" t="s">
        <v>45</v>
      </c>
      <c r="D779" t="s">
        <v>61</v>
      </c>
      <c r="E779" t="s">
        <v>35</v>
      </c>
      <c r="F779" t="s">
        <v>36</v>
      </c>
      <c r="G779" s="2">
        <v>427360</v>
      </c>
      <c r="H779" s="1">
        <v>482455</v>
      </c>
      <c r="I779">
        <v>55095</v>
      </c>
      <c r="J779" t="s">
        <v>37</v>
      </c>
      <c r="K779" t="s">
        <v>20</v>
      </c>
      <c r="L779" t="s">
        <v>49</v>
      </c>
      <c r="M779" t="s">
        <v>42</v>
      </c>
      <c r="N779" s="5">
        <f>Table4[[#This Row],[BudgetAmount]]/Table4[[#This Row],[Variance]]</f>
        <v>7.756783737181232</v>
      </c>
      <c r="O779" s="5" t="str">
        <f>TEXT(Table4[[#This Row],[Date]],"mmm")</f>
        <v>Apr</v>
      </c>
      <c r="P779" s="5">
        <f>ABS(Table4[[#This Row],[Variance]])</f>
        <v>55095</v>
      </c>
      <c r="Q779" s="5" t="str">
        <f>IF(Table4[[#This Row],[AB Variances ]]&gt;$P$2,"Anomaly","Normal")</f>
        <v>Anomaly</v>
      </c>
      <c r="R779" s="5">
        <f>SUMIFS(Table4[BudgetAmount],Table4[ActualExpense],"pending")</f>
        <v>0</v>
      </c>
    </row>
    <row r="780" spans="1:18">
      <c r="A780" t="s">
        <v>1348</v>
      </c>
      <c r="B780" t="s">
        <v>867</v>
      </c>
      <c r="C780" t="s">
        <v>25</v>
      </c>
      <c r="D780" t="s">
        <v>34</v>
      </c>
      <c r="E780" t="s">
        <v>71</v>
      </c>
      <c r="F780" t="s">
        <v>72</v>
      </c>
      <c r="G780" s="2">
        <v>444522</v>
      </c>
      <c r="H780" s="1">
        <v>505149</v>
      </c>
      <c r="I780">
        <v>60627</v>
      </c>
      <c r="J780" t="s">
        <v>54</v>
      </c>
      <c r="K780" t="s">
        <v>20</v>
      </c>
      <c r="L780" t="s">
        <v>21</v>
      </c>
      <c r="M780" t="s">
        <v>42</v>
      </c>
      <c r="N780" s="5">
        <f>Table4[[#This Row],[BudgetAmount]]/Table4[[#This Row],[Variance]]</f>
        <v>7.3320797664406951</v>
      </c>
      <c r="O780" s="5" t="str">
        <f>TEXT(Table4[[#This Row],[Date]],"mmm")</f>
        <v>Mar</v>
      </c>
      <c r="P780" s="5">
        <f>ABS(Table4[[#This Row],[Variance]])</f>
        <v>60627</v>
      </c>
      <c r="Q780" s="5" t="str">
        <f>IF(Table4[[#This Row],[AB Variances ]]&gt;$P$2,"Anomaly","Normal")</f>
        <v>Anomaly</v>
      </c>
      <c r="R780" s="5">
        <f>SUMIFS(Table4[BudgetAmount],Table4[ActualExpense],"pending")</f>
        <v>0</v>
      </c>
    </row>
    <row r="781" spans="1:18">
      <c r="A781" t="s">
        <v>1349</v>
      </c>
      <c r="B781" t="s">
        <v>679</v>
      </c>
      <c r="C781" t="s">
        <v>64</v>
      </c>
      <c r="D781" t="s">
        <v>16</v>
      </c>
      <c r="E781" t="s">
        <v>46</v>
      </c>
      <c r="F781" t="s">
        <v>47</v>
      </c>
      <c r="G781" s="2">
        <v>224903</v>
      </c>
      <c r="H781" s="1">
        <v>272239</v>
      </c>
      <c r="I781">
        <v>47336</v>
      </c>
      <c r="J781" t="s">
        <v>19</v>
      </c>
      <c r="K781" t="s">
        <v>29</v>
      </c>
      <c r="L781" t="s">
        <v>21</v>
      </c>
      <c r="M781" t="s">
        <v>42</v>
      </c>
      <c r="N781" s="5">
        <f>Table4[[#This Row],[BudgetAmount]]/Table4[[#This Row],[Variance]]</f>
        <v>4.7512041575122526</v>
      </c>
      <c r="O781" s="5" t="str">
        <f>TEXT(Table4[[#This Row],[Date]],"mmm")</f>
        <v>Apr</v>
      </c>
      <c r="P781" s="5">
        <f>ABS(Table4[[#This Row],[Variance]])</f>
        <v>47336</v>
      </c>
      <c r="Q781" s="5" t="str">
        <f>IF(Table4[[#This Row],[AB Variances ]]&gt;$P$2,"Anomaly","Normal")</f>
        <v>Anomaly</v>
      </c>
      <c r="R781" s="5">
        <f>SUMIFS(Table4[BudgetAmount],Table4[ActualExpense],"pending")</f>
        <v>0</v>
      </c>
    </row>
    <row r="782" spans="1:18">
      <c r="A782" t="s">
        <v>1350</v>
      </c>
      <c r="B782" t="s">
        <v>1351</v>
      </c>
      <c r="C782" t="s">
        <v>64</v>
      </c>
      <c r="D782" t="s">
        <v>16</v>
      </c>
      <c r="E782" t="s">
        <v>27</v>
      </c>
      <c r="F782" t="s">
        <v>28</v>
      </c>
      <c r="G782" s="2">
        <v>150990</v>
      </c>
      <c r="H782" s="1">
        <v>175937</v>
      </c>
      <c r="I782">
        <v>24947</v>
      </c>
      <c r="J782" t="s">
        <v>19</v>
      </c>
      <c r="K782" t="s">
        <v>29</v>
      </c>
      <c r="L782" t="s">
        <v>21</v>
      </c>
      <c r="M782" t="s">
        <v>42</v>
      </c>
      <c r="N782" s="5">
        <f>Table4[[#This Row],[BudgetAmount]]/Table4[[#This Row],[Variance]]</f>
        <v>6.0524311540465785</v>
      </c>
      <c r="O782" s="5" t="str">
        <f>TEXT(Table4[[#This Row],[Date]],"mmm")</f>
        <v>Mar</v>
      </c>
      <c r="P782" s="5">
        <f>ABS(Table4[[#This Row],[Variance]])</f>
        <v>24947</v>
      </c>
      <c r="Q782" s="5" t="str">
        <f>IF(Table4[[#This Row],[AB Variances ]]&gt;$P$2,"Anomaly","Normal")</f>
        <v>Anomaly</v>
      </c>
      <c r="R782" s="5">
        <f>SUMIFS(Table4[BudgetAmount],Table4[ActualExpense],"pending")</f>
        <v>0</v>
      </c>
    </row>
    <row r="783" spans="1:18">
      <c r="A783" t="s">
        <v>1352</v>
      </c>
      <c r="B783" t="s">
        <v>643</v>
      </c>
      <c r="C783" t="s">
        <v>33</v>
      </c>
      <c r="D783" t="s">
        <v>34</v>
      </c>
      <c r="E783" t="s">
        <v>85</v>
      </c>
      <c r="F783" t="s">
        <v>86</v>
      </c>
      <c r="G783" s="2">
        <v>330732</v>
      </c>
      <c r="H783" s="1">
        <v>363504</v>
      </c>
      <c r="I783">
        <v>32772</v>
      </c>
      <c r="J783" t="s">
        <v>54</v>
      </c>
      <c r="K783" t="s">
        <v>29</v>
      </c>
      <c r="L783" t="s">
        <v>49</v>
      </c>
      <c r="M783" t="s">
        <v>22</v>
      </c>
      <c r="N783" s="5">
        <f>Table4[[#This Row],[BudgetAmount]]/Table4[[#This Row],[Variance]]</f>
        <v>10.091907726107653</v>
      </c>
      <c r="O783" s="5" t="str">
        <f>TEXT(Table4[[#This Row],[Date]],"mmm")</f>
        <v>Jan</v>
      </c>
      <c r="P783" s="5">
        <f>ABS(Table4[[#This Row],[Variance]])</f>
        <v>32772</v>
      </c>
      <c r="Q783" s="5" t="str">
        <f>IF(Table4[[#This Row],[AB Variances ]]&gt;$P$2,"Anomaly","Normal")</f>
        <v>Anomaly</v>
      </c>
      <c r="R783" s="5">
        <f>SUMIFS(Table4[BudgetAmount],Table4[ActualExpense],"pending")</f>
        <v>0</v>
      </c>
    </row>
    <row r="784" spans="1:18">
      <c r="A784" t="s">
        <v>1353</v>
      </c>
      <c r="B784" t="s">
        <v>1244</v>
      </c>
      <c r="C784" t="s">
        <v>25</v>
      </c>
      <c r="D784" t="s">
        <v>34</v>
      </c>
      <c r="E784" t="s">
        <v>27</v>
      </c>
      <c r="F784" t="s">
        <v>28</v>
      </c>
      <c r="G784" s="2">
        <v>371897</v>
      </c>
      <c r="H784" s="1">
        <v>261479</v>
      </c>
      <c r="I784">
        <v>-110418</v>
      </c>
      <c r="J784" t="s">
        <v>54</v>
      </c>
      <c r="K784" t="s">
        <v>20</v>
      </c>
      <c r="L784" t="s">
        <v>68</v>
      </c>
      <c r="M784" t="s">
        <v>42</v>
      </c>
      <c r="N784" s="5">
        <f>Table4[[#This Row],[BudgetAmount]]/Table4[[#This Row],[Variance]]</f>
        <v>-3.3680831023927258</v>
      </c>
      <c r="O784" s="5" t="str">
        <f>TEXT(Table4[[#This Row],[Date]],"mmm")</f>
        <v>May</v>
      </c>
      <c r="P784" s="5">
        <f>ABS(Table4[[#This Row],[Variance]])</f>
        <v>110418</v>
      </c>
      <c r="Q784" s="5" t="str">
        <f>IF(Table4[[#This Row],[AB Variances ]]&gt;$P$2,"Anomaly","Normal")</f>
        <v>Anomaly</v>
      </c>
      <c r="R784" s="5">
        <f>SUMIFS(Table4[BudgetAmount],Table4[ActualExpense],"pending")</f>
        <v>0</v>
      </c>
    </row>
    <row r="785" spans="1:18">
      <c r="A785" t="s">
        <v>1354</v>
      </c>
      <c r="B785" t="s">
        <v>1355</v>
      </c>
      <c r="C785" t="s">
        <v>15</v>
      </c>
      <c r="D785" t="s">
        <v>61</v>
      </c>
      <c r="E785" t="s">
        <v>17</v>
      </c>
      <c r="F785" t="s">
        <v>18</v>
      </c>
      <c r="G785" s="2">
        <v>262775</v>
      </c>
      <c r="H785" s="1">
        <v>321743</v>
      </c>
      <c r="I785">
        <v>58968</v>
      </c>
      <c r="J785" t="s">
        <v>37</v>
      </c>
      <c r="K785" t="s">
        <v>48</v>
      </c>
      <c r="L785" t="s">
        <v>68</v>
      </c>
      <c r="M785" t="s">
        <v>42</v>
      </c>
      <c r="N785" s="5">
        <f>Table4[[#This Row],[BudgetAmount]]/Table4[[#This Row],[Variance]]</f>
        <v>4.456230497897165</v>
      </c>
      <c r="O785" s="5" t="str">
        <f>TEXT(Table4[[#This Row],[Date]],"mmm")</f>
        <v>Feb</v>
      </c>
      <c r="P785" s="5">
        <f>ABS(Table4[[#This Row],[Variance]])</f>
        <v>58968</v>
      </c>
      <c r="Q785" s="5" t="str">
        <f>IF(Table4[[#This Row],[AB Variances ]]&gt;$P$2,"Anomaly","Normal")</f>
        <v>Anomaly</v>
      </c>
      <c r="R785" s="5">
        <f>SUMIFS(Table4[BudgetAmount],Table4[ActualExpense],"pending")</f>
        <v>0</v>
      </c>
    </row>
    <row r="786" spans="1:18">
      <c r="A786" t="s">
        <v>1356</v>
      </c>
      <c r="B786" t="s">
        <v>523</v>
      </c>
      <c r="C786" t="s">
        <v>33</v>
      </c>
      <c r="D786" t="s">
        <v>26</v>
      </c>
      <c r="E786" t="s">
        <v>85</v>
      </c>
      <c r="F786" t="s">
        <v>86</v>
      </c>
      <c r="G786" s="2">
        <v>201303</v>
      </c>
      <c r="H786" s="1">
        <v>206655</v>
      </c>
      <c r="I786">
        <v>5352</v>
      </c>
      <c r="J786" t="s">
        <v>54</v>
      </c>
      <c r="K786" t="s">
        <v>29</v>
      </c>
      <c r="L786" t="s">
        <v>49</v>
      </c>
      <c r="M786" t="s">
        <v>42</v>
      </c>
      <c r="N786" s="5">
        <f>Table4[[#This Row],[BudgetAmount]]/Table4[[#This Row],[Variance]]</f>
        <v>37.612668161434975</v>
      </c>
      <c r="O786" s="5" t="str">
        <f>TEXT(Table4[[#This Row],[Date]],"mmm")</f>
        <v>Apr</v>
      </c>
      <c r="P786" s="5">
        <f>ABS(Table4[[#This Row],[Variance]])</f>
        <v>5352</v>
      </c>
      <c r="Q786" s="5" t="str">
        <f>IF(Table4[[#This Row],[AB Variances ]]&gt;$P$2,"Anomaly","Normal")</f>
        <v>Normal</v>
      </c>
      <c r="R786" s="5">
        <f>SUMIFS(Table4[BudgetAmount],Table4[ActualExpense],"pending")</f>
        <v>0</v>
      </c>
    </row>
    <row r="787" spans="1:18">
      <c r="A787" t="s">
        <v>1357</v>
      </c>
      <c r="B787" t="s">
        <v>245</v>
      </c>
      <c r="C787" t="s">
        <v>33</v>
      </c>
      <c r="D787" t="s">
        <v>16</v>
      </c>
      <c r="E787" t="s">
        <v>17</v>
      </c>
      <c r="F787" t="s">
        <v>18</v>
      </c>
      <c r="G787" s="2">
        <v>387506</v>
      </c>
      <c r="H787" s="1">
        <v>498952</v>
      </c>
      <c r="I787">
        <v>111446</v>
      </c>
      <c r="J787" t="s">
        <v>19</v>
      </c>
      <c r="K787" t="s">
        <v>29</v>
      </c>
      <c r="L787" t="s">
        <v>68</v>
      </c>
      <c r="M787" t="s">
        <v>42</v>
      </c>
      <c r="N787" s="5">
        <f>Table4[[#This Row],[BudgetAmount]]/Table4[[#This Row],[Variance]]</f>
        <v>3.4770740986666189</v>
      </c>
      <c r="O787" s="5" t="str">
        <f>TEXT(Table4[[#This Row],[Date]],"mmm")</f>
        <v>Dec</v>
      </c>
      <c r="P787" s="5">
        <f>ABS(Table4[[#This Row],[Variance]])</f>
        <v>111446</v>
      </c>
      <c r="Q787" s="5" t="str">
        <f>IF(Table4[[#This Row],[AB Variances ]]&gt;$P$2,"Anomaly","Normal")</f>
        <v>Anomaly</v>
      </c>
      <c r="R787" s="5">
        <f>SUMIFS(Table4[BudgetAmount],Table4[ActualExpense],"pending")</f>
        <v>0</v>
      </c>
    </row>
    <row r="788" spans="1:18">
      <c r="A788" t="s">
        <v>1358</v>
      </c>
      <c r="B788" t="s">
        <v>233</v>
      </c>
      <c r="C788" t="s">
        <v>33</v>
      </c>
      <c r="D788" t="s">
        <v>40</v>
      </c>
      <c r="E788" t="s">
        <v>35</v>
      </c>
      <c r="F788" t="s">
        <v>36</v>
      </c>
      <c r="G788" s="2">
        <v>181627</v>
      </c>
      <c r="H788" s="1">
        <v>208101</v>
      </c>
      <c r="I788">
        <v>26474</v>
      </c>
      <c r="J788" t="s">
        <v>37</v>
      </c>
      <c r="K788" t="s">
        <v>41</v>
      </c>
      <c r="L788" t="s">
        <v>68</v>
      </c>
      <c r="M788" t="s">
        <v>22</v>
      </c>
      <c r="N788" s="5">
        <f>Table4[[#This Row],[BudgetAmount]]/Table4[[#This Row],[Variance]]</f>
        <v>6.8605801918863794</v>
      </c>
      <c r="O788" s="5" t="str">
        <f>TEXT(Table4[[#This Row],[Date]],"mmm")</f>
        <v>Jan</v>
      </c>
      <c r="P788" s="5">
        <f>ABS(Table4[[#This Row],[Variance]])</f>
        <v>26474</v>
      </c>
      <c r="Q788" s="5" t="str">
        <f>IF(Table4[[#This Row],[AB Variances ]]&gt;$P$2,"Anomaly","Normal")</f>
        <v>Anomaly</v>
      </c>
      <c r="R788" s="5">
        <f>SUMIFS(Table4[BudgetAmount],Table4[ActualExpense],"pending")</f>
        <v>0</v>
      </c>
    </row>
    <row r="789" spans="1:18">
      <c r="A789" t="s">
        <v>1359</v>
      </c>
      <c r="B789" t="s">
        <v>406</v>
      </c>
      <c r="C789" t="s">
        <v>25</v>
      </c>
      <c r="D789" t="s">
        <v>16</v>
      </c>
      <c r="E789" t="s">
        <v>71</v>
      </c>
      <c r="F789" t="s">
        <v>72</v>
      </c>
      <c r="G789" s="2">
        <v>470866</v>
      </c>
      <c r="H789" s="1">
        <v>415557</v>
      </c>
      <c r="I789">
        <v>-55309</v>
      </c>
      <c r="J789" t="s">
        <v>19</v>
      </c>
      <c r="K789" t="s">
        <v>29</v>
      </c>
      <c r="L789" t="s">
        <v>21</v>
      </c>
      <c r="M789" t="s">
        <v>22</v>
      </c>
      <c r="N789" s="5">
        <f>Table4[[#This Row],[BudgetAmount]]/Table4[[#This Row],[Variance]]</f>
        <v>-8.5133703375580829</v>
      </c>
      <c r="O789" s="5" t="str">
        <f>TEXT(Table4[[#This Row],[Date]],"mmm")</f>
        <v>May</v>
      </c>
      <c r="P789" s="5">
        <f>ABS(Table4[[#This Row],[Variance]])</f>
        <v>55309</v>
      </c>
      <c r="Q789" s="5" t="str">
        <f>IF(Table4[[#This Row],[AB Variances ]]&gt;$P$2,"Anomaly","Normal")</f>
        <v>Anomaly</v>
      </c>
      <c r="R789" s="5">
        <f>SUMIFS(Table4[BudgetAmount],Table4[ActualExpense],"pending")</f>
        <v>0</v>
      </c>
    </row>
    <row r="790" spans="1:18">
      <c r="A790" t="s">
        <v>1360</v>
      </c>
      <c r="B790" t="s">
        <v>176</v>
      </c>
      <c r="C790" t="s">
        <v>35</v>
      </c>
      <c r="D790" t="s">
        <v>34</v>
      </c>
      <c r="E790" t="s">
        <v>85</v>
      </c>
      <c r="F790" t="s">
        <v>86</v>
      </c>
      <c r="G790" s="2">
        <v>86035</v>
      </c>
      <c r="H790" s="1">
        <v>114801</v>
      </c>
      <c r="I790">
        <v>28766</v>
      </c>
      <c r="J790" t="s">
        <v>19</v>
      </c>
      <c r="K790" t="s">
        <v>29</v>
      </c>
      <c r="L790" t="s">
        <v>21</v>
      </c>
      <c r="M790" t="s">
        <v>42</v>
      </c>
      <c r="N790" s="5">
        <f>Table4[[#This Row],[BudgetAmount]]/Table4[[#This Row],[Variance]]</f>
        <v>2.9908572620454703</v>
      </c>
      <c r="O790" s="5" t="str">
        <f>TEXT(Table4[[#This Row],[Date]],"mmm")</f>
        <v>Dec</v>
      </c>
      <c r="P790" s="5">
        <f>ABS(Table4[[#This Row],[Variance]])</f>
        <v>28766</v>
      </c>
      <c r="Q790" s="5" t="str">
        <f>IF(Table4[[#This Row],[AB Variances ]]&gt;$P$2,"Anomaly","Normal")</f>
        <v>Anomaly</v>
      </c>
      <c r="R790" s="5">
        <f>SUMIFS(Table4[BudgetAmount],Table4[ActualExpense],"pending")</f>
        <v>0</v>
      </c>
    </row>
    <row r="791" spans="1:18">
      <c r="A791" t="s">
        <v>1361</v>
      </c>
      <c r="B791" t="s">
        <v>1362</v>
      </c>
      <c r="C791" t="s">
        <v>25</v>
      </c>
      <c r="D791" t="s">
        <v>26</v>
      </c>
      <c r="E791" t="s">
        <v>17</v>
      </c>
      <c r="F791" t="s">
        <v>18</v>
      </c>
      <c r="G791" s="2">
        <v>371110</v>
      </c>
      <c r="H791" s="1">
        <v>481439</v>
      </c>
      <c r="I791">
        <v>110329</v>
      </c>
      <c r="J791" t="s">
        <v>54</v>
      </c>
      <c r="K791" t="s">
        <v>67</v>
      </c>
      <c r="L791" t="s">
        <v>30</v>
      </c>
      <c r="M791" t="s">
        <v>42</v>
      </c>
      <c r="N791" s="5">
        <f>Table4[[#This Row],[BudgetAmount]]/Table4[[#This Row],[Variance]]</f>
        <v>3.3636668509639351</v>
      </c>
      <c r="O791" s="5" t="str">
        <f>TEXT(Table4[[#This Row],[Date]],"mmm")</f>
        <v>Mar</v>
      </c>
      <c r="P791" s="5">
        <f>ABS(Table4[[#This Row],[Variance]])</f>
        <v>110329</v>
      </c>
      <c r="Q791" s="5" t="str">
        <f>IF(Table4[[#This Row],[AB Variances ]]&gt;$P$2,"Anomaly","Normal")</f>
        <v>Anomaly</v>
      </c>
      <c r="R791" s="5">
        <f>SUMIFS(Table4[BudgetAmount],Table4[ActualExpense],"pending")</f>
        <v>0</v>
      </c>
    </row>
    <row r="792" spans="1:18">
      <c r="A792" t="s">
        <v>1363</v>
      </c>
      <c r="B792" t="s">
        <v>640</v>
      </c>
      <c r="C792" t="s">
        <v>35</v>
      </c>
      <c r="D792" t="s">
        <v>16</v>
      </c>
      <c r="E792" t="s">
        <v>71</v>
      </c>
      <c r="F792" t="s">
        <v>72</v>
      </c>
      <c r="G792" s="2">
        <v>182312</v>
      </c>
      <c r="H792" s="1">
        <v>192090</v>
      </c>
      <c r="I792">
        <v>9778</v>
      </c>
      <c r="J792" t="s">
        <v>37</v>
      </c>
      <c r="K792" t="s">
        <v>48</v>
      </c>
      <c r="L792" t="s">
        <v>21</v>
      </c>
      <c r="M792" t="s">
        <v>42</v>
      </c>
      <c r="N792" s="5">
        <f>Table4[[#This Row],[BudgetAmount]]/Table4[[#This Row],[Variance]]</f>
        <v>18.645121701779505</v>
      </c>
      <c r="O792" s="5" t="str">
        <f>TEXT(Table4[[#This Row],[Date]],"mmm")</f>
        <v>Dec</v>
      </c>
      <c r="P792" s="5">
        <f>ABS(Table4[[#This Row],[Variance]])</f>
        <v>9778</v>
      </c>
      <c r="Q792" s="5" t="str">
        <f>IF(Table4[[#This Row],[AB Variances ]]&gt;$P$2,"Anomaly","Normal")</f>
        <v>Normal</v>
      </c>
      <c r="R792" s="5">
        <f>SUMIFS(Table4[BudgetAmount],Table4[ActualExpense],"pending")</f>
        <v>0</v>
      </c>
    </row>
    <row r="793" spans="1:18">
      <c r="A793" t="s">
        <v>1364</v>
      </c>
      <c r="B793" t="s">
        <v>837</v>
      </c>
      <c r="C793" t="s">
        <v>25</v>
      </c>
      <c r="D793" t="s">
        <v>34</v>
      </c>
      <c r="E793" t="s">
        <v>46</v>
      </c>
      <c r="F793" t="s">
        <v>47</v>
      </c>
      <c r="G793" s="2">
        <v>227124</v>
      </c>
      <c r="H793" s="1">
        <v>201016</v>
      </c>
      <c r="I793">
        <v>-26108</v>
      </c>
      <c r="J793" t="s">
        <v>37</v>
      </c>
      <c r="K793" t="s">
        <v>67</v>
      </c>
      <c r="L793" t="s">
        <v>30</v>
      </c>
      <c r="M793" t="s">
        <v>42</v>
      </c>
      <c r="N793" s="5">
        <f>Table4[[#This Row],[BudgetAmount]]/Table4[[#This Row],[Variance]]</f>
        <v>-8.6994024819978559</v>
      </c>
      <c r="O793" s="5" t="str">
        <f>TEXT(Table4[[#This Row],[Date]],"mmm")</f>
        <v>Dec</v>
      </c>
      <c r="P793" s="5">
        <f>ABS(Table4[[#This Row],[Variance]])</f>
        <v>26108</v>
      </c>
      <c r="Q793" s="5" t="str">
        <f>IF(Table4[[#This Row],[AB Variances ]]&gt;$P$2,"Anomaly","Normal")</f>
        <v>Anomaly</v>
      </c>
      <c r="R793" s="5">
        <f>SUMIFS(Table4[BudgetAmount],Table4[ActualExpense],"pending")</f>
        <v>0</v>
      </c>
    </row>
    <row r="794" spans="1:18">
      <c r="A794" t="s">
        <v>1365</v>
      </c>
      <c r="B794" t="s">
        <v>1366</v>
      </c>
      <c r="C794" t="s">
        <v>25</v>
      </c>
      <c r="D794" t="s">
        <v>34</v>
      </c>
      <c r="E794" t="s">
        <v>85</v>
      </c>
      <c r="F794" t="s">
        <v>86</v>
      </c>
      <c r="G794" s="2">
        <v>124419</v>
      </c>
      <c r="H794" s="1">
        <v>165716</v>
      </c>
      <c r="I794">
        <v>41297</v>
      </c>
      <c r="J794" t="s">
        <v>37</v>
      </c>
      <c r="K794" t="s">
        <v>29</v>
      </c>
      <c r="L794" t="s">
        <v>21</v>
      </c>
      <c r="M794" t="s">
        <v>42</v>
      </c>
      <c r="N794" s="5">
        <f>Table4[[#This Row],[BudgetAmount]]/Table4[[#This Row],[Variance]]</f>
        <v>3.0127854323558614</v>
      </c>
      <c r="O794" s="5" t="str">
        <f>TEXT(Table4[[#This Row],[Date]],"mmm")</f>
        <v>Jan</v>
      </c>
      <c r="P794" s="5">
        <f>ABS(Table4[[#This Row],[Variance]])</f>
        <v>41297</v>
      </c>
      <c r="Q794" s="5" t="str">
        <f>IF(Table4[[#This Row],[AB Variances ]]&gt;$P$2,"Anomaly","Normal")</f>
        <v>Anomaly</v>
      </c>
      <c r="R794" s="5">
        <f>SUMIFS(Table4[BudgetAmount],Table4[ActualExpense],"pending")</f>
        <v>0</v>
      </c>
    </row>
    <row r="795" spans="1:18">
      <c r="A795" t="s">
        <v>1367</v>
      </c>
      <c r="B795" t="s">
        <v>1368</v>
      </c>
      <c r="C795" t="s">
        <v>64</v>
      </c>
      <c r="D795" t="s">
        <v>26</v>
      </c>
      <c r="E795" t="s">
        <v>85</v>
      </c>
      <c r="F795" t="s">
        <v>86</v>
      </c>
      <c r="G795" s="2">
        <v>401688</v>
      </c>
      <c r="H795" s="1">
        <v>383576</v>
      </c>
      <c r="I795">
        <v>-18112</v>
      </c>
      <c r="J795" t="s">
        <v>37</v>
      </c>
      <c r="K795" t="s">
        <v>29</v>
      </c>
      <c r="L795" t="s">
        <v>21</v>
      </c>
      <c r="M795" t="s">
        <v>22</v>
      </c>
      <c r="N795" s="5">
        <f>Table4[[#This Row],[BudgetAmount]]/Table4[[#This Row],[Variance]]</f>
        <v>-22.178003533568905</v>
      </c>
      <c r="O795" s="5" t="str">
        <f>TEXT(Table4[[#This Row],[Date]],"mmm")</f>
        <v>Feb</v>
      </c>
      <c r="P795" s="5">
        <f>ABS(Table4[[#This Row],[Variance]])</f>
        <v>18112</v>
      </c>
      <c r="Q795" s="5" t="str">
        <f>IF(Table4[[#This Row],[AB Variances ]]&gt;$P$2,"Anomaly","Normal")</f>
        <v>Anomaly</v>
      </c>
      <c r="R795" s="5">
        <f>SUMIFS(Table4[BudgetAmount],Table4[ActualExpense],"pending")</f>
        <v>0</v>
      </c>
    </row>
    <row r="796" spans="1:18">
      <c r="A796" t="s">
        <v>1369</v>
      </c>
      <c r="B796" t="s">
        <v>712</v>
      </c>
      <c r="C796" t="s">
        <v>45</v>
      </c>
      <c r="D796" t="s">
        <v>40</v>
      </c>
      <c r="E796" t="s">
        <v>71</v>
      </c>
      <c r="F796" t="s">
        <v>72</v>
      </c>
      <c r="G796" s="2">
        <v>50783</v>
      </c>
      <c r="H796" s="1">
        <v>40107</v>
      </c>
      <c r="I796">
        <v>-10676</v>
      </c>
      <c r="J796" t="s">
        <v>19</v>
      </c>
      <c r="K796" t="s">
        <v>67</v>
      </c>
      <c r="L796" t="s">
        <v>30</v>
      </c>
      <c r="M796" t="s">
        <v>42</v>
      </c>
      <c r="N796" s="5">
        <f>Table4[[#This Row],[BudgetAmount]]/Table4[[#This Row],[Variance]]</f>
        <v>-4.7567440989134511</v>
      </c>
      <c r="O796" s="5" t="str">
        <f>TEXT(Table4[[#This Row],[Date]],"mmm")</f>
        <v>Sep</v>
      </c>
      <c r="P796" s="5">
        <f>ABS(Table4[[#This Row],[Variance]])</f>
        <v>10676</v>
      </c>
      <c r="Q796" s="5" t="str">
        <f>IF(Table4[[#This Row],[AB Variances ]]&gt;$P$2,"Anomaly","Normal")</f>
        <v>Normal</v>
      </c>
      <c r="R796" s="5">
        <f>SUMIFS(Table4[BudgetAmount],Table4[ActualExpense],"pending")</f>
        <v>0</v>
      </c>
    </row>
    <row r="797" spans="1:18">
      <c r="A797" t="s">
        <v>1370</v>
      </c>
      <c r="B797" t="s">
        <v>1371</v>
      </c>
      <c r="C797" t="s">
        <v>33</v>
      </c>
      <c r="D797" t="s">
        <v>40</v>
      </c>
      <c r="E797" t="s">
        <v>35</v>
      </c>
      <c r="F797" t="s">
        <v>36</v>
      </c>
      <c r="G797" s="2">
        <v>281778</v>
      </c>
      <c r="H797" s="1">
        <v>353377</v>
      </c>
      <c r="I797">
        <v>71599</v>
      </c>
      <c r="J797" t="s">
        <v>54</v>
      </c>
      <c r="K797" t="s">
        <v>67</v>
      </c>
      <c r="L797" t="s">
        <v>30</v>
      </c>
      <c r="M797" t="s">
        <v>42</v>
      </c>
      <c r="N797" s="5">
        <f>Table4[[#This Row],[BudgetAmount]]/Table4[[#This Row],[Variance]]</f>
        <v>3.935501892484532</v>
      </c>
      <c r="O797" s="5" t="str">
        <f>TEXT(Table4[[#This Row],[Date]],"mmm")</f>
        <v>Jan</v>
      </c>
      <c r="P797" s="5">
        <f>ABS(Table4[[#This Row],[Variance]])</f>
        <v>71599</v>
      </c>
      <c r="Q797" s="5" t="str">
        <f>IF(Table4[[#This Row],[AB Variances ]]&gt;$P$2,"Anomaly","Normal")</f>
        <v>Anomaly</v>
      </c>
      <c r="R797" s="5">
        <f>SUMIFS(Table4[BudgetAmount],Table4[ActualExpense],"pending")</f>
        <v>0</v>
      </c>
    </row>
    <row r="798" spans="1:18">
      <c r="A798" t="s">
        <v>1372</v>
      </c>
      <c r="B798" t="s">
        <v>533</v>
      </c>
      <c r="C798" t="s">
        <v>25</v>
      </c>
      <c r="D798" t="s">
        <v>34</v>
      </c>
      <c r="E798" t="s">
        <v>85</v>
      </c>
      <c r="F798" t="s">
        <v>86</v>
      </c>
      <c r="G798" s="2">
        <v>270837</v>
      </c>
      <c r="H798" s="1">
        <v>358327</v>
      </c>
      <c r="I798">
        <v>87490</v>
      </c>
      <c r="J798" t="s">
        <v>54</v>
      </c>
      <c r="K798" t="s">
        <v>20</v>
      </c>
      <c r="L798" t="s">
        <v>30</v>
      </c>
      <c r="M798" t="s">
        <v>22</v>
      </c>
      <c r="N798" s="5">
        <f>Table4[[#This Row],[BudgetAmount]]/Table4[[#This Row],[Variance]]</f>
        <v>3.0956337867184822</v>
      </c>
      <c r="O798" s="5" t="str">
        <f>TEXT(Table4[[#This Row],[Date]],"mmm")</f>
        <v>Apr</v>
      </c>
      <c r="P798" s="5">
        <f>ABS(Table4[[#This Row],[Variance]])</f>
        <v>87490</v>
      </c>
      <c r="Q798" s="5" t="str">
        <f>IF(Table4[[#This Row],[AB Variances ]]&gt;$P$2,"Anomaly","Normal")</f>
        <v>Anomaly</v>
      </c>
      <c r="R798" s="5">
        <f>SUMIFS(Table4[BudgetAmount],Table4[ActualExpense],"pending")</f>
        <v>0</v>
      </c>
    </row>
    <row r="799" spans="1:18">
      <c r="A799" t="s">
        <v>1373</v>
      </c>
      <c r="B799" t="s">
        <v>1374</v>
      </c>
      <c r="C799" t="s">
        <v>45</v>
      </c>
      <c r="D799" t="s">
        <v>34</v>
      </c>
      <c r="E799" t="s">
        <v>17</v>
      </c>
      <c r="F799" t="s">
        <v>18</v>
      </c>
      <c r="G799" s="2">
        <v>458760</v>
      </c>
      <c r="H799" s="1">
        <v>573194</v>
      </c>
      <c r="I799">
        <v>114434</v>
      </c>
      <c r="J799" t="s">
        <v>54</v>
      </c>
      <c r="K799" t="s">
        <v>29</v>
      </c>
      <c r="L799" t="s">
        <v>30</v>
      </c>
      <c r="M799" t="s">
        <v>42</v>
      </c>
      <c r="N799" s="5">
        <f>Table4[[#This Row],[BudgetAmount]]/Table4[[#This Row],[Variance]]</f>
        <v>4.0089483894646696</v>
      </c>
      <c r="O799" s="5" t="str">
        <f>TEXT(Table4[[#This Row],[Date]],"mmm")</f>
        <v>Apr</v>
      </c>
      <c r="P799" s="5">
        <f>ABS(Table4[[#This Row],[Variance]])</f>
        <v>114434</v>
      </c>
      <c r="Q799" s="5" t="str">
        <f>IF(Table4[[#This Row],[AB Variances ]]&gt;$P$2,"Anomaly","Normal")</f>
        <v>Anomaly</v>
      </c>
      <c r="R799" s="5">
        <f>SUMIFS(Table4[BudgetAmount],Table4[ActualExpense],"pending")</f>
        <v>0</v>
      </c>
    </row>
    <row r="800" spans="1:18">
      <c r="A800" t="s">
        <v>1375</v>
      </c>
      <c r="B800" t="s">
        <v>1376</v>
      </c>
      <c r="C800" t="s">
        <v>15</v>
      </c>
      <c r="D800" t="s">
        <v>61</v>
      </c>
      <c r="E800" t="s">
        <v>17</v>
      </c>
      <c r="F800" t="s">
        <v>18</v>
      </c>
      <c r="G800" s="2">
        <v>154712</v>
      </c>
      <c r="H800" s="1">
        <v>124843</v>
      </c>
      <c r="I800">
        <v>-29869</v>
      </c>
      <c r="J800" t="s">
        <v>37</v>
      </c>
      <c r="K800" t="s">
        <v>48</v>
      </c>
      <c r="L800" t="s">
        <v>30</v>
      </c>
      <c r="M800" t="s">
        <v>42</v>
      </c>
      <c r="N800" s="5">
        <f>Table4[[#This Row],[BudgetAmount]]/Table4[[#This Row],[Variance]]</f>
        <v>-5.1796846228531255</v>
      </c>
      <c r="O800" s="5" t="str">
        <f>TEXT(Table4[[#This Row],[Date]],"mmm")</f>
        <v>Feb</v>
      </c>
      <c r="P800" s="5">
        <f>ABS(Table4[[#This Row],[Variance]])</f>
        <v>29869</v>
      </c>
      <c r="Q800" s="5" t="str">
        <f>IF(Table4[[#This Row],[AB Variances ]]&gt;$P$2,"Anomaly","Normal")</f>
        <v>Anomaly</v>
      </c>
      <c r="R800" s="5">
        <f>SUMIFS(Table4[BudgetAmount],Table4[ActualExpense],"pending")</f>
        <v>0</v>
      </c>
    </row>
    <row r="801" spans="1:18">
      <c r="A801" t="s">
        <v>1377</v>
      </c>
      <c r="B801" t="s">
        <v>1378</v>
      </c>
      <c r="C801" t="s">
        <v>64</v>
      </c>
      <c r="D801" t="s">
        <v>16</v>
      </c>
      <c r="E801" t="s">
        <v>46</v>
      </c>
      <c r="F801" t="s">
        <v>47</v>
      </c>
      <c r="G801" s="2">
        <v>295709</v>
      </c>
      <c r="H801" s="1">
        <v>329812</v>
      </c>
      <c r="I801">
        <v>34103</v>
      </c>
      <c r="J801" t="s">
        <v>19</v>
      </c>
      <c r="K801" t="s">
        <v>41</v>
      </c>
      <c r="L801" t="s">
        <v>49</v>
      </c>
      <c r="M801" t="s">
        <v>42</v>
      </c>
      <c r="N801" s="5">
        <f>Table4[[#This Row],[BudgetAmount]]/Table4[[#This Row],[Variance]]</f>
        <v>8.6710553323754507</v>
      </c>
      <c r="O801" s="5" t="str">
        <f>TEXT(Table4[[#This Row],[Date]],"mmm")</f>
        <v>Mar</v>
      </c>
      <c r="P801" s="5">
        <f>ABS(Table4[[#This Row],[Variance]])</f>
        <v>34103</v>
      </c>
      <c r="Q801" s="5" t="str">
        <f>IF(Table4[[#This Row],[AB Variances ]]&gt;$P$2,"Anomaly","Normal")</f>
        <v>Anomaly</v>
      </c>
      <c r="R801" s="5">
        <f>SUMIFS(Table4[BudgetAmount],Table4[ActualExpense],"pending")</f>
        <v>0</v>
      </c>
    </row>
    <row r="802" spans="1:18">
      <c r="A802" t="s">
        <v>1379</v>
      </c>
      <c r="B802" t="s">
        <v>1380</v>
      </c>
      <c r="C802" t="s">
        <v>64</v>
      </c>
      <c r="D802" t="s">
        <v>34</v>
      </c>
      <c r="E802" t="s">
        <v>35</v>
      </c>
      <c r="F802" t="s">
        <v>36</v>
      </c>
      <c r="G802" s="2">
        <v>89098</v>
      </c>
      <c r="H802" s="1">
        <v>81850</v>
      </c>
      <c r="I802">
        <v>-7248</v>
      </c>
      <c r="J802" t="s">
        <v>54</v>
      </c>
      <c r="K802" t="s">
        <v>29</v>
      </c>
      <c r="L802" t="s">
        <v>49</v>
      </c>
      <c r="M802" t="s">
        <v>22</v>
      </c>
      <c r="N802" s="5">
        <f>Table4[[#This Row],[BudgetAmount]]/Table4[[#This Row],[Variance]]</f>
        <v>-12.292770419426049</v>
      </c>
      <c r="O802" s="5" t="str">
        <f>TEXT(Table4[[#This Row],[Date]],"mmm")</f>
        <v>May</v>
      </c>
      <c r="P802" s="5">
        <f>ABS(Table4[[#This Row],[Variance]])</f>
        <v>7248</v>
      </c>
      <c r="Q802" s="5" t="str">
        <f>IF(Table4[[#This Row],[AB Variances ]]&gt;$P$2,"Anomaly","Normal")</f>
        <v>Normal</v>
      </c>
      <c r="R802" s="5">
        <f>SUMIFS(Table4[BudgetAmount],Table4[ActualExpense],"pending")</f>
        <v>0</v>
      </c>
    </row>
    <row r="803" spans="1:18">
      <c r="A803" t="s">
        <v>1381</v>
      </c>
      <c r="B803" t="s">
        <v>239</v>
      </c>
      <c r="C803" t="s">
        <v>25</v>
      </c>
      <c r="D803" t="s">
        <v>61</v>
      </c>
      <c r="E803" t="s">
        <v>35</v>
      </c>
      <c r="F803" t="s">
        <v>36</v>
      </c>
      <c r="G803" s="2">
        <v>260919</v>
      </c>
      <c r="H803" s="1">
        <v>194992</v>
      </c>
      <c r="I803">
        <v>-65927</v>
      </c>
      <c r="J803" t="s">
        <v>54</v>
      </c>
      <c r="K803" t="s">
        <v>41</v>
      </c>
      <c r="L803" t="s">
        <v>49</v>
      </c>
      <c r="M803" t="s">
        <v>42</v>
      </c>
      <c r="N803" s="5">
        <f>Table4[[#This Row],[BudgetAmount]]/Table4[[#This Row],[Variance]]</f>
        <v>-3.957695633048675</v>
      </c>
      <c r="O803" s="5" t="str">
        <f>TEXT(Table4[[#This Row],[Date]],"mmm")</f>
        <v>Jan</v>
      </c>
      <c r="P803" s="5">
        <f>ABS(Table4[[#This Row],[Variance]])</f>
        <v>65927</v>
      </c>
      <c r="Q803" s="5" t="str">
        <f>IF(Table4[[#This Row],[AB Variances ]]&gt;$P$2,"Anomaly","Normal")</f>
        <v>Anomaly</v>
      </c>
      <c r="R803" s="5">
        <f>SUMIFS(Table4[BudgetAmount],Table4[ActualExpense],"pending")</f>
        <v>0</v>
      </c>
    </row>
    <row r="804" spans="1:18">
      <c r="A804" t="s">
        <v>1382</v>
      </c>
      <c r="B804" t="s">
        <v>1383</v>
      </c>
      <c r="C804" t="s">
        <v>35</v>
      </c>
      <c r="D804" t="s">
        <v>40</v>
      </c>
      <c r="E804" t="s">
        <v>35</v>
      </c>
      <c r="F804" t="s">
        <v>36</v>
      </c>
      <c r="G804" s="2">
        <v>303106</v>
      </c>
      <c r="H804" s="1">
        <v>408204</v>
      </c>
      <c r="I804">
        <v>105098</v>
      </c>
      <c r="J804" t="s">
        <v>19</v>
      </c>
      <c r="K804" t="s">
        <v>29</v>
      </c>
      <c r="L804" t="s">
        <v>68</v>
      </c>
      <c r="M804" t="s">
        <v>42</v>
      </c>
      <c r="N804" s="5">
        <f>Table4[[#This Row],[BudgetAmount]]/Table4[[#This Row],[Variance]]</f>
        <v>2.8840320462806144</v>
      </c>
      <c r="O804" s="5" t="str">
        <f>TEXT(Table4[[#This Row],[Date]],"mmm")</f>
        <v>Apr</v>
      </c>
      <c r="P804" s="5">
        <f>ABS(Table4[[#This Row],[Variance]])</f>
        <v>105098</v>
      </c>
      <c r="Q804" s="5" t="str">
        <f>IF(Table4[[#This Row],[AB Variances ]]&gt;$P$2,"Anomaly","Normal")</f>
        <v>Anomaly</v>
      </c>
      <c r="R804" s="5">
        <f>SUMIFS(Table4[BudgetAmount],Table4[ActualExpense],"pending")</f>
        <v>0</v>
      </c>
    </row>
    <row r="805" spans="1:18">
      <c r="A805" t="s">
        <v>1384</v>
      </c>
      <c r="B805" t="s">
        <v>1385</v>
      </c>
      <c r="C805" t="s">
        <v>15</v>
      </c>
      <c r="D805" t="s">
        <v>40</v>
      </c>
      <c r="E805" t="s">
        <v>46</v>
      </c>
      <c r="F805" t="s">
        <v>47</v>
      </c>
      <c r="G805" s="2">
        <v>492434</v>
      </c>
      <c r="H805" s="1">
        <v>423216</v>
      </c>
      <c r="I805">
        <v>-69218</v>
      </c>
      <c r="J805" t="s">
        <v>37</v>
      </c>
      <c r="K805" t="s">
        <v>20</v>
      </c>
      <c r="L805" t="s">
        <v>49</v>
      </c>
      <c r="M805" t="s">
        <v>22</v>
      </c>
      <c r="N805" s="5">
        <f>Table4[[#This Row],[BudgetAmount]]/Table4[[#This Row],[Variance]]</f>
        <v>-7.1142477390274204</v>
      </c>
      <c r="O805" s="5" t="str">
        <f>TEXT(Table4[[#This Row],[Date]],"mmm")</f>
        <v>Aug</v>
      </c>
      <c r="P805" s="5">
        <f>ABS(Table4[[#This Row],[Variance]])</f>
        <v>69218</v>
      </c>
      <c r="Q805" s="5" t="str">
        <f>IF(Table4[[#This Row],[AB Variances ]]&gt;$P$2,"Anomaly","Normal")</f>
        <v>Anomaly</v>
      </c>
      <c r="R805" s="5">
        <f>SUMIFS(Table4[BudgetAmount],Table4[ActualExpense],"pending")</f>
        <v>0</v>
      </c>
    </row>
    <row r="806" spans="1:18">
      <c r="A806" t="s">
        <v>1386</v>
      </c>
      <c r="B806" t="s">
        <v>172</v>
      </c>
      <c r="C806" t="s">
        <v>33</v>
      </c>
      <c r="D806" t="s">
        <v>16</v>
      </c>
      <c r="E806" t="s">
        <v>46</v>
      </c>
      <c r="F806" t="s">
        <v>47</v>
      </c>
      <c r="G806" s="2">
        <v>299784</v>
      </c>
      <c r="H806" s="1">
        <v>388952</v>
      </c>
      <c r="I806">
        <v>89168</v>
      </c>
      <c r="J806" t="s">
        <v>54</v>
      </c>
      <c r="K806" t="s">
        <v>67</v>
      </c>
      <c r="L806" t="s">
        <v>68</v>
      </c>
      <c r="M806" t="s">
        <v>42</v>
      </c>
      <c r="N806" s="5">
        <f>Table4[[#This Row],[BudgetAmount]]/Table4[[#This Row],[Variance]]</f>
        <v>3.3620132783061187</v>
      </c>
      <c r="O806" s="5" t="str">
        <f>TEXT(Table4[[#This Row],[Date]],"mmm")</f>
        <v>Oct</v>
      </c>
      <c r="P806" s="5">
        <f>ABS(Table4[[#This Row],[Variance]])</f>
        <v>89168</v>
      </c>
      <c r="Q806" s="5" t="str">
        <f>IF(Table4[[#This Row],[AB Variances ]]&gt;$P$2,"Anomaly","Normal")</f>
        <v>Anomaly</v>
      </c>
      <c r="R806" s="5">
        <f>SUMIFS(Table4[BudgetAmount],Table4[ActualExpense],"pending")</f>
        <v>0</v>
      </c>
    </row>
    <row r="807" spans="1:18">
      <c r="A807" t="s">
        <v>1387</v>
      </c>
      <c r="B807" t="s">
        <v>1388</v>
      </c>
      <c r="C807" t="s">
        <v>25</v>
      </c>
      <c r="D807" t="s">
        <v>61</v>
      </c>
      <c r="E807" t="s">
        <v>35</v>
      </c>
      <c r="F807" t="s">
        <v>36</v>
      </c>
      <c r="G807" s="2">
        <v>422769</v>
      </c>
      <c r="H807" s="1">
        <v>464646</v>
      </c>
      <c r="I807">
        <v>41877</v>
      </c>
      <c r="J807" t="s">
        <v>37</v>
      </c>
      <c r="K807" t="s">
        <v>20</v>
      </c>
      <c r="L807" t="s">
        <v>68</v>
      </c>
      <c r="M807" t="s">
        <v>42</v>
      </c>
      <c r="N807" s="5">
        <f>Table4[[#This Row],[BudgetAmount]]/Table4[[#This Row],[Variance]]</f>
        <v>10.095493946557776</v>
      </c>
      <c r="O807" s="5" t="str">
        <f>TEXT(Table4[[#This Row],[Date]],"mmm")</f>
        <v>May</v>
      </c>
      <c r="P807" s="5">
        <f>ABS(Table4[[#This Row],[Variance]])</f>
        <v>41877</v>
      </c>
      <c r="Q807" s="5" t="str">
        <f>IF(Table4[[#This Row],[AB Variances ]]&gt;$P$2,"Anomaly","Normal")</f>
        <v>Anomaly</v>
      </c>
      <c r="R807" s="5">
        <f>SUMIFS(Table4[BudgetAmount],Table4[ActualExpense],"pending")</f>
        <v>0</v>
      </c>
    </row>
    <row r="808" spans="1:18">
      <c r="A808" t="s">
        <v>1389</v>
      </c>
      <c r="B808" t="s">
        <v>1390</v>
      </c>
      <c r="C808" t="s">
        <v>45</v>
      </c>
      <c r="D808" t="s">
        <v>40</v>
      </c>
      <c r="E808" t="s">
        <v>71</v>
      </c>
      <c r="F808" t="s">
        <v>72</v>
      </c>
      <c r="G808" s="2">
        <v>211489</v>
      </c>
      <c r="H808" s="1">
        <v>164296</v>
      </c>
      <c r="I808">
        <v>-47193</v>
      </c>
      <c r="J808" t="s">
        <v>54</v>
      </c>
      <c r="K808" t="s">
        <v>67</v>
      </c>
      <c r="L808" t="s">
        <v>68</v>
      </c>
      <c r="M808" t="s">
        <v>42</v>
      </c>
      <c r="N808" s="5">
        <f>Table4[[#This Row],[BudgetAmount]]/Table4[[#This Row],[Variance]]</f>
        <v>-4.4813637615748094</v>
      </c>
      <c r="O808" s="5" t="str">
        <f>TEXT(Table4[[#This Row],[Date]],"mmm")</f>
        <v>May</v>
      </c>
      <c r="P808" s="5">
        <f>ABS(Table4[[#This Row],[Variance]])</f>
        <v>47193</v>
      </c>
      <c r="Q808" s="5" t="str">
        <f>IF(Table4[[#This Row],[AB Variances ]]&gt;$P$2,"Anomaly","Normal")</f>
        <v>Anomaly</v>
      </c>
      <c r="R808" s="5">
        <f>SUMIFS(Table4[BudgetAmount],Table4[ActualExpense],"pending")</f>
        <v>0</v>
      </c>
    </row>
    <row r="809" spans="1:18">
      <c r="A809" t="s">
        <v>1391</v>
      </c>
      <c r="B809" t="s">
        <v>1392</v>
      </c>
      <c r="C809" t="s">
        <v>35</v>
      </c>
      <c r="D809" t="s">
        <v>40</v>
      </c>
      <c r="E809" t="s">
        <v>27</v>
      </c>
      <c r="F809" t="s">
        <v>28</v>
      </c>
      <c r="G809" s="2">
        <v>151657</v>
      </c>
      <c r="H809" s="1">
        <v>194518</v>
      </c>
      <c r="I809">
        <v>42861</v>
      </c>
      <c r="J809" t="s">
        <v>37</v>
      </c>
      <c r="K809" t="s">
        <v>41</v>
      </c>
      <c r="L809" t="s">
        <v>49</v>
      </c>
      <c r="M809" t="s">
        <v>22</v>
      </c>
      <c r="N809" s="5">
        <f>Table4[[#This Row],[BudgetAmount]]/Table4[[#This Row],[Variance]]</f>
        <v>3.5383448822939267</v>
      </c>
      <c r="O809" s="5" t="str">
        <f>TEXT(Table4[[#This Row],[Date]],"mmm")</f>
        <v>Dec</v>
      </c>
      <c r="P809" s="5">
        <f>ABS(Table4[[#This Row],[Variance]])</f>
        <v>42861</v>
      </c>
      <c r="Q809" s="5" t="str">
        <f>IF(Table4[[#This Row],[AB Variances ]]&gt;$P$2,"Anomaly","Normal")</f>
        <v>Anomaly</v>
      </c>
      <c r="R809" s="5">
        <f>SUMIFS(Table4[BudgetAmount],Table4[ActualExpense],"pending")</f>
        <v>0</v>
      </c>
    </row>
    <row r="810" spans="1:18">
      <c r="A810" t="s">
        <v>1393</v>
      </c>
      <c r="B810" t="s">
        <v>1394</v>
      </c>
      <c r="C810" t="s">
        <v>35</v>
      </c>
      <c r="D810" t="s">
        <v>34</v>
      </c>
      <c r="E810" t="s">
        <v>85</v>
      </c>
      <c r="F810" t="s">
        <v>86</v>
      </c>
      <c r="G810" s="2">
        <v>275135</v>
      </c>
      <c r="H810" s="1">
        <v>290293</v>
      </c>
      <c r="I810">
        <v>15158</v>
      </c>
      <c r="J810" t="s">
        <v>19</v>
      </c>
      <c r="K810" t="s">
        <v>67</v>
      </c>
      <c r="L810" t="s">
        <v>30</v>
      </c>
      <c r="M810" t="s">
        <v>22</v>
      </c>
      <c r="N810" s="5">
        <f>Table4[[#This Row],[BudgetAmount]]/Table4[[#This Row],[Variance]]</f>
        <v>18.151141311518671</v>
      </c>
      <c r="O810" s="5" t="str">
        <f>TEXT(Table4[[#This Row],[Date]],"mmm")</f>
        <v>Nov</v>
      </c>
      <c r="P810" s="5">
        <f>ABS(Table4[[#This Row],[Variance]])</f>
        <v>15158</v>
      </c>
      <c r="Q810" s="5" t="str">
        <f>IF(Table4[[#This Row],[AB Variances ]]&gt;$P$2,"Anomaly","Normal")</f>
        <v>Normal</v>
      </c>
      <c r="R810" s="5">
        <f>SUMIFS(Table4[BudgetAmount],Table4[ActualExpense],"pending")</f>
        <v>0</v>
      </c>
    </row>
    <row r="811" spans="1:18">
      <c r="A811" t="s">
        <v>1395</v>
      </c>
      <c r="B811" t="s">
        <v>1091</v>
      </c>
      <c r="C811" t="s">
        <v>15</v>
      </c>
      <c r="D811" t="s">
        <v>34</v>
      </c>
      <c r="E811" t="s">
        <v>71</v>
      </c>
      <c r="F811" t="s">
        <v>72</v>
      </c>
      <c r="G811" s="2">
        <v>161080</v>
      </c>
      <c r="H811" s="1">
        <v>114048</v>
      </c>
      <c r="I811">
        <v>-47032</v>
      </c>
      <c r="J811" t="s">
        <v>37</v>
      </c>
      <c r="K811" t="s">
        <v>29</v>
      </c>
      <c r="L811" t="s">
        <v>49</v>
      </c>
      <c r="M811" t="s">
        <v>22</v>
      </c>
      <c r="N811" s="5">
        <f>Table4[[#This Row],[BudgetAmount]]/Table4[[#This Row],[Variance]]</f>
        <v>-3.424902194250723</v>
      </c>
      <c r="O811" s="5" t="str">
        <f>TEXT(Table4[[#This Row],[Date]],"mmm")</f>
        <v>Dec</v>
      </c>
      <c r="P811" s="5">
        <f>ABS(Table4[[#This Row],[Variance]])</f>
        <v>47032</v>
      </c>
      <c r="Q811" s="5" t="str">
        <f>IF(Table4[[#This Row],[AB Variances ]]&gt;$P$2,"Anomaly","Normal")</f>
        <v>Anomaly</v>
      </c>
      <c r="R811" s="5">
        <f>SUMIFS(Table4[BudgetAmount],Table4[ActualExpense],"pending")</f>
        <v>0</v>
      </c>
    </row>
    <row r="812" spans="1:18">
      <c r="A812" t="s">
        <v>1396</v>
      </c>
      <c r="B812" t="s">
        <v>1152</v>
      </c>
      <c r="C812" t="s">
        <v>33</v>
      </c>
      <c r="D812" t="s">
        <v>34</v>
      </c>
      <c r="E812" t="s">
        <v>46</v>
      </c>
      <c r="F812" t="s">
        <v>47</v>
      </c>
      <c r="G812" s="2">
        <v>141394</v>
      </c>
      <c r="H812" s="1">
        <v>120708</v>
      </c>
      <c r="I812">
        <v>-20686</v>
      </c>
      <c r="J812" t="s">
        <v>37</v>
      </c>
      <c r="K812" t="s">
        <v>29</v>
      </c>
      <c r="L812" t="s">
        <v>21</v>
      </c>
      <c r="M812" t="s">
        <v>22</v>
      </c>
      <c r="N812" s="5">
        <f>Table4[[#This Row],[BudgetAmount]]/Table4[[#This Row],[Variance]]</f>
        <v>-6.8352508943246644</v>
      </c>
      <c r="O812" s="5" t="str">
        <f>TEXT(Table4[[#This Row],[Date]],"mmm")</f>
        <v>Jan</v>
      </c>
      <c r="P812" s="5">
        <f>ABS(Table4[[#This Row],[Variance]])</f>
        <v>20686</v>
      </c>
      <c r="Q812" s="5" t="str">
        <f>IF(Table4[[#This Row],[AB Variances ]]&gt;$P$2,"Anomaly","Normal")</f>
        <v>Anomaly</v>
      </c>
      <c r="R812" s="5">
        <f>SUMIFS(Table4[BudgetAmount],Table4[ActualExpense],"pending")</f>
        <v>0</v>
      </c>
    </row>
    <row r="813" spans="1:18">
      <c r="A813" t="s">
        <v>1397</v>
      </c>
      <c r="B813" t="s">
        <v>1398</v>
      </c>
      <c r="C813" t="s">
        <v>64</v>
      </c>
      <c r="D813" t="s">
        <v>26</v>
      </c>
      <c r="E813" t="s">
        <v>17</v>
      </c>
      <c r="F813" t="s">
        <v>18</v>
      </c>
      <c r="G813" s="2">
        <v>161026</v>
      </c>
      <c r="H813" s="1">
        <v>198086</v>
      </c>
      <c r="I813">
        <v>37060</v>
      </c>
      <c r="J813" t="s">
        <v>54</v>
      </c>
      <c r="K813" t="s">
        <v>29</v>
      </c>
      <c r="L813" t="s">
        <v>68</v>
      </c>
      <c r="M813" t="s">
        <v>42</v>
      </c>
      <c r="N813" s="5">
        <f>Table4[[#This Row],[BudgetAmount]]/Table4[[#This Row],[Variance]]</f>
        <v>4.3450080949811118</v>
      </c>
      <c r="O813" s="5" t="str">
        <f>TEXT(Table4[[#This Row],[Date]],"mmm")</f>
        <v>Jun</v>
      </c>
      <c r="P813" s="5">
        <f>ABS(Table4[[#This Row],[Variance]])</f>
        <v>37060</v>
      </c>
      <c r="Q813" s="5" t="str">
        <f>IF(Table4[[#This Row],[AB Variances ]]&gt;$P$2,"Anomaly","Normal")</f>
        <v>Anomaly</v>
      </c>
      <c r="R813" s="5">
        <f>SUMIFS(Table4[BudgetAmount],Table4[ActualExpense],"pending")</f>
        <v>0</v>
      </c>
    </row>
    <row r="814" spans="1:18">
      <c r="A814" t="s">
        <v>1399</v>
      </c>
      <c r="B814" t="s">
        <v>1311</v>
      </c>
      <c r="C814" t="s">
        <v>25</v>
      </c>
      <c r="D814" t="s">
        <v>40</v>
      </c>
      <c r="E814" t="s">
        <v>27</v>
      </c>
      <c r="F814" t="s">
        <v>28</v>
      </c>
      <c r="G814" s="2">
        <v>185228</v>
      </c>
      <c r="H814" s="1">
        <v>242726</v>
      </c>
      <c r="I814">
        <v>57498</v>
      </c>
      <c r="J814" t="s">
        <v>37</v>
      </c>
      <c r="K814" t="s">
        <v>29</v>
      </c>
      <c r="L814" t="s">
        <v>30</v>
      </c>
      <c r="M814" t="s">
        <v>42</v>
      </c>
      <c r="N814" s="5">
        <f>Table4[[#This Row],[BudgetAmount]]/Table4[[#This Row],[Variance]]</f>
        <v>3.2214685728199242</v>
      </c>
      <c r="O814" s="5" t="str">
        <f>TEXT(Table4[[#This Row],[Date]],"mmm")</f>
        <v>Oct</v>
      </c>
      <c r="P814" s="5">
        <f>ABS(Table4[[#This Row],[Variance]])</f>
        <v>57498</v>
      </c>
      <c r="Q814" s="5" t="str">
        <f>IF(Table4[[#This Row],[AB Variances ]]&gt;$P$2,"Anomaly","Normal")</f>
        <v>Anomaly</v>
      </c>
      <c r="R814" s="5">
        <f>SUMIFS(Table4[BudgetAmount],Table4[ActualExpense],"pending")</f>
        <v>0</v>
      </c>
    </row>
    <row r="815" spans="1:18">
      <c r="A815" t="s">
        <v>1400</v>
      </c>
      <c r="B815" t="s">
        <v>243</v>
      </c>
      <c r="C815" t="s">
        <v>35</v>
      </c>
      <c r="D815" t="s">
        <v>40</v>
      </c>
      <c r="E815" t="s">
        <v>85</v>
      </c>
      <c r="F815" t="s">
        <v>86</v>
      </c>
      <c r="G815" s="2">
        <v>230712</v>
      </c>
      <c r="H815" s="1">
        <v>218699</v>
      </c>
      <c r="I815">
        <v>-12013</v>
      </c>
      <c r="J815" t="s">
        <v>19</v>
      </c>
      <c r="K815" t="s">
        <v>20</v>
      </c>
      <c r="L815" t="s">
        <v>49</v>
      </c>
      <c r="M815" t="s">
        <v>42</v>
      </c>
      <c r="N815" s="5">
        <f>Table4[[#This Row],[BudgetAmount]]/Table4[[#This Row],[Variance]]</f>
        <v>-19.20519437276284</v>
      </c>
      <c r="O815" s="5" t="str">
        <f>TEXT(Table4[[#This Row],[Date]],"mmm")</f>
        <v>Apr</v>
      </c>
      <c r="P815" s="5">
        <f>ABS(Table4[[#This Row],[Variance]])</f>
        <v>12013</v>
      </c>
      <c r="Q815" s="5" t="str">
        <f>IF(Table4[[#This Row],[AB Variances ]]&gt;$P$2,"Anomaly","Normal")</f>
        <v>Normal</v>
      </c>
      <c r="R815" s="5">
        <f>SUMIFS(Table4[BudgetAmount],Table4[ActualExpense],"pending")</f>
        <v>0</v>
      </c>
    </row>
    <row r="816" spans="1:18">
      <c r="A816" t="s">
        <v>1401</v>
      </c>
      <c r="B816" t="s">
        <v>1402</v>
      </c>
      <c r="C816" t="s">
        <v>15</v>
      </c>
      <c r="D816" t="s">
        <v>40</v>
      </c>
      <c r="E816" t="s">
        <v>46</v>
      </c>
      <c r="F816" t="s">
        <v>47</v>
      </c>
      <c r="G816" s="2">
        <v>142637</v>
      </c>
      <c r="H816" s="1">
        <v>193592</v>
      </c>
      <c r="I816">
        <v>50955</v>
      </c>
      <c r="J816" t="s">
        <v>54</v>
      </c>
      <c r="K816" t="s">
        <v>48</v>
      </c>
      <c r="L816" t="s">
        <v>21</v>
      </c>
      <c r="M816" t="s">
        <v>42</v>
      </c>
      <c r="N816" s="5">
        <f>Table4[[#This Row],[BudgetAmount]]/Table4[[#This Row],[Variance]]</f>
        <v>2.7992738691001864</v>
      </c>
      <c r="O816" s="5" t="str">
        <f>TEXT(Table4[[#This Row],[Date]],"mmm")</f>
        <v>Jan</v>
      </c>
      <c r="P816" s="5">
        <f>ABS(Table4[[#This Row],[Variance]])</f>
        <v>50955</v>
      </c>
      <c r="Q816" s="5" t="str">
        <f>IF(Table4[[#This Row],[AB Variances ]]&gt;$P$2,"Anomaly","Normal")</f>
        <v>Anomaly</v>
      </c>
      <c r="R816" s="5">
        <f>SUMIFS(Table4[BudgetAmount],Table4[ActualExpense],"pending")</f>
        <v>0</v>
      </c>
    </row>
    <row r="817" spans="1:18">
      <c r="A817" t="s">
        <v>1403</v>
      </c>
      <c r="B817" t="s">
        <v>1404</v>
      </c>
      <c r="C817" t="s">
        <v>15</v>
      </c>
      <c r="D817" t="s">
        <v>26</v>
      </c>
      <c r="E817" t="s">
        <v>35</v>
      </c>
      <c r="F817" t="s">
        <v>36</v>
      </c>
      <c r="G817" s="2">
        <v>54270</v>
      </c>
      <c r="H817" s="1">
        <v>49728</v>
      </c>
      <c r="I817">
        <v>-4542</v>
      </c>
      <c r="J817" t="s">
        <v>54</v>
      </c>
      <c r="K817" t="s">
        <v>48</v>
      </c>
      <c r="L817" t="s">
        <v>21</v>
      </c>
      <c r="M817" t="s">
        <v>22</v>
      </c>
      <c r="N817" s="5">
        <f>Table4[[#This Row],[BudgetAmount]]/Table4[[#This Row],[Variance]]</f>
        <v>-11.948480845442536</v>
      </c>
      <c r="O817" s="5" t="str">
        <f>TEXT(Table4[[#This Row],[Date]],"mmm")</f>
        <v>Mar</v>
      </c>
      <c r="P817" s="5">
        <f>ABS(Table4[[#This Row],[Variance]])</f>
        <v>4542</v>
      </c>
      <c r="Q817" s="5" t="str">
        <f>IF(Table4[[#This Row],[AB Variances ]]&gt;$P$2,"Anomaly","Normal")</f>
        <v>Normal</v>
      </c>
      <c r="R817" s="5">
        <f>SUMIFS(Table4[BudgetAmount],Table4[ActualExpense],"pending")</f>
        <v>0</v>
      </c>
    </row>
    <row r="818" spans="1:18">
      <c r="A818" t="s">
        <v>1405</v>
      </c>
      <c r="B818" t="s">
        <v>506</v>
      </c>
      <c r="C818" t="s">
        <v>35</v>
      </c>
      <c r="D818" t="s">
        <v>26</v>
      </c>
      <c r="E818" t="s">
        <v>35</v>
      </c>
      <c r="F818" t="s">
        <v>36</v>
      </c>
      <c r="G818" s="2">
        <v>487455</v>
      </c>
      <c r="H818" s="1">
        <v>350990</v>
      </c>
      <c r="I818">
        <v>-136465</v>
      </c>
      <c r="J818" t="s">
        <v>54</v>
      </c>
      <c r="K818" t="s">
        <v>29</v>
      </c>
      <c r="L818" t="s">
        <v>49</v>
      </c>
      <c r="M818" t="s">
        <v>42</v>
      </c>
      <c r="N818" s="5">
        <f>Table4[[#This Row],[BudgetAmount]]/Table4[[#This Row],[Variance]]</f>
        <v>-3.5720148023302678</v>
      </c>
      <c r="O818" s="5" t="str">
        <f>TEXT(Table4[[#This Row],[Date]],"mmm")</f>
        <v>Nov</v>
      </c>
      <c r="P818" s="5">
        <f>ABS(Table4[[#This Row],[Variance]])</f>
        <v>136465</v>
      </c>
      <c r="Q818" s="5" t="str">
        <f>IF(Table4[[#This Row],[AB Variances ]]&gt;$P$2,"Anomaly","Normal")</f>
        <v>Anomaly</v>
      </c>
      <c r="R818" s="5">
        <f>SUMIFS(Table4[BudgetAmount],Table4[ActualExpense],"pending")</f>
        <v>0</v>
      </c>
    </row>
    <row r="819" spans="1:18">
      <c r="A819" t="s">
        <v>1406</v>
      </c>
      <c r="B819" t="s">
        <v>622</v>
      </c>
      <c r="C819" t="s">
        <v>45</v>
      </c>
      <c r="D819" t="s">
        <v>34</v>
      </c>
      <c r="E819" t="s">
        <v>27</v>
      </c>
      <c r="F819" t="s">
        <v>28</v>
      </c>
      <c r="G819" s="2">
        <v>488978</v>
      </c>
      <c r="H819" s="1">
        <v>659405</v>
      </c>
      <c r="I819">
        <v>170427</v>
      </c>
      <c r="J819" t="s">
        <v>19</v>
      </c>
      <c r="K819" t="s">
        <v>48</v>
      </c>
      <c r="L819" t="s">
        <v>30</v>
      </c>
      <c r="M819" t="s">
        <v>22</v>
      </c>
      <c r="N819" s="5">
        <f>Table4[[#This Row],[BudgetAmount]]/Table4[[#This Row],[Variance]]</f>
        <v>2.8691345854823473</v>
      </c>
      <c r="O819" s="5" t="str">
        <f>TEXT(Table4[[#This Row],[Date]],"mmm")</f>
        <v>Sep</v>
      </c>
      <c r="P819" s="5">
        <f>ABS(Table4[[#This Row],[Variance]])</f>
        <v>170427</v>
      </c>
      <c r="Q819" s="5" t="str">
        <f>IF(Table4[[#This Row],[AB Variances ]]&gt;$P$2,"Anomaly","Normal")</f>
        <v>Anomaly</v>
      </c>
      <c r="R819" s="5">
        <f>SUMIFS(Table4[BudgetAmount],Table4[ActualExpense],"pending")</f>
        <v>0</v>
      </c>
    </row>
    <row r="820" spans="1:18">
      <c r="A820" t="s">
        <v>1407</v>
      </c>
      <c r="B820" t="s">
        <v>1408</v>
      </c>
      <c r="C820" t="s">
        <v>35</v>
      </c>
      <c r="D820" t="s">
        <v>40</v>
      </c>
      <c r="E820" t="s">
        <v>27</v>
      </c>
      <c r="F820" t="s">
        <v>28</v>
      </c>
      <c r="G820" s="2">
        <v>218051</v>
      </c>
      <c r="H820" s="1">
        <v>221639</v>
      </c>
      <c r="I820">
        <v>3588</v>
      </c>
      <c r="J820" t="s">
        <v>19</v>
      </c>
      <c r="K820" t="s">
        <v>48</v>
      </c>
      <c r="L820" t="s">
        <v>49</v>
      </c>
      <c r="M820" t="s">
        <v>22</v>
      </c>
      <c r="N820" s="5">
        <f>Table4[[#This Row],[BudgetAmount]]/Table4[[#This Row],[Variance]]</f>
        <v>60.772296544035676</v>
      </c>
      <c r="O820" s="5" t="str">
        <f>TEXT(Table4[[#This Row],[Date]],"mmm")</f>
        <v>Feb</v>
      </c>
      <c r="P820" s="5">
        <f>ABS(Table4[[#This Row],[Variance]])</f>
        <v>3588</v>
      </c>
      <c r="Q820" s="5" t="str">
        <f>IF(Table4[[#This Row],[AB Variances ]]&gt;$P$2,"Anomaly","Normal")</f>
        <v>Normal</v>
      </c>
      <c r="R820" s="5">
        <f>SUMIFS(Table4[BudgetAmount],Table4[ActualExpense],"pending")</f>
        <v>0</v>
      </c>
    </row>
    <row r="821" spans="1:18">
      <c r="A821" t="s">
        <v>1409</v>
      </c>
      <c r="B821" t="s">
        <v>112</v>
      </c>
      <c r="C821" t="s">
        <v>45</v>
      </c>
      <c r="D821" t="s">
        <v>16</v>
      </c>
      <c r="E821" t="s">
        <v>27</v>
      </c>
      <c r="F821" t="s">
        <v>28</v>
      </c>
      <c r="G821" s="2">
        <v>248455</v>
      </c>
      <c r="H821" s="1">
        <v>177406</v>
      </c>
      <c r="I821">
        <v>-71049</v>
      </c>
      <c r="J821" t="s">
        <v>19</v>
      </c>
      <c r="K821" t="s">
        <v>67</v>
      </c>
      <c r="L821" t="s">
        <v>68</v>
      </c>
      <c r="M821" t="s">
        <v>22</v>
      </c>
      <c r="N821" s="5">
        <f>Table4[[#This Row],[BudgetAmount]]/Table4[[#This Row],[Variance]]</f>
        <v>-3.496952807217554</v>
      </c>
      <c r="O821" s="5" t="str">
        <f>TEXT(Table4[[#This Row],[Date]],"mmm")</f>
        <v>Mar</v>
      </c>
      <c r="P821" s="5">
        <f>ABS(Table4[[#This Row],[Variance]])</f>
        <v>71049</v>
      </c>
      <c r="Q821" s="5" t="str">
        <f>IF(Table4[[#This Row],[AB Variances ]]&gt;$P$2,"Anomaly","Normal")</f>
        <v>Anomaly</v>
      </c>
      <c r="R821" s="5">
        <f>SUMIFS(Table4[BudgetAmount],Table4[ActualExpense],"pending")</f>
        <v>0</v>
      </c>
    </row>
    <row r="822" spans="1:18">
      <c r="A822" t="s">
        <v>1410</v>
      </c>
      <c r="B822" t="s">
        <v>845</v>
      </c>
      <c r="C822" t="s">
        <v>64</v>
      </c>
      <c r="D822" t="s">
        <v>34</v>
      </c>
      <c r="E822" t="s">
        <v>71</v>
      </c>
      <c r="F822" t="s">
        <v>72</v>
      </c>
      <c r="G822" s="2">
        <v>495756</v>
      </c>
      <c r="H822" s="1">
        <v>671215</v>
      </c>
      <c r="I822">
        <v>175459</v>
      </c>
      <c r="J822" t="s">
        <v>19</v>
      </c>
      <c r="K822" t="s">
        <v>48</v>
      </c>
      <c r="L822" t="s">
        <v>21</v>
      </c>
      <c r="M822" t="s">
        <v>22</v>
      </c>
      <c r="N822" s="5">
        <f>Table4[[#This Row],[BudgetAmount]]/Table4[[#This Row],[Variance]]</f>
        <v>2.8254805966066145</v>
      </c>
      <c r="O822" s="5" t="str">
        <f>TEXT(Table4[[#This Row],[Date]],"mmm")</f>
        <v>Mar</v>
      </c>
      <c r="P822" s="5">
        <f>ABS(Table4[[#This Row],[Variance]])</f>
        <v>175459</v>
      </c>
      <c r="Q822" s="5" t="str">
        <f>IF(Table4[[#This Row],[AB Variances ]]&gt;$P$2,"Anomaly","Normal")</f>
        <v>Anomaly</v>
      </c>
      <c r="R822" s="5">
        <f>SUMIFS(Table4[BudgetAmount],Table4[ActualExpense],"pending")</f>
        <v>0</v>
      </c>
    </row>
    <row r="823" spans="1:18">
      <c r="A823" t="s">
        <v>1411</v>
      </c>
      <c r="B823" t="s">
        <v>1074</v>
      </c>
      <c r="C823" t="s">
        <v>45</v>
      </c>
      <c r="D823" t="s">
        <v>34</v>
      </c>
      <c r="E823" t="s">
        <v>46</v>
      </c>
      <c r="F823" t="s">
        <v>47</v>
      </c>
      <c r="G823" s="2">
        <v>236727</v>
      </c>
      <c r="H823" s="1">
        <v>283652</v>
      </c>
      <c r="I823">
        <v>46925</v>
      </c>
      <c r="J823" t="s">
        <v>54</v>
      </c>
      <c r="K823" t="s">
        <v>48</v>
      </c>
      <c r="L823" t="s">
        <v>30</v>
      </c>
      <c r="M823" t="s">
        <v>42</v>
      </c>
      <c r="N823" s="5">
        <f>Table4[[#This Row],[BudgetAmount]]/Table4[[#This Row],[Variance]]</f>
        <v>5.0447948854555138</v>
      </c>
      <c r="O823" s="5" t="str">
        <f>TEXT(Table4[[#This Row],[Date]],"mmm")</f>
        <v>Dec</v>
      </c>
      <c r="P823" s="5">
        <f>ABS(Table4[[#This Row],[Variance]])</f>
        <v>46925</v>
      </c>
      <c r="Q823" s="5" t="str">
        <f>IF(Table4[[#This Row],[AB Variances ]]&gt;$P$2,"Anomaly","Normal")</f>
        <v>Anomaly</v>
      </c>
      <c r="R823" s="5">
        <f>SUMIFS(Table4[BudgetAmount],Table4[ActualExpense],"pending")</f>
        <v>0</v>
      </c>
    </row>
    <row r="824" spans="1:18">
      <c r="A824" t="s">
        <v>1412</v>
      </c>
      <c r="B824" t="s">
        <v>1085</v>
      </c>
      <c r="C824" t="s">
        <v>33</v>
      </c>
      <c r="D824" t="s">
        <v>16</v>
      </c>
      <c r="E824" t="s">
        <v>35</v>
      </c>
      <c r="F824" t="s">
        <v>36</v>
      </c>
      <c r="G824" s="2">
        <v>334413</v>
      </c>
      <c r="H824" s="1">
        <v>239028</v>
      </c>
      <c r="I824">
        <v>-95385</v>
      </c>
      <c r="J824" t="s">
        <v>54</v>
      </c>
      <c r="K824" t="s">
        <v>67</v>
      </c>
      <c r="L824" t="s">
        <v>21</v>
      </c>
      <c r="M824" t="s">
        <v>42</v>
      </c>
      <c r="N824" s="5">
        <f>Table4[[#This Row],[BudgetAmount]]/Table4[[#This Row],[Variance]]</f>
        <v>-3.5059286051265923</v>
      </c>
      <c r="O824" s="5" t="str">
        <f>TEXT(Table4[[#This Row],[Date]],"mmm")</f>
        <v>Sep</v>
      </c>
      <c r="P824" s="5">
        <f>ABS(Table4[[#This Row],[Variance]])</f>
        <v>95385</v>
      </c>
      <c r="Q824" s="5" t="str">
        <f>IF(Table4[[#This Row],[AB Variances ]]&gt;$P$2,"Anomaly","Normal")</f>
        <v>Anomaly</v>
      </c>
      <c r="R824" s="5">
        <f>SUMIFS(Table4[BudgetAmount],Table4[ActualExpense],"pending")</f>
        <v>0</v>
      </c>
    </row>
    <row r="825" spans="1:18">
      <c r="A825" t="s">
        <v>1413</v>
      </c>
      <c r="B825" t="s">
        <v>603</v>
      </c>
      <c r="C825" t="s">
        <v>64</v>
      </c>
      <c r="D825" t="s">
        <v>40</v>
      </c>
      <c r="E825" t="s">
        <v>35</v>
      </c>
      <c r="F825" t="s">
        <v>36</v>
      </c>
      <c r="G825" s="2">
        <v>100362</v>
      </c>
      <c r="H825" s="1">
        <v>85332</v>
      </c>
      <c r="I825">
        <v>-15030</v>
      </c>
      <c r="J825" t="s">
        <v>37</v>
      </c>
      <c r="K825" t="s">
        <v>29</v>
      </c>
      <c r="L825" t="s">
        <v>49</v>
      </c>
      <c r="M825" t="s">
        <v>42</v>
      </c>
      <c r="N825" s="5">
        <f>Table4[[#This Row],[BudgetAmount]]/Table4[[#This Row],[Variance]]</f>
        <v>-6.6774451097804395</v>
      </c>
      <c r="O825" s="5" t="str">
        <f>TEXT(Table4[[#This Row],[Date]],"mmm")</f>
        <v>Sep</v>
      </c>
      <c r="P825" s="5">
        <f>ABS(Table4[[#This Row],[Variance]])</f>
        <v>15030</v>
      </c>
      <c r="Q825" s="5" t="str">
        <f>IF(Table4[[#This Row],[AB Variances ]]&gt;$P$2,"Anomaly","Normal")</f>
        <v>Normal</v>
      </c>
      <c r="R825" s="5">
        <f>SUMIFS(Table4[BudgetAmount],Table4[ActualExpense],"pending")</f>
        <v>0</v>
      </c>
    </row>
    <row r="826" spans="1:18">
      <c r="A826" t="s">
        <v>1414</v>
      </c>
      <c r="B826" t="s">
        <v>60</v>
      </c>
      <c r="C826" t="s">
        <v>15</v>
      </c>
      <c r="D826" t="s">
        <v>16</v>
      </c>
      <c r="E826" t="s">
        <v>85</v>
      </c>
      <c r="F826" t="s">
        <v>86</v>
      </c>
      <c r="G826" s="2">
        <v>268508</v>
      </c>
      <c r="H826" s="1">
        <v>251967</v>
      </c>
      <c r="I826">
        <v>-16541</v>
      </c>
      <c r="J826" t="s">
        <v>54</v>
      </c>
      <c r="K826" t="s">
        <v>20</v>
      </c>
      <c r="L826" t="s">
        <v>21</v>
      </c>
      <c r="M826" t="s">
        <v>42</v>
      </c>
      <c r="N826" s="5">
        <f>Table4[[#This Row],[BudgetAmount]]/Table4[[#This Row],[Variance]]</f>
        <v>-16.232875884166617</v>
      </c>
      <c r="O826" s="5" t="str">
        <f>TEXT(Table4[[#This Row],[Date]],"mmm")</f>
        <v>Aug</v>
      </c>
      <c r="P826" s="5">
        <f>ABS(Table4[[#This Row],[Variance]])</f>
        <v>16541</v>
      </c>
      <c r="Q826" s="5" t="str">
        <f>IF(Table4[[#This Row],[AB Variances ]]&gt;$P$2,"Anomaly","Normal")</f>
        <v>Normal</v>
      </c>
      <c r="R826" s="5">
        <f>SUMIFS(Table4[BudgetAmount],Table4[ActualExpense],"pending")</f>
        <v>0</v>
      </c>
    </row>
    <row r="827" spans="1:18">
      <c r="A827" t="s">
        <v>1415</v>
      </c>
      <c r="B827" t="s">
        <v>1416</v>
      </c>
      <c r="C827" t="s">
        <v>33</v>
      </c>
      <c r="D827" t="s">
        <v>40</v>
      </c>
      <c r="E827" t="s">
        <v>17</v>
      </c>
      <c r="F827" t="s">
        <v>18</v>
      </c>
      <c r="G827" s="2">
        <v>253337</v>
      </c>
      <c r="H827" s="1">
        <v>336487</v>
      </c>
      <c r="I827">
        <v>83150</v>
      </c>
      <c r="J827" t="s">
        <v>54</v>
      </c>
      <c r="K827" t="s">
        <v>29</v>
      </c>
      <c r="L827" t="s">
        <v>49</v>
      </c>
      <c r="M827" t="s">
        <v>22</v>
      </c>
      <c r="N827" s="5">
        <f>Table4[[#This Row],[BudgetAmount]]/Table4[[#This Row],[Variance]]</f>
        <v>3.0467468430547204</v>
      </c>
      <c r="O827" s="5" t="str">
        <f>TEXT(Table4[[#This Row],[Date]],"mmm")</f>
        <v>May</v>
      </c>
      <c r="P827" s="5">
        <f>ABS(Table4[[#This Row],[Variance]])</f>
        <v>83150</v>
      </c>
      <c r="Q827" s="5" t="str">
        <f>IF(Table4[[#This Row],[AB Variances ]]&gt;$P$2,"Anomaly","Normal")</f>
        <v>Anomaly</v>
      </c>
      <c r="R827" s="5">
        <f>SUMIFS(Table4[BudgetAmount],Table4[ActualExpense],"pending")</f>
        <v>0</v>
      </c>
    </row>
    <row r="828" spans="1:18">
      <c r="A828" t="s">
        <v>1417</v>
      </c>
      <c r="B828" t="s">
        <v>350</v>
      </c>
      <c r="C828" t="s">
        <v>15</v>
      </c>
      <c r="D828" t="s">
        <v>16</v>
      </c>
      <c r="E828" t="s">
        <v>35</v>
      </c>
      <c r="F828" t="s">
        <v>36</v>
      </c>
      <c r="G828" s="2">
        <v>473108</v>
      </c>
      <c r="H828" s="1">
        <v>521259</v>
      </c>
      <c r="I828">
        <v>48151</v>
      </c>
      <c r="J828" t="s">
        <v>37</v>
      </c>
      <c r="K828" t="s">
        <v>41</v>
      </c>
      <c r="L828" t="s">
        <v>30</v>
      </c>
      <c r="M828" t="s">
        <v>22</v>
      </c>
      <c r="N828" s="5">
        <f>Table4[[#This Row],[BudgetAmount]]/Table4[[#This Row],[Variance]]</f>
        <v>9.8255072584162324</v>
      </c>
      <c r="O828" s="5" t="str">
        <f>TEXT(Table4[[#This Row],[Date]],"mmm")</f>
        <v>Jan</v>
      </c>
      <c r="P828" s="5">
        <f>ABS(Table4[[#This Row],[Variance]])</f>
        <v>48151</v>
      </c>
      <c r="Q828" s="5" t="str">
        <f>IF(Table4[[#This Row],[AB Variances ]]&gt;$P$2,"Anomaly","Normal")</f>
        <v>Anomaly</v>
      </c>
      <c r="R828" s="5">
        <f>SUMIFS(Table4[BudgetAmount],Table4[ActualExpense],"pending")</f>
        <v>0</v>
      </c>
    </row>
    <row r="829" spans="1:18">
      <c r="A829" t="s">
        <v>1418</v>
      </c>
      <c r="B829" t="s">
        <v>1419</v>
      </c>
      <c r="C829" t="s">
        <v>25</v>
      </c>
      <c r="D829" t="s">
        <v>34</v>
      </c>
      <c r="E829" t="s">
        <v>35</v>
      </c>
      <c r="F829" t="s">
        <v>36</v>
      </c>
      <c r="G829" s="2">
        <v>477257</v>
      </c>
      <c r="H829" s="1">
        <v>512839</v>
      </c>
      <c r="I829">
        <v>35582</v>
      </c>
      <c r="J829" t="s">
        <v>37</v>
      </c>
      <c r="K829" t="s">
        <v>67</v>
      </c>
      <c r="L829" t="s">
        <v>49</v>
      </c>
      <c r="M829" t="s">
        <v>42</v>
      </c>
      <c r="N829" s="5">
        <f>Table4[[#This Row],[BudgetAmount]]/Table4[[#This Row],[Variance]]</f>
        <v>13.412877297509977</v>
      </c>
      <c r="O829" s="5" t="str">
        <f>TEXT(Table4[[#This Row],[Date]],"mmm")</f>
        <v>Oct</v>
      </c>
      <c r="P829" s="5">
        <f>ABS(Table4[[#This Row],[Variance]])</f>
        <v>35582</v>
      </c>
      <c r="Q829" s="5" t="str">
        <f>IF(Table4[[#This Row],[AB Variances ]]&gt;$P$2,"Anomaly","Normal")</f>
        <v>Anomaly</v>
      </c>
      <c r="R829" s="5">
        <f>SUMIFS(Table4[BudgetAmount],Table4[ActualExpense],"pending")</f>
        <v>0</v>
      </c>
    </row>
    <row r="830" spans="1:18">
      <c r="A830" t="s">
        <v>1420</v>
      </c>
      <c r="B830" t="s">
        <v>1025</v>
      </c>
      <c r="C830" t="s">
        <v>25</v>
      </c>
      <c r="D830" t="s">
        <v>16</v>
      </c>
      <c r="E830" t="s">
        <v>71</v>
      </c>
      <c r="F830" t="s">
        <v>72</v>
      </c>
      <c r="G830" s="2">
        <v>96648</v>
      </c>
      <c r="H830" s="1">
        <v>115848</v>
      </c>
      <c r="I830">
        <v>19200</v>
      </c>
      <c r="J830" t="s">
        <v>37</v>
      </c>
      <c r="K830" t="s">
        <v>67</v>
      </c>
      <c r="L830" t="s">
        <v>49</v>
      </c>
      <c r="M830" t="s">
        <v>42</v>
      </c>
      <c r="N830" s="5">
        <f>Table4[[#This Row],[BudgetAmount]]/Table4[[#This Row],[Variance]]</f>
        <v>5.0337500000000004</v>
      </c>
      <c r="O830" s="5" t="str">
        <f>TEXT(Table4[[#This Row],[Date]],"mmm")</f>
        <v>Apr</v>
      </c>
      <c r="P830" s="5">
        <f>ABS(Table4[[#This Row],[Variance]])</f>
        <v>19200</v>
      </c>
      <c r="Q830" s="5" t="str">
        <f>IF(Table4[[#This Row],[AB Variances ]]&gt;$P$2,"Anomaly","Normal")</f>
        <v>Anomaly</v>
      </c>
      <c r="R830" s="5">
        <f>SUMIFS(Table4[BudgetAmount],Table4[ActualExpense],"pending")</f>
        <v>0</v>
      </c>
    </row>
    <row r="831" spans="1:18">
      <c r="A831" t="s">
        <v>1421</v>
      </c>
      <c r="B831" t="s">
        <v>1422</v>
      </c>
      <c r="C831" t="s">
        <v>45</v>
      </c>
      <c r="D831" t="s">
        <v>26</v>
      </c>
      <c r="E831" t="s">
        <v>27</v>
      </c>
      <c r="F831" t="s">
        <v>28</v>
      </c>
      <c r="G831" s="2">
        <v>432449</v>
      </c>
      <c r="H831" s="1">
        <v>374333</v>
      </c>
      <c r="I831">
        <v>-58116</v>
      </c>
      <c r="J831" t="s">
        <v>37</v>
      </c>
      <c r="K831" t="s">
        <v>41</v>
      </c>
      <c r="L831" t="s">
        <v>30</v>
      </c>
      <c r="M831" t="s">
        <v>22</v>
      </c>
      <c r="N831" s="5">
        <f>Table4[[#This Row],[BudgetAmount]]/Table4[[#This Row],[Variance]]</f>
        <v>-7.4411349714364379</v>
      </c>
      <c r="O831" s="5" t="str">
        <f>TEXT(Table4[[#This Row],[Date]],"mmm")</f>
        <v>Jun</v>
      </c>
      <c r="P831" s="5">
        <f>ABS(Table4[[#This Row],[Variance]])</f>
        <v>58116</v>
      </c>
      <c r="Q831" s="5" t="str">
        <f>IF(Table4[[#This Row],[AB Variances ]]&gt;$P$2,"Anomaly","Normal")</f>
        <v>Anomaly</v>
      </c>
      <c r="R831" s="5">
        <f>SUMIFS(Table4[BudgetAmount],Table4[ActualExpense],"pending")</f>
        <v>0</v>
      </c>
    </row>
    <row r="832" spans="1:18">
      <c r="A832" t="s">
        <v>1423</v>
      </c>
      <c r="B832" t="s">
        <v>1424</v>
      </c>
      <c r="C832" t="s">
        <v>35</v>
      </c>
      <c r="D832" t="s">
        <v>26</v>
      </c>
      <c r="E832" t="s">
        <v>71</v>
      </c>
      <c r="F832" t="s">
        <v>72</v>
      </c>
      <c r="G832" s="2">
        <v>295295</v>
      </c>
      <c r="H832" s="1">
        <v>296361</v>
      </c>
      <c r="I832">
        <v>1066</v>
      </c>
      <c r="J832" t="s">
        <v>19</v>
      </c>
      <c r="K832" t="s">
        <v>41</v>
      </c>
      <c r="L832" t="s">
        <v>30</v>
      </c>
      <c r="M832" t="s">
        <v>42</v>
      </c>
      <c r="N832" s="5">
        <f>Table4[[#This Row],[BudgetAmount]]/Table4[[#This Row],[Variance]]</f>
        <v>277.01219512195121</v>
      </c>
      <c r="O832" s="5" t="str">
        <f>TEXT(Table4[[#This Row],[Date]],"mmm")</f>
        <v>Apr</v>
      </c>
      <c r="P832" s="5">
        <f>ABS(Table4[[#This Row],[Variance]])</f>
        <v>1066</v>
      </c>
      <c r="Q832" s="5" t="str">
        <f>IF(Table4[[#This Row],[AB Variances ]]&gt;$P$2,"Anomaly","Normal")</f>
        <v>Normal</v>
      </c>
      <c r="R832" s="5">
        <f>SUMIFS(Table4[BudgetAmount],Table4[ActualExpense],"pending")</f>
        <v>0</v>
      </c>
    </row>
    <row r="833" spans="1:18">
      <c r="A833" t="s">
        <v>1425</v>
      </c>
      <c r="B833" t="s">
        <v>1426</v>
      </c>
      <c r="C833" t="s">
        <v>33</v>
      </c>
      <c r="D833" t="s">
        <v>61</v>
      </c>
      <c r="E833" t="s">
        <v>71</v>
      </c>
      <c r="F833" t="s">
        <v>72</v>
      </c>
      <c r="G833" s="2">
        <v>305498</v>
      </c>
      <c r="H833" s="1">
        <v>216761</v>
      </c>
      <c r="I833">
        <v>-88737</v>
      </c>
      <c r="J833" t="s">
        <v>19</v>
      </c>
      <c r="K833" t="s">
        <v>29</v>
      </c>
      <c r="L833" t="s">
        <v>21</v>
      </c>
      <c r="M833" t="s">
        <v>22</v>
      </c>
      <c r="N833" s="5">
        <f>Table4[[#This Row],[BudgetAmount]]/Table4[[#This Row],[Variance]]</f>
        <v>-3.4427352738992756</v>
      </c>
      <c r="O833" s="5" t="str">
        <f>TEXT(Table4[[#This Row],[Date]],"mmm")</f>
        <v>Jul</v>
      </c>
      <c r="P833" s="5">
        <f>ABS(Table4[[#This Row],[Variance]])</f>
        <v>88737</v>
      </c>
      <c r="Q833" s="5" t="str">
        <f>IF(Table4[[#This Row],[AB Variances ]]&gt;$P$2,"Anomaly","Normal")</f>
        <v>Anomaly</v>
      </c>
      <c r="R833" s="5">
        <f>SUMIFS(Table4[BudgetAmount],Table4[ActualExpense],"pending")</f>
        <v>0</v>
      </c>
    </row>
    <row r="834" spans="1:18">
      <c r="A834" t="s">
        <v>1427</v>
      </c>
      <c r="B834" t="s">
        <v>1037</v>
      </c>
      <c r="C834" t="s">
        <v>25</v>
      </c>
      <c r="D834" t="s">
        <v>40</v>
      </c>
      <c r="E834" t="s">
        <v>85</v>
      </c>
      <c r="F834" t="s">
        <v>86</v>
      </c>
      <c r="G834" s="2">
        <v>233185</v>
      </c>
      <c r="H834" s="1">
        <v>288641</v>
      </c>
      <c r="I834">
        <v>55456</v>
      </c>
      <c r="J834" t="s">
        <v>37</v>
      </c>
      <c r="K834" t="s">
        <v>48</v>
      </c>
      <c r="L834" t="s">
        <v>49</v>
      </c>
      <c r="M834" t="s">
        <v>42</v>
      </c>
      <c r="N834" s="5">
        <f>Table4[[#This Row],[BudgetAmount]]/Table4[[#This Row],[Variance]]</f>
        <v>4.2048651182919796</v>
      </c>
      <c r="O834" s="5" t="str">
        <f>TEXT(Table4[[#This Row],[Date]],"mmm")</f>
        <v>Dec</v>
      </c>
      <c r="P834" s="5">
        <f>ABS(Table4[[#This Row],[Variance]])</f>
        <v>55456</v>
      </c>
      <c r="Q834" s="5" t="str">
        <f>IF(Table4[[#This Row],[AB Variances ]]&gt;$P$2,"Anomaly","Normal")</f>
        <v>Anomaly</v>
      </c>
      <c r="R834" s="5">
        <f>SUMIFS(Table4[BudgetAmount],Table4[ActualExpense],"pending")</f>
        <v>0</v>
      </c>
    </row>
    <row r="835" spans="1:18">
      <c r="A835" t="s">
        <v>1428</v>
      </c>
      <c r="B835" t="s">
        <v>51</v>
      </c>
      <c r="C835" t="s">
        <v>45</v>
      </c>
      <c r="D835" t="s">
        <v>40</v>
      </c>
      <c r="E835" t="s">
        <v>35</v>
      </c>
      <c r="F835" t="s">
        <v>36</v>
      </c>
      <c r="G835" s="2">
        <v>64094</v>
      </c>
      <c r="H835" s="1">
        <v>68510</v>
      </c>
      <c r="I835">
        <v>4416</v>
      </c>
      <c r="J835" t="s">
        <v>37</v>
      </c>
      <c r="K835" t="s">
        <v>48</v>
      </c>
      <c r="L835" t="s">
        <v>68</v>
      </c>
      <c r="M835" t="s">
        <v>42</v>
      </c>
      <c r="N835" s="5">
        <f>Table4[[#This Row],[BudgetAmount]]/Table4[[#This Row],[Variance]]</f>
        <v>14.514039855072463</v>
      </c>
      <c r="O835" s="5" t="str">
        <f>TEXT(Table4[[#This Row],[Date]],"mmm")</f>
        <v>Oct</v>
      </c>
      <c r="P835" s="5">
        <f>ABS(Table4[[#This Row],[Variance]])</f>
        <v>4416</v>
      </c>
      <c r="Q835" s="5" t="str">
        <f>IF(Table4[[#This Row],[AB Variances ]]&gt;$P$2,"Anomaly","Normal")</f>
        <v>Normal</v>
      </c>
      <c r="R835" s="5">
        <f>SUMIFS(Table4[BudgetAmount],Table4[ActualExpense],"pending")</f>
        <v>0</v>
      </c>
    </row>
    <row r="836" spans="1:18">
      <c r="A836" t="s">
        <v>1429</v>
      </c>
      <c r="B836" t="s">
        <v>1430</v>
      </c>
      <c r="C836" t="s">
        <v>35</v>
      </c>
      <c r="D836" t="s">
        <v>40</v>
      </c>
      <c r="E836" t="s">
        <v>27</v>
      </c>
      <c r="F836" t="s">
        <v>28</v>
      </c>
      <c r="G836" s="2">
        <v>83743</v>
      </c>
      <c r="H836" s="1">
        <v>71803</v>
      </c>
      <c r="I836">
        <v>-11940</v>
      </c>
      <c r="J836" t="s">
        <v>37</v>
      </c>
      <c r="K836" t="s">
        <v>48</v>
      </c>
      <c r="L836" t="s">
        <v>30</v>
      </c>
      <c r="M836" t="s">
        <v>22</v>
      </c>
      <c r="N836" s="5">
        <f>Table4[[#This Row],[BudgetAmount]]/Table4[[#This Row],[Variance]]</f>
        <v>-7.0136515912897819</v>
      </c>
      <c r="O836" s="5" t="str">
        <f>TEXT(Table4[[#This Row],[Date]],"mmm")</f>
        <v>Aug</v>
      </c>
      <c r="P836" s="5">
        <f>ABS(Table4[[#This Row],[Variance]])</f>
        <v>11940</v>
      </c>
      <c r="Q836" s="5" t="str">
        <f>IF(Table4[[#This Row],[AB Variances ]]&gt;$P$2,"Anomaly","Normal")</f>
        <v>Normal</v>
      </c>
      <c r="R836" s="5">
        <f>SUMIFS(Table4[BudgetAmount],Table4[ActualExpense],"pending")</f>
        <v>0</v>
      </c>
    </row>
    <row r="837" spans="1:18">
      <c r="A837" t="s">
        <v>1431</v>
      </c>
      <c r="B837" t="s">
        <v>1432</v>
      </c>
      <c r="C837" t="s">
        <v>33</v>
      </c>
      <c r="D837" t="s">
        <v>34</v>
      </c>
      <c r="E837" t="s">
        <v>27</v>
      </c>
      <c r="F837" t="s">
        <v>28</v>
      </c>
      <c r="G837" s="2">
        <v>138279</v>
      </c>
      <c r="H837" s="1">
        <v>136775</v>
      </c>
      <c r="I837">
        <v>-1504</v>
      </c>
      <c r="J837" t="s">
        <v>54</v>
      </c>
      <c r="K837" t="s">
        <v>48</v>
      </c>
      <c r="L837" t="s">
        <v>30</v>
      </c>
      <c r="M837" t="s">
        <v>22</v>
      </c>
      <c r="N837" s="5">
        <f>Table4[[#This Row],[BudgetAmount]]/Table4[[#This Row],[Variance]]</f>
        <v>-91.940824468085111</v>
      </c>
      <c r="O837" s="5" t="str">
        <f>TEXT(Table4[[#This Row],[Date]],"mmm")</f>
        <v>May</v>
      </c>
      <c r="P837" s="5">
        <f>ABS(Table4[[#This Row],[Variance]])</f>
        <v>1504</v>
      </c>
      <c r="Q837" s="5" t="str">
        <f>IF(Table4[[#This Row],[AB Variances ]]&gt;$P$2,"Anomaly","Normal")</f>
        <v>Normal</v>
      </c>
      <c r="R837" s="5">
        <f>SUMIFS(Table4[BudgetAmount],Table4[ActualExpense],"pending")</f>
        <v>0</v>
      </c>
    </row>
    <row r="838" spans="1:18">
      <c r="A838" t="s">
        <v>1433</v>
      </c>
      <c r="B838" t="s">
        <v>1434</v>
      </c>
      <c r="C838" t="s">
        <v>15</v>
      </c>
      <c r="D838" t="s">
        <v>26</v>
      </c>
      <c r="E838" t="s">
        <v>17</v>
      </c>
      <c r="F838" t="s">
        <v>18</v>
      </c>
      <c r="G838" s="2">
        <v>342919</v>
      </c>
      <c r="H838" s="1">
        <v>268842</v>
      </c>
      <c r="I838">
        <v>-74077</v>
      </c>
      <c r="J838" t="s">
        <v>19</v>
      </c>
      <c r="K838" t="s">
        <v>67</v>
      </c>
      <c r="L838" t="s">
        <v>30</v>
      </c>
      <c r="M838" t="s">
        <v>22</v>
      </c>
      <c r="N838" s="5">
        <f>Table4[[#This Row],[BudgetAmount]]/Table4[[#This Row],[Variance]]</f>
        <v>-4.6292236456659959</v>
      </c>
      <c r="O838" s="5" t="str">
        <f>TEXT(Table4[[#This Row],[Date]],"mmm")</f>
        <v>Mar</v>
      </c>
      <c r="P838" s="5">
        <f>ABS(Table4[[#This Row],[Variance]])</f>
        <v>74077</v>
      </c>
      <c r="Q838" s="5" t="str">
        <f>IF(Table4[[#This Row],[AB Variances ]]&gt;$P$2,"Anomaly","Normal")</f>
        <v>Anomaly</v>
      </c>
      <c r="R838" s="5">
        <f>SUMIFS(Table4[BudgetAmount],Table4[ActualExpense],"pending")</f>
        <v>0</v>
      </c>
    </row>
    <row r="839" spans="1:18">
      <c r="A839" t="s">
        <v>1435</v>
      </c>
      <c r="B839" t="s">
        <v>1436</v>
      </c>
      <c r="C839" t="s">
        <v>25</v>
      </c>
      <c r="D839" t="s">
        <v>40</v>
      </c>
      <c r="E839" t="s">
        <v>46</v>
      </c>
      <c r="F839" t="s">
        <v>47</v>
      </c>
      <c r="G839" s="2">
        <v>284884</v>
      </c>
      <c r="H839" s="1">
        <v>311099</v>
      </c>
      <c r="I839">
        <v>26215</v>
      </c>
      <c r="J839" t="s">
        <v>37</v>
      </c>
      <c r="K839" t="s">
        <v>41</v>
      </c>
      <c r="L839" t="s">
        <v>30</v>
      </c>
      <c r="M839" t="s">
        <v>22</v>
      </c>
      <c r="N839" s="5">
        <f>Table4[[#This Row],[BudgetAmount]]/Table4[[#This Row],[Variance]]</f>
        <v>10.867213427427046</v>
      </c>
      <c r="O839" s="5" t="str">
        <f>TEXT(Table4[[#This Row],[Date]],"mmm")</f>
        <v>Apr</v>
      </c>
      <c r="P839" s="5">
        <f>ABS(Table4[[#This Row],[Variance]])</f>
        <v>26215</v>
      </c>
      <c r="Q839" s="5" t="str">
        <f>IF(Table4[[#This Row],[AB Variances ]]&gt;$P$2,"Anomaly","Normal")</f>
        <v>Anomaly</v>
      </c>
      <c r="R839" s="5">
        <f>SUMIFS(Table4[BudgetAmount],Table4[ActualExpense],"pending")</f>
        <v>0</v>
      </c>
    </row>
    <row r="840" spans="1:18">
      <c r="A840" t="s">
        <v>1437</v>
      </c>
      <c r="B840" t="s">
        <v>473</v>
      </c>
      <c r="C840" t="s">
        <v>45</v>
      </c>
      <c r="D840" t="s">
        <v>26</v>
      </c>
      <c r="E840" t="s">
        <v>71</v>
      </c>
      <c r="F840" t="s">
        <v>72</v>
      </c>
      <c r="G840" s="2">
        <v>294222</v>
      </c>
      <c r="H840" s="1">
        <v>344945</v>
      </c>
      <c r="I840">
        <v>50723</v>
      </c>
      <c r="J840" t="s">
        <v>54</v>
      </c>
      <c r="K840" t="s">
        <v>29</v>
      </c>
      <c r="L840" t="s">
        <v>68</v>
      </c>
      <c r="M840" t="s">
        <v>42</v>
      </c>
      <c r="N840" s="5">
        <f>Table4[[#This Row],[BudgetAmount]]/Table4[[#This Row],[Variance]]</f>
        <v>5.8005638467756242</v>
      </c>
      <c r="O840" s="5" t="str">
        <f>TEXT(Table4[[#This Row],[Date]],"mmm")</f>
        <v>Aug</v>
      </c>
      <c r="P840" s="5">
        <f>ABS(Table4[[#This Row],[Variance]])</f>
        <v>50723</v>
      </c>
      <c r="Q840" s="5" t="str">
        <f>IF(Table4[[#This Row],[AB Variances ]]&gt;$P$2,"Anomaly","Normal")</f>
        <v>Anomaly</v>
      </c>
      <c r="R840" s="5">
        <f>SUMIFS(Table4[BudgetAmount],Table4[ActualExpense],"pending")</f>
        <v>0</v>
      </c>
    </row>
    <row r="841" spans="1:18">
      <c r="A841" t="s">
        <v>1438</v>
      </c>
      <c r="B841" t="s">
        <v>1439</v>
      </c>
      <c r="C841" t="s">
        <v>45</v>
      </c>
      <c r="D841" t="s">
        <v>61</v>
      </c>
      <c r="E841" t="s">
        <v>46</v>
      </c>
      <c r="F841" t="s">
        <v>47</v>
      </c>
      <c r="G841" s="2">
        <v>396798</v>
      </c>
      <c r="H841" s="1">
        <v>442325</v>
      </c>
      <c r="I841">
        <v>45527</v>
      </c>
      <c r="J841" t="s">
        <v>54</v>
      </c>
      <c r="K841" t="s">
        <v>29</v>
      </c>
      <c r="L841" t="s">
        <v>21</v>
      </c>
      <c r="M841" t="s">
        <v>42</v>
      </c>
      <c r="N841" s="5">
        <f>Table4[[#This Row],[BudgetAmount]]/Table4[[#This Row],[Variance]]</f>
        <v>8.7156632328069055</v>
      </c>
      <c r="O841" s="5" t="str">
        <f>TEXT(Table4[[#This Row],[Date]],"mmm")</f>
        <v>Aug</v>
      </c>
      <c r="P841" s="5">
        <f>ABS(Table4[[#This Row],[Variance]])</f>
        <v>45527</v>
      </c>
      <c r="Q841" s="5" t="str">
        <f>IF(Table4[[#This Row],[AB Variances ]]&gt;$P$2,"Anomaly","Normal")</f>
        <v>Anomaly</v>
      </c>
      <c r="R841" s="5">
        <f>SUMIFS(Table4[BudgetAmount],Table4[ActualExpense],"pending")</f>
        <v>0</v>
      </c>
    </row>
    <row r="842" spans="1:18">
      <c r="A842" t="s">
        <v>1440</v>
      </c>
      <c r="B842" t="s">
        <v>796</v>
      </c>
      <c r="C842" t="s">
        <v>45</v>
      </c>
      <c r="D842" t="s">
        <v>34</v>
      </c>
      <c r="E842" t="s">
        <v>35</v>
      </c>
      <c r="F842" t="s">
        <v>36</v>
      </c>
      <c r="G842" s="2">
        <v>451659</v>
      </c>
      <c r="H842" s="1">
        <v>474720</v>
      </c>
      <c r="I842">
        <v>23061</v>
      </c>
      <c r="J842" t="s">
        <v>19</v>
      </c>
      <c r="K842" t="s">
        <v>20</v>
      </c>
      <c r="L842" t="s">
        <v>68</v>
      </c>
      <c r="M842" t="s">
        <v>22</v>
      </c>
      <c r="N842" s="5">
        <f>Table4[[#This Row],[BudgetAmount]]/Table4[[#This Row],[Variance]]</f>
        <v>19.585403928710811</v>
      </c>
      <c r="O842" s="5" t="str">
        <f>TEXT(Table4[[#This Row],[Date]],"mmm")</f>
        <v>May</v>
      </c>
      <c r="P842" s="5">
        <f>ABS(Table4[[#This Row],[Variance]])</f>
        <v>23061</v>
      </c>
      <c r="Q842" s="5" t="str">
        <f>IF(Table4[[#This Row],[AB Variances ]]&gt;$P$2,"Anomaly","Normal")</f>
        <v>Anomaly</v>
      </c>
      <c r="R842" s="5">
        <f>SUMIFS(Table4[BudgetAmount],Table4[ActualExpense],"pending")</f>
        <v>0</v>
      </c>
    </row>
    <row r="843" spans="1:18">
      <c r="A843" t="s">
        <v>1441</v>
      </c>
      <c r="B843" t="s">
        <v>1442</v>
      </c>
      <c r="C843" t="s">
        <v>45</v>
      </c>
      <c r="D843" t="s">
        <v>34</v>
      </c>
      <c r="E843" t="s">
        <v>71</v>
      </c>
      <c r="F843" t="s">
        <v>72</v>
      </c>
      <c r="G843" s="2">
        <v>444157</v>
      </c>
      <c r="H843" s="1">
        <v>470918</v>
      </c>
      <c r="I843">
        <v>26761</v>
      </c>
      <c r="J843" t="s">
        <v>19</v>
      </c>
      <c r="K843" t="s">
        <v>67</v>
      </c>
      <c r="L843" t="s">
        <v>68</v>
      </c>
      <c r="M843" t="s">
        <v>42</v>
      </c>
      <c r="N843" s="5">
        <f>Table4[[#This Row],[BudgetAmount]]/Table4[[#This Row],[Variance]]</f>
        <v>16.597174993460634</v>
      </c>
      <c r="O843" s="5" t="str">
        <f>TEXT(Table4[[#This Row],[Date]],"mmm")</f>
        <v>Aug</v>
      </c>
      <c r="P843" s="5">
        <f>ABS(Table4[[#This Row],[Variance]])</f>
        <v>26761</v>
      </c>
      <c r="Q843" s="5" t="str">
        <f>IF(Table4[[#This Row],[AB Variances ]]&gt;$P$2,"Anomaly","Normal")</f>
        <v>Anomaly</v>
      </c>
      <c r="R843" s="5">
        <f>SUMIFS(Table4[BudgetAmount],Table4[ActualExpense],"pending")</f>
        <v>0</v>
      </c>
    </row>
    <row r="844" spans="1:18">
      <c r="A844" t="s">
        <v>1443</v>
      </c>
      <c r="B844" t="s">
        <v>1444</v>
      </c>
      <c r="C844" t="s">
        <v>15</v>
      </c>
      <c r="D844" t="s">
        <v>26</v>
      </c>
      <c r="E844" t="s">
        <v>71</v>
      </c>
      <c r="F844" t="s">
        <v>72</v>
      </c>
      <c r="G844" s="2">
        <v>281172</v>
      </c>
      <c r="H844" s="1">
        <v>379832</v>
      </c>
      <c r="I844">
        <v>98660</v>
      </c>
      <c r="J844" t="s">
        <v>19</v>
      </c>
      <c r="K844" t="s">
        <v>41</v>
      </c>
      <c r="L844" t="s">
        <v>21</v>
      </c>
      <c r="M844" t="s">
        <v>42</v>
      </c>
      <c r="N844" s="5">
        <f>Table4[[#This Row],[BudgetAmount]]/Table4[[#This Row],[Variance]]</f>
        <v>2.8499087776201093</v>
      </c>
      <c r="O844" s="5" t="str">
        <f>TEXT(Table4[[#This Row],[Date]],"mmm")</f>
        <v>Jun</v>
      </c>
      <c r="P844" s="5">
        <f>ABS(Table4[[#This Row],[Variance]])</f>
        <v>98660</v>
      </c>
      <c r="Q844" s="5" t="str">
        <f>IF(Table4[[#This Row],[AB Variances ]]&gt;$P$2,"Anomaly","Normal")</f>
        <v>Anomaly</v>
      </c>
      <c r="R844" s="5">
        <f>SUMIFS(Table4[BudgetAmount],Table4[ActualExpense],"pending")</f>
        <v>0</v>
      </c>
    </row>
    <row r="845" spans="1:18">
      <c r="A845" t="s">
        <v>1445</v>
      </c>
      <c r="B845" t="s">
        <v>335</v>
      </c>
      <c r="C845" t="s">
        <v>25</v>
      </c>
      <c r="D845" t="s">
        <v>61</v>
      </c>
      <c r="E845" t="s">
        <v>85</v>
      </c>
      <c r="F845" t="s">
        <v>86</v>
      </c>
      <c r="G845" s="2">
        <v>479260</v>
      </c>
      <c r="H845" s="1">
        <v>339527</v>
      </c>
      <c r="I845">
        <v>-139733</v>
      </c>
      <c r="J845" t="s">
        <v>54</v>
      </c>
      <c r="K845" t="s">
        <v>48</v>
      </c>
      <c r="L845" t="s">
        <v>21</v>
      </c>
      <c r="M845" t="s">
        <v>22</v>
      </c>
      <c r="N845" s="5">
        <f>Table4[[#This Row],[BudgetAmount]]/Table4[[#This Row],[Variance]]</f>
        <v>-3.4298268841290174</v>
      </c>
      <c r="O845" s="5" t="str">
        <f>TEXT(Table4[[#This Row],[Date]],"mmm")</f>
        <v>Jul</v>
      </c>
      <c r="P845" s="5">
        <f>ABS(Table4[[#This Row],[Variance]])</f>
        <v>139733</v>
      </c>
      <c r="Q845" s="5" t="str">
        <f>IF(Table4[[#This Row],[AB Variances ]]&gt;$P$2,"Anomaly","Normal")</f>
        <v>Anomaly</v>
      </c>
      <c r="R845" s="5">
        <f>SUMIFS(Table4[BudgetAmount],Table4[ActualExpense],"pending")</f>
        <v>0</v>
      </c>
    </row>
    <row r="846" spans="1:18">
      <c r="A846" t="s">
        <v>1446</v>
      </c>
      <c r="B846" t="s">
        <v>1447</v>
      </c>
      <c r="C846" t="s">
        <v>35</v>
      </c>
      <c r="D846" t="s">
        <v>40</v>
      </c>
      <c r="E846" t="s">
        <v>71</v>
      </c>
      <c r="F846" t="s">
        <v>72</v>
      </c>
      <c r="G846" s="2">
        <v>396012</v>
      </c>
      <c r="H846" s="1">
        <v>491813</v>
      </c>
      <c r="I846">
        <v>95801</v>
      </c>
      <c r="J846" t="s">
        <v>37</v>
      </c>
      <c r="K846" t="s">
        <v>29</v>
      </c>
      <c r="L846" t="s">
        <v>49</v>
      </c>
      <c r="M846" t="s">
        <v>42</v>
      </c>
      <c r="N846" s="5">
        <f>Table4[[#This Row],[BudgetAmount]]/Table4[[#This Row],[Variance]]</f>
        <v>4.1336938027786765</v>
      </c>
      <c r="O846" s="5" t="str">
        <f>TEXT(Table4[[#This Row],[Date]],"mmm")</f>
        <v>Feb</v>
      </c>
      <c r="P846" s="5">
        <f>ABS(Table4[[#This Row],[Variance]])</f>
        <v>95801</v>
      </c>
      <c r="Q846" s="5" t="str">
        <f>IF(Table4[[#This Row],[AB Variances ]]&gt;$P$2,"Anomaly","Normal")</f>
        <v>Anomaly</v>
      </c>
      <c r="R846" s="5">
        <f>SUMIFS(Table4[BudgetAmount],Table4[ActualExpense],"pending")</f>
        <v>0</v>
      </c>
    </row>
    <row r="847" spans="1:18">
      <c r="A847" t="s">
        <v>1448</v>
      </c>
      <c r="B847" t="s">
        <v>211</v>
      </c>
      <c r="C847" t="s">
        <v>25</v>
      </c>
      <c r="D847" t="s">
        <v>26</v>
      </c>
      <c r="E847" t="s">
        <v>46</v>
      </c>
      <c r="F847" t="s">
        <v>47</v>
      </c>
      <c r="G847" s="2">
        <v>77451</v>
      </c>
      <c r="H847" s="1">
        <v>76683</v>
      </c>
      <c r="I847">
        <v>-768</v>
      </c>
      <c r="J847" t="s">
        <v>54</v>
      </c>
      <c r="K847" t="s">
        <v>41</v>
      </c>
      <c r="L847" t="s">
        <v>30</v>
      </c>
      <c r="M847" t="s">
        <v>42</v>
      </c>
      <c r="N847" s="5">
        <f>Table4[[#This Row],[BudgetAmount]]/Table4[[#This Row],[Variance]]</f>
        <v>-100.84765625</v>
      </c>
      <c r="O847" s="5" t="str">
        <f>TEXT(Table4[[#This Row],[Date]],"mmm")</f>
        <v>Nov</v>
      </c>
      <c r="P847" s="5">
        <f>ABS(Table4[[#This Row],[Variance]])</f>
        <v>768</v>
      </c>
      <c r="Q847" s="5" t="str">
        <f>IF(Table4[[#This Row],[AB Variances ]]&gt;$P$2,"Anomaly","Normal")</f>
        <v>Normal</v>
      </c>
      <c r="R847" s="5">
        <f>SUMIFS(Table4[BudgetAmount],Table4[ActualExpense],"pending")</f>
        <v>0</v>
      </c>
    </row>
    <row r="848" spans="1:18">
      <c r="A848" t="s">
        <v>1449</v>
      </c>
      <c r="B848" t="s">
        <v>467</v>
      </c>
      <c r="C848" t="s">
        <v>15</v>
      </c>
      <c r="D848" t="s">
        <v>16</v>
      </c>
      <c r="E848" t="s">
        <v>46</v>
      </c>
      <c r="F848" t="s">
        <v>47</v>
      </c>
      <c r="G848" s="2">
        <v>130153</v>
      </c>
      <c r="H848" s="1">
        <v>124014</v>
      </c>
      <c r="I848">
        <v>-6139</v>
      </c>
      <c r="J848" t="s">
        <v>19</v>
      </c>
      <c r="K848" t="s">
        <v>29</v>
      </c>
      <c r="L848" t="s">
        <v>21</v>
      </c>
      <c r="M848" t="s">
        <v>42</v>
      </c>
      <c r="N848" s="5">
        <f>Table4[[#This Row],[BudgetAmount]]/Table4[[#This Row],[Variance]]</f>
        <v>-21.201009936471738</v>
      </c>
      <c r="O848" s="5" t="str">
        <f>TEXT(Table4[[#This Row],[Date]],"mmm")</f>
        <v>Aug</v>
      </c>
      <c r="P848" s="5">
        <f>ABS(Table4[[#This Row],[Variance]])</f>
        <v>6139</v>
      </c>
      <c r="Q848" s="5" t="str">
        <f>IF(Table4[[#This Row],[AB Variances ]]&gt;$P$2,"Anomaly","Normal")</f>
        <v>Normal</v>
      </c>
      <c r="R848" s="5">
        <f>SUMIFS(Table4[BudgetAmount],Table4[ActualExpense],"pending")</f>
        <v>0</v>
      </c>
    </row>
    <row r="849" spans="1:18">
      <c r="A849" t="s">
        <v>1450</v>
      </c>
      <c r="B849" t="s">
        <v>1451</v>
      </c>
      <c r="C849" t="s">
        <v>35</v>
      </c>
      <c r="D849" t="s">
        <v>40</v>
      </c>
      <c r="E849" t="s">
        <v>46</v>
      </c>
      <c r="F849" t="s">
        <v>47</v>
      </c>
      <c r="G849" s="2">
        <v>492981</v>
      </c>
      <c r="H849" s="1">
        <v>500873</v>
      </c>
      <c r="I849">
        <v>7892</v>
      </c>
      <c r="J849" t="s">
        <v>37</v>
      </c>
      <c r="K849" t="s">
        <v>20</v>
      </c>
      <c r="L849" t="s">
        <v>21</v>
      </c>
      <c r="M849" t="s">
        <v>42</v>
      </c>
      <c r="N849" s="5">
        <f>Table4[[#This Row],[BudgetAmount]]/Table4[[#This Row],[Variance]]</f>
        <v>62.465914850481504</v>
      </c>
      <c r="O849" s="5" t="str">
        <f>TEXT(Table4[[#This Row],[Date]],"mmm")</f>
        <v>Mar</v>
      </c>
      <c r="P849" s="5">
        <f>ABS(Table4[[#This Row],[Variance]])</f>
        <v>7892</v>
      </c>
      <c r="Q849" s="5" t="str">
        <f>IF(Table4[[#This Row],[AB Variances ]]&gt;$P$2,"Anomaly","Normal")</f>
        <v>Normal</v>
      </c>
      <c r="R849" s="5">
        <f>SUMIFS(Table4[BudgetAmount],Table4[ActualExpense],"pending")</f>
        <v>0</v>
      </c>
    </row>
    <row r="850" spans="1:18">
      <c r="A850" t="s">
        <v>1452</v>
      </c>
      <c r="B850" t="s">
        <v>1453</v>
      </c>
      <c r="C850" t="s">
        <v>35</v>
      </c>
      <c r="D850" t="s">
        <v>34</v>
      </c>
      <c r="E850" t="s">
        <v>35</v>
      </c>
      <c r="F850" t="s">
        <v>36</v>
      </c>
      <c r="G850" s="2">
        <v>257048</v>
      </c>
      <c r="H850" s="1">
        <v>210164</v>
      </c>
      <c r="I850">
        <v>-46884</v>
      </c>
      <c r="J850" t="s">
        <v>37</v>
      </c>
      <c r="K850" t="s">
        <v>29</v>
      </c>
      <c r="L850" t="s">
        <v>49</v>
      </c>
      <c r="M850" t="s">
        <v>22</v>
      </c>
      <c r="N850" s="5">
        <f>Table4[[#This Row],[BudgetAmount]]/Table4[[#This Row],[Variance]]</f>
        <v>-5.4826380001706339</v>
      </c>
      <c r="O850" s="5" t="str">
        <f>TEXT(Table4[[#This Row],[Date]],"mmm")</f>
        <v>Mar</v>
      </c>
      <c r="P850" s="5">
        <f>ABS(Table4[[#This Row],[Variance]])</f>
        <v>46884</v>
      </c>
      <c r="Q850" s="5" t="str">
        <f>IF(Table4[[#This Row],[AB Variances ]]&gt;$P$2,"Anomaly","Normal")</f>
        <v>Anomaly</v>
      </c>
      <c r="R850" s="5">
        <f>SUMIFS(Table4[BudgetAmount],Table4[ActualExpense],"pending")</f>
        <v>0</v>
      </c>
    </row>
    <row r="851" spans="1:18">
      <c r="A851" t="s">
        <v>1454</v>
      </c>
      <c r="B851" t="s">
        <v>375</v>
      </c>
      <c r="C851" t="s">
        <v>35</v>
      </c>
      <c r="D851" t="s">
        <v>40</v>
      </c>
      <c r="E851" t="s">
        <v>17</v>
      </c>
      <c r="F851" t="s">
        <v>18</v>
      </c>
      <c r="G851" s="2">
        <v>228055</v>
      </c>
      <c r="H851" s="1">
        <v>225033</v>
      </c>
      <c r="I851">
        <v>-3022</v>
      </c>
      <c r="J851" t="s">
        <v>54</v>
      </c>
      <c r="K851" t="s">
        <v>20</v>
      </c>
      <c r="L851" t="s">
        <v>30</v>
      </c>
      <c r="M851" t="s">
        <v>22</v>
      </c>
      <c r="N851" s="5">
        <f>Table4[[#This Row],[BudgetAmount]]/Table4[[#This Row],[Variance]]</f>
        <v>-75.464923891462604</v>
      </c>
      <c r="O851" s="5" t="str">
        <f>TEXT(Table4[[#This Row],[Date]],"mmm")</f>
        <v>Mar</v>
      </c>
      <c r="P851" s="5">
        <f>ABS(Table4[[#This Row],[Variance]])</f>
        <v>3022</v>
      </c>
      <c r="Q851" s="5" t="str">
        <f>IF(Table4[[#This Row],[AB Variances ]]&gt;$P$2,"Anomaly","Normal")</f>
        <v>Normal</v>
      </c>
      <c r="R851" s="5">
        <f>SUMIFS(Table4[BudgetAmount],Table4[ActualExpense],"pending")</f>
        <v>0</v>
      </c>
    </row>
    <row r="852" spans="1:18">
      <c r="A852" t="s">
        <v>1455</v>
      </c>
      <c r="B852" t="s">
        <v>638</v>
      </c>
      <c r="C852" t="s">
        <v>33</v>
      </c>
      <c r="D852" t="s">
        <v>16</v>
      </c>
      <c r="E852" t="s">
        <v>35</v>
      </c>
      <c r="F852" t="s">
        <v>36</v>
      </c>
      <c r="G852" s="2">
        <v>430845</v>
      </c>
      <c r="H852" s="1">
        <v>364387</v>
      </c>
      <c r="I852">
        <v>-66458</v>
      </c>
      <c r="J852" t="s">
        <v>37</v>
      </c>
      <c r="K852" t="s">
        <v>29</v>
      </c>
      <c r="L852" t="s">
        <v>30</v>
      </c>
      <c r="M852" t="s">
        <v>22</v>
      </c>
      <c r="N852" s="5">
        <f>Table4[[#This Row],[BudgetAmount]]/Table4[[#This Row],[Variance]]</f>
        <v>-6.4829666857263231</v>
      </c>
      <c r="O852" s="5" t="str">
        <f>TEXT(Table4[[#This Row],[Date]],"mmm")</f>
        <v>Sep</v>
      </c>
      <c r="P852" s="5">
        <f>ABS(Table4[[#This Row],[Variance]])</f>
        <v>66458</v>
      </c>
      <c r="Q852" s="5" t="str">
        <f>IF(Table4[[#This Row],[AB Variances ]]&gt;$P$2,"Anomaly","Normal")</f>
        <v>Anomaly</v>
      </c>
      <c r="R852" s="5">
        <f>SUMIFS(Table4[BudgetAmount],Table4[ActualExpense],"pending")</f>
        <v>0</v>
      </c>
    </row>
    <row r="853" spans="1:18">
      <c r="A853" t="s">
        <v>1456</v>
      </c>
      <c r="B853" t="s">
        <v>658</v>
      </c>
      <c r="C853" t="s">
        <v>33</v>
      </c>
      <c r="D853" t="s">
        <v>61</v>
      </c>
      <c r="E853" t="s">
        <v>27</v>
      </c>
      <c r="F853" t="s">
        <v>28</v>
      </c>
      <c r="G853" s="2">
        <v>422522</v>
      </c>
      <c r="H853" s="1">
        <v>480576</v>
      </c>
      <c r="I853">
        <v>58054</v>
      </c>
      <c r="J853" t="s">
        <v>19</v>
      </c>
      <c r="K853" t="s">
        <v>29</v>
      </c>
      <c r="L853" t="s">
        <v>49</v>
      </c>
      <c r="M853" t="s">
        <v>22</v>
      </c>
      <c r="N853" s="5">
        <f>Table4[[#This Row],[BudgetAmount]]/Table4[[#This Row],[Variance]]</f>
        <v>7.2780859200055117</v>
      </c>
      <c r="O853" s="5" t="str">
        <f>TEXT(Table4[[#This Row],[Date]],"mmm")</f>
        <v>Mar</v>
      </c>
      <c r="P853" s="5">
        <f>ABS(Table4[[#This Row],[Variance]])</f>
        <v>58054</v>
      </c>
      <c r="Q853" s="5" t="str">
        <f>IF(Table4[[#This Row],[AB Variances ]]&gt;$P$2,"Anomaly","Normal")</f>
        <v>Anomaly</v>
      </c>
      <c r="R853" s="5">
        <f>SUMIFS(Table4[BudgetAmount],Table4[ActualExpense],"pending")</f>
        <v>0</v>
      </c>
    </row>
    <row r="854" spans="1:18">
      <c r="A854" t="s">
        <v>1457</v>
      </c>
      <c r="B854" t="s">
        <v>391</v>
      </c>
      <c r="C854" t="s">
        <v>15</v>
      </c>
      <c r="D854" t="s">
        <v>34</v>
      </c>
      <c r="E854" t="s">
        <v>27</v>
      </c>
      <c r="F854" t="s">
        <v>28</v>
      </c>
      <c r="G854" s="2">
        <v>458540</v>
      </c>
      <c r="H854" s="1">
        <v>623770</v>
      </c>
      <c r="I854">
        <v>165230</v>
      </c>
      <c r="J854" t="s">
        <v>37</v>
      </c>
      <c r="K854" t="s">
        <v>48</v>
      </c>
      <c r="L854" t="s">
        <v>49</v>
      </c>
      <c r="M854" t="s">
        <v>22</v>
      </c>
      <c r="N854" s="5">
        <f>Table4[[#This Row],[BudgetAmount]]/Table4[[#This Row],[Variance]]</f>
        <v>2.7751618955395507</v>
      </c>
      <c r="O854" s="5" t="str">
        <f>TEXT(Table4[[#This Row],[Date]],"mmm")</f>
        <v>Aug</v>
      </c>
      <c r="P854" s="5">
        <f>ABS(Table4[[#This Row],[Variance]])</f>
        <v>165230</v>
      </c>
      <c r="Q854" s="5" t="str">
        <f>IF(Table4[[#This Row],[AB Variances ]]&gt;$P$2,"Anomaly","Normal")</f>
        <v>Anomaly</v>
      </c>
      <c r="R854" s="5">
        <f>SUMIFS(Table4[BudgetAmount],Table4[ActualExpense],"pending")</f>
        <v>0</v>
      </c>
    </row>
    <row r="855" spans="1:18">
      <c r="A855" t="s">
        <v>1458</v>
      </c>
      <c r="B855" t="s">
        <v>1459</v>
      </c>
      <c r="C855" t="s">
        <v>45</v>
      </c>
      <c r="D855" t="s">
        <v>61</v>
      </c>
      <c r="E855" t="s">
        <v>35</v>
      </c>
      <c r="F855" t="s">
        <v>36</v>
      </c>
      <c r="G855" s="2">
        <v>336084</v>
      </c>
      <c r="H855" s="1">
        <v>249325</v>
      </c>
      <c r="I855">
        <v>-86759</v>
      </c>
      <c r="J855" t="s">
        <v>54</v>
      </c>
      <c r="K855" t="s">
        <v>41</v>
      </c>
      <c r="L855" t="s">
        <v>30</v>
      </c>
      <c r="M855" t="s">
        <v>22</v>
      </c>
      <c r="N855" s="5">
        <f>Table4[[#This Row],[BudgetAmount]]/Table4[[#This Row],[Variance]]</f>
        <v>-3.8737652577830541</v>
      </c>
      <c r="O855" s="5" t="str">
        <f>TEXT(Table4[[#This Row],[Date]],"mmm")</f>
        <v>Jan</v>
      </c>
      <c r="P855" s="5">
        <f>ABS(Table4[[#This Row],[Variance]])</f>
        <v>86759</v>
      </c>
      <c r="Q855" s="5" t="str">
        <f>IF(Table4[[#This Row],[AB Variances ]]&gt;$P$2,"Anomaly","Normal")</f>
        <v>Anomaly</v>
      </c>
      <c r="R855" s="5">
        <f>SUMIFS(Table4[BudgetAmount],Table4[ActualExpense],"pending")</f>
        <v>0</v>
      </c>
    </row>
    <row r="856" spans="1:18">
      <c r="A856" t="s">
        <v>1460</v>
      </c>
      <c r="B856" t="s">
        <v>1303</v>
      </c>
      <c r="C856" t="s">
        <v>64</v>
      </c>
      <c r="D856" t="s">
        <v>61</v>
      </c>
      <c r="E856" t="s">
        <v>71</v>
      </c>
      <c r="F856" t="s">
        <v>72</v>
      </c>
      <c r="G856" s="2">
        <v>116080</v>
      </c>
      <c r="H856" s="1">
        <v>145913</v>
      </c>
      <c r="I856">
        <v>29833</v>
      </c>
      <c r="J856" t="s">
        <v>54</v>
      </c>
      <c r="K856" t="s">
        <v>41</v>
      </c>
      <c r="L856" t="s">
        <v>49</v>
      </c>
      <c r="M856" t="s">
        <v>22</v>
      </c>
      <c r="N856" s="5">
        <f>Table4[[#This Row],[BudgetAmount]]/Table4[[#This Row],[Variance]]</f>
        <v>3.8909931954546977</v>
      </c>
      <c r="O856" s="5" t="str">
        <f>TEXT(Table4[[#This Row],[Date]],"mmm")</f>
        <v>Jun</v>
      </c>
      <c r="P856" s="5">
        <f>ABS(Table4[[#This Row],[Variance]])</f>
        <v>29833</v>
      </c>
      <c r="Q856" s="5" t="str">
        <f>IF(Table4[[#This Row],[AB Variances ]]&gt;$P$2,"Anomaly","Normal")</f>
        <v>Anomaly</v>
      </c>
      <c r="R856" s="5">
        <f>SUMIFS(Table4[BudgetAmount],Table4[ActualExpense],"pending")</f>
        <v>0</v>
      </c>
    </row>
    <row r="857" spans="1:18">
      <c r="A857" t="s">
        <v>1461</v>
      </c>
      <c r="B857" t="s">
        <v>1148</v>
      </c>
      <c r="C857" t="s">
        <v>35</v>
      </c>
      <c r="D857" t="s">
        <v>26</v>
      </c>
      <c r="E857" t="s">
        <v>17</v>
      </c>
      <c r="F857" t="s">
        <v>18</v>
      </c>
      <c r="G857" s="2">
        <v>81635</v>
      </c>
      <c r="H857" s="1">
        <v>57427</v>
      </c>
      <c r="I857">
        <v>-24208</v>
      </c>
      <c r="J857" t="s">
        <v>19</v>
      </c>
      <c r="K857" t="s">
        <v>41</v>
      </c>
      <c r="L857" t="s">
        <v>21</v>
      </c>
      <c r="M857" t="s">
        <v>42</v>
      </c>
      <c r="N857" s="5">
        <f>Table4[[#This Row],[BudgetAmount]]/Table4[[#This Row],[Variance]]</f>
        <v>-3.3722323198942497</v>
      </c>
      <c r="O857" s="5" t="str">
        <f>TEXT(Table4[[#This Row],[Date]],"mmm")</f>
        <v>May</v>
      </c>
      <c r="P857" s="5">
        <f>ABS(Table4[[#This Row],[Variance]])</f>
        <v>24208</v>
      </c>
      <c r="Q857" s="5" t="str">
        <f>IF(Table4[[#This Row],[AB Variances ]]&gt;$P$2,"Anomaly","Normal")</f>
        <v>Anomaly</v>
      </c>
      <c r="R857" s="5">
        <f>SUMIFS(Table4[BudgetAmount],Table4[ActualExpense],"pending")</f>
        <v>0</v>
      </c>
    </row>
    <row r="858" spans="1:18">
      <c r="A858" t="s">
        <v>1462</v>
      </c>
      <c r="B858" t="s">
        <v>1463</v>
      </c>
      <c r="C858" t="s">
        <v>33</v>
      </c>
      <c r="D858" t="s">
        <v>16</v>
      </c>
      <c r="E858" t="s">
        <v>35</v>
      </c>
      <c r="F858" t="s">
        <v>36</v>
      </c>
      <c r="G858" s="2">
        <v>417132</v>
      </c>
      <c r="H858" s="1">
        <v>378982</v>
      </c>
      <c r="I858">
        <v>-38150</v>
      </c>
      <c r="J858" t="s">
        <v>19</v>
      </c>
      <c r="K858" t="s">
        <v>29</v>
      </c>
      <c r="L858" t="s">
        <v>68</v>
      </c>
      <c r="M858" t="s">
        <v>22</v>
      </c>
      <c r="N858" s="5">
        <f>Table4[[#This Row],[BudgetAmount]]/Table4[[#This Row],[Variance]]</f>
        <v>-10.933997378768021</v>
      </c>
      <c r="O858" s="5" t="str">
        <f>TEXT(Table4[[#This Row],[Date]],"mmm")</f>
        <v>Aug</v>
      </c>
      <c r="P858" s="5">
        <f>ABS(Table4[[#This Row],[Variance]])</f>
        <v>38150</v>
      </c>
      <c r="Q858" s="5" t="str">
        <f>IF(Table4[[#This Row],[AB Variances ]]&gt;$P$2,"Anomaly","Normal")</f>
        <v>Anomaly</v>
      </c>
      <c r="R858" s="5">
        <f>SUMIFS(Table4[BudgetAmount],Table4[ActualExpense],"pending")</f>
        <v>0</v>
      </c>
    </row>
    <row r="859" spans="1:18">
      <c r="A859" t="s">
        <v>1464</v>
      </c>
      <c r="B859" t="s">
        <v>1465</v>
      </c>
      <c r="C859" t="s">
        <v>64</v>
      </c>
      <c r="D859" t="s">
        <v>16</v>
      </c>
      <c r="E859" t="s">
        <v>17</v>
      </c>
      <c r="F859" t="s">
        <v>18</v>
      </c>
      <c r="G859" s="2">
        <v>337282</v>
      </c>
      <c r="H859" s="1">
        <v>434365</v>
      </c>
      <c r="I859">
        <v>97083</v>
      </c>
      <c r="J859" t="s">
        <v>37</v>
      </c>
      <c r="K859" t="s">
        <v>67</v>
      </c>
      <c r="L859" t="s">
        <v>68</v>
      </c>
      <c r="M859" t="s">
        <v>42</v>
      </c>
      <c r="N859" s="5">
        <f>Table4[[#This Row],[BudgetAmount]]/Table4[[#This Row],[Variance]]</f>
        <v>3.4741612846739387</v>
      </c>
      <c r="O859" s="5" t="str">
        <f>TEXT(Table4[[#This Row],[Date]],"mmm")</f>
        <v>Sep</v>
      </c>
      <c r="P859" s="5">
        <f>ABS(Table4[[#This Row],[Variance]])</f>
        <v>97083</v>
      </c>
      <c r="Q859" s="5" t="str">
        <f>IF(Table4[[#This Row],[AB Variances ]]&gt;$P$2,"Anomaly","Normal")</f>
        <v>Anomaly</v>
      </c>
      <c r="R859" s="5">
        <f>SUMIFS(Table4[BudgetAmount],Table4[ActualExpense],"pending")</f>
        <v>0</v>
      </c>
    </row>
    <row r="860" spans="1:18">
      <c r="A860" t="s">
        <v>1466</v>
      </c>
      <c r="B860" t="s">
        <v>1467</v>
      </c>
      <c r="C860" t="s">
        <v>33</v>
      </c>
      <c r="D860" t="s">
        <v>26</v>
      </c>
      <c r="E860" t="s">
        <v>71</v>
      </c>
      <c r="F860" t="s">
        <v>72</v>
      </c>
      <c r="G860" s="2">
        <v>118194</v>
      </c>
      <c r="H860" s="1">
        <v>120150</v>
      </c>
      <c r="I860">
        <v>1956</v>
      </c>
      <c r="J860" t="s">
        <v>19</v>
      </c>
      <c r="K860" t="s">
        <v>20</v>
      </c>
      <c r="L860" t="s">
        <v>30</v>
      </c>
      <c r="M860" t="s">
        <v>42</v>
      </c>
      <c r="N860" s="5">
        <f>Table4[[#This Row],[BudgetAmount]]/Table4[[#This Row],[Variance]]</f>
        <v>60.426380368098158</v>
      </c>
      <c r="O860" s="5" t="str">
        <f>TEXT(Table4[[#This Row],[Date]],"mmm")</f>
        <v>Feb</v>
      </c>
      <c r="P860" s="5">
        <f>ABS(Table4[[#This Row],[Variance]])</f>
        <v>1956</v>
      </c>
      <c r="Q860" s="5" t="str">
        <f>IF(Table4[[#This Row],[AB Variances ]]&gt;$P$2,"Anomaly","Normal")</f>
        <v>Normal</v>
      </c>
      <c r="R860" s="5">
        <f>SUMIFS(Table4[BudgetAmount],Table4[ActualExpense],"pending")</f>
        <v>0</v>
      </c>
    </row>
    <row r="861" spans="1:18">
      <c r="A861" t="s">
        <v>1468</v>
      </c>
      <c r="B861" t="s">
        <v>1376</v>
      </c>
      <c r="C861" t="s">
        <v>15</v>
      </c>
      <c r="D861" t="s">
        <v>34</v>
      </c>
      <c r="E861" t="s">
        <v>17</v>
      </c>
      <c r="F861" t="s">
        <v>18</v>
      </c>
      <c r="G861" s="2">
        <v>403396</v>
      </c>
      <c r="H861" s="1">
        <v>381151</v>
      </c>
      <c r="I861">
        <v>-22245</v>
      </c>
      <c r="J861" t="s">
        <v>54</v>
      </c>
      <c r="K861" t="s">
        <v>67</v>
      </c>
      <c r="L861" t="s">
        <v>49</v>
      </c>
      <c r="M861" t="s">
        <v>42</v>
      </c>
      <c r="N861" s="5">
        <f>Table4[[#This Row],[BudgetAmount]]/Table4[[#This Row],[Variance]]</f>
        <v>-18.134232411777926</v>
      </c>
      <c r="O861" s="5" t="str">
        <f>TEXT(Table4[[#This Row],[Date]],"mmm")</f>
        <v>Feb</v>
      </c>
      <c r="P861" s="5">
        <f>ABS(Table4[[#This Row],[Variance]])</f>
        <v>22245</v>
      </c>
      <c r="Q861" s="5" t="str">
        <f>IF(Table4[[#This Row],[AB Variances ]]&gt;$P$2,"Anomaly","Normal")</f>
        <v>Anomaly</v>
      </c>
      <c r="R861" s="5">
        <f>SUMIFS(Table4[BudgetAmount],Table4[ActualExpense],"pending")</f>
        <v>0</v>
      </c>
    </row>
    <row r="862" spans="1:18">
      <c r="A862" t="s">
        <v>1469</v>
      </c>
      <c r="B862" t="s">
        <v>142</v>
      </c>
      <c r="C862" t="s">
        <v>33</v>
      </c>
      <c r="D862" t="s">
        <v>61</v>
      </c>
      <c r="E862" t="s">
        <v>27</v>
      </c>
      <c r="F862" t="s">
        <v>28</v>
      </c>
      <c r="G862" s="2">
        <v>352167</v>
      </c>
      <c r="H862" s="1">
        <v>434860</v>
      </c>
      <c r="I862">
        <v>82693</v>
      </c>
      <c r="J862" t="s">
        <v>19</v>
      </c>
      <c r="K862" t="s">
        <v>41</v>
      </c>
      <c r="L862" t="s">
        <v>30</v>
      </c>
      <c r="M862" t="s">
        <v>42</v>
      </c>
      <c r="N862" s="5">
        <f>Table4[[#This Row],[BudgetAmount]]/Table4[[#This Row],[Variance]]</f>
        <v>4.258728066462699</v>
      </c>
      <c r="O862" s="5" t="str">
        <f>TEXT(Table4[[#This Row],[Date]],"mmm")</f>
        <v>Jul</v>
      </c>
      <c r="P862" s="5">
        <f>ABS(Table4[[#This Row],[Variance]])</f>
        <v>82693</v>
      </c>
      <c r="Q862" s="5" t="str">
        <f>IF(Table4[[#This Row],[AB Variances ]]&gt;$P$2,"Anomaly","Normal")</f>
        <v>Anomaly</v>
      </c>
      <c r="R862" s="5">
        <f>SUMIFS(Table4[BudgetAmount],Table4[ActualExpense],"pending")</f>
        <v>0</v>
      </c>
    </row>
    <row r="863" spans="1:18">
      <c r="A863" t="s">
        <v>1470</v>
      </c>
      <c r="B863" t="s">
        <v>1471</v>
      </c>
      <c r="C863" t="s">
        <v>35</v>
      </c>
      <c r="D863" t="s">
        <v>34</v>
      </c>
      <c r="E863" t="s">
        <v>27</v>
      </c>
      <c r="F863" t="s">
        <v>28</v>
      </c>
      <c r="G863" s="2">
        <v>237684</v>
      </c>
      <c r="H863" s="1">
        <v>277052</v>
      </c>
      <c r="I863">
        <v>39368</v>
      </c>
      <c r="J863" t="s">
        <v>37</v>
      </c>
      <c r="K863" t="s">
        <v>29</v>
      </c>
      <c r="L863" t="s">
        <v>21</v>
      </c>
      <c r="M863" t="s">
        <v>42</v>
      </c>
      <c r="N863" s="5">
        <f>Table4[[#This Row],[BudgetAmount]]/Table4[[#This Row],[Variance]]</f>
        <v>6.0374923795976425</v>
      </c>
      <c r="O863" s="5" t="str">
        <f>TEXT(Table4[[#This Row],[Date]],"mmm")</f>
        <v>Jul</v>
      </c>
      <c r="P863" s="5">
        <f>ABS(Table4[[#This Row],[Variance]])</f>
        <v>39368</v>
      </c>
      <c r="Q863" s="5" t="str">
        <f>IF(Table4[[#This Row],[AB Variances ]]&gt;$P$2,"Anomaly","Normal")</f>
        <v>Anomaly</v>
      </c>
      <c r="R863" s="5">
        <f>SUMIFS(Table4[BudgetAmount],Table4[ActualExpense],"pending")</f>
        <v>0</v>
      </c>
    </row>
    <row r="864" spans="1:18">
      <c r="A864" t="s">
        <v>1472</v>
      </c>
      <c r="B864" t="s">
        <v>1473</v>
      </c>
      <c r="C864" t="s">
        <v>25</v>
      </c>
      <c r="D864" t="s">
        <v>16</v>
      </c>
      <c r="E864" t="s">
        <v>35</v>
      </c>
      <c r="F864" t="s">
        <v>36</v>
      </c>
      <c r="G864" s="2">
        <v>378661</v>
      </c>
      <c r="H864" s="1">
        <v>326686</v>
      </c>
      <c r="I864">
        <v>-51975</v>
      </c>
      <c r="J864" t="s">
        <v>19</v>
      </c>
      <c r="K864" t="s">
        <v>29</v>
      </c>
      <c r="L864" t="s">
        <v>68</v>
      </c>
      <c r="M864" t="s">
        <v>42</v>
      </c>
      <c r="N864" s="5">
        <f>Table4[[#This Row],[BudgetAmount]]/Table4[[#This Row],[Variance]]</f>
        <v>-7.2854449254449252</v>
      </c>
      <c r="O864" s="5" t="str">
        <f>TEXT(Table4[[#This Row],[Date]],"mmm")</f>
        <v>Nov</v>
      </c>
      <c r="P864" s="5">
        <f>ABS(Table4[[#This Row],[Variance]])</f>
        <v>51975</v>
      </c>
      <c r="Q864" s="5" t="str">
        <f>IF(Table4[[#This Row],[AB Variances ]]&gt;$P$2,"Anomaly","Normal")</f>
        <v>Anomaly</v>
      </c>
      <c r="R864" s="5">
        <f>SUMIFS(Table4[BudgetAmount],Table4[ActualExpense],"pending")</f>
        <v>0</v>
      </c>
    </row>
    <row r="865" spans="1:18">
      <c r="A865" t="s">
        <v>1474</v>
      </c>
      <c r="B865" t="s">
        <v>1475</v>
      </c>
      <c r="C865" t="s">
        <v>35</v>
      </c>
      <c r="D865" t="s">
        <v>26</v>
      </c>
      <c r="E865" t="s">
        <v>71</v>
      </c>
      <c r="F865" t="s">
        <v>72</v>
      </c>
      <c r="G865" s="2">
        <v>443914</v>
      </c>
      <c r="H865" s="1">
        <v>499575</v>
      </c>
      <c r="I865">
        <v>55661</v>
      </c>
      <c r="J865" t="s">
        <v>37</v>
      </c>
      <c r="K865" t="s">
        <v>29</v>
      </c>
      <c r="L865" t="s">
        <v>49</v>
      </c>
      <c r="M865" t="s">
        <v>22</v>
      </c>
      <c r="N865" s="5">
        <f>Table4[[#This Row],[BudgetAmount]]/Table4[[#This Row],[Variance]]</f>
        <v>7.9753148524101256</v>
      </c>
      <c r="O865" s="5" t="str">
        <f>TEXT(Table4[[#This Row],[Date]],"mmm")</f>
        <v>May</v>
      </c>
      <c r="P865" s="5">
        <f>ABS(Table4[[#This Row],[Variance]])</f>
        <v>55661</v>
      </c>
      <c r="Q865" s="5" t="str">
        <f>IF(Table4[[#This Row],[AB Variances ]]&gt;$P$2,"Anomaly","Normal")</f>
        <v>Anomaly</v>
      </c>
      <c r="R865" s="5">
        <f>SUMIFS(Table4[BudgetAmount],Table4[ActualExpense],"pending")</f>
        <v>0</v>
      </c>
    </row>
    <row r="866" spans="1:18">
      <c r="A866" t="s">
        <v>1476</v>
      </c>
      <c r="B866" t="s">
        <v>782</v>
      </c>
      <c r="C866" t="s">
        <v>33</v>
      </c>
      <c r="D866" t="s">
        <v>16</v>
      </c>
      <c r="E866" t="s">
        <v>71</v>
      </c>
      <c r="F866" t="s">
        <v>72</v>
      </c>
      <c r="G866" s="2">
        <v>230002</v>
      </c>
      <c r="H866" s="1">
        <v>302534</v>
      </c>
      <c r="I866">
        <v>72532</v>
      </c>
      <c r="J866" t="s">
        <v>19</v>
      </c>
      <c r="K866" t="s">
        <v>48</v>
      </c>
      <c r="L866" t="s">
        <v>68</v>
      </c>
      <c r="M866" t="s">
        <v>22</v>
      </c>
      <c r="N866" s="5">
        <f>Table4[[#This Row],[BudgetAmount]]/Table4[[#This Row],[Variance]]</f>
        <v>3.1710417470909391</v>
      </c>
      <c r="O866" s="5" t="str">
        <f>TEXT(Table4[[#This Row],[Date]],"mmm")</f>
        <v>Jan</v>
      </c>
      <c r="P866" s="5">
        <f>ABS(Table4[[#This Row],[Variance]])</f>
        <v>72532</v>
      </c>
      <c r="Q866" s="5" t="str">
        <f>IF(Table4[[#This Row],[AB Variances ]]&gt;$P$2,"Anomaly","Normal")</f>
        <v>Anomaly</v>
      </c>
      <c r="R866" s="5">
        <f>SUMIFS(Table4[BudgetAmount],Table4[ActualExpense],"pending")</f>
        <v>0</v>
      </c>
    </row>
    <row r="867" spans="1:18">
      <c r="A867" t="s">
        <v>1477</v>
      </c>
      <c r="B867" t="s">
        <v>1478</v>
      </c>
      <c r="C867" t="s">
        <v>25</v>
      </c>
      <c r="D867" t="s">
        <v>26</v>
      </c>
      <c r="E867" t="s">
        <v>46</v>
      </c>
      <c r="F867" t="s">
        <v>47</v>
      </c>
      <c r="G867" s="2">
        <v>496135</v>
      </c>
      <c r="H867" s="1">
        <v>670335</v>
      </c>
      <c r="I867">
        <v>174200</v>
      </c>
      <c r="J867" t="s">
        <v>54</v>
      </c>
      <c r="K867" t="s">
        <v>48</v>
      </c>
      <c r="L867" t="s">
        <v>68</v>
      </c>
      <c r="M867" t="s">
        <v>42</v>
      </c>
      <c r="N867" s="5">
        <f>Table4[[#This Row],[BudgetAmount]]/Table4[[#This Row],[Variance]]</f>
        <v>2.8480769230769232</v>
      </c>
      <c r="O867" s="5" t="str">
        <f>TEXT(Table4[[#This Row],[Date]],"mmm")</f>
        <v>Aug</v>
      </c>
      <c r="P867" s="5">
        <f>ABS(Table4[[#This Row],[Variance]])</f>
        <v>174200</v>
      </c>
      <c r="Q867" s="5" t="str">
        <f>IF(Table4[[#This Row],[AB Variances ]]&gt;$P$2,"Anomaly","Normal")</f>
        <v>Anomaly</v>
      </c>
      <c r="R867" s="5">
        <f>SUMIFS(Table4[BudgetAmount],Table4[ActualExpense],"pending")</f>
        <v>0</v>
      </c>
    </row>
    <row r="868" spans="1:18">
      <c r="A868" t="s">
        <v>1479</v>
      </c>
      <c r="B868" t="s">
        <v>335</v>
      </c>
      <c r="C868" t="s">
        <v>35</v>
      </c>
      <c r="D868" t="s">
        <v>61</v>
      </c>
      <c r="E868" t="s">
        <v>85</v>
      </c>
      <c r="F868" t="s">
        <v>86</v>
      </c>
      <c r="G868" s="2">
        <v>476338</v>
      </c>
      <c r="H868" s="1">
        <v>515534</v>
      </c>
      <c r="I868">
        <v>39196</v>
      </c>
      <c r="J868" t="s">
        <v>19</v>
      </c>
      <c r="K868" t="s">
        <v>29</v>
      </c>
      <c r="L868" t="s">
        <v>49</v>
      </c>
      <c r="M868" t="s">
        <v>42</v>
      </c>
      <c r="N868" s="5">
        <f>Table4[[#This Row],[BudgetAmount]]/Table4[[#This Row],[Variance]]</f>
        <v>12.152719665271967</v>
      </c>
      <c r="O868" s="5" t="str">
        <f>TEXT(Table4[[#This Row],[Date]],"mmm")</f>
        <v>Jul</v>
      </c>
      <c r="P868" s="5">
        <f>ABS(Table4[[#This Row],[Variance]])</f>
        <v>39196</v>
      </c>
      <c r="Q868" s="5" t="str">
        <f>IF(Table4[[#This Row],[AB Variances ]]&gt;$P$2,"Anomaly","Normal")</f>
        <v>Anomaly</v>
      </c>
      <c r="R868" s="5">
        <f>SUMIFS(Table4[BudgetAmount],Table4[ActualExpense],"pending")</f>
        <v>0</v>
      </c>
    </row>
    <row r="869" spans="1:18">
      <c r="A869" t="s">
        <v>1480</v>
      </c>
      <c r="B869" t="s">
        <v>1398</v>
      </c>
      <c r="C869" t="s">
        <v>33</v>
      </c>
      <c r="D869" t="s">
        <v>34</v>
      </c>
      <c r="E869" t="s">
        <v>35</v>
      </c>
      <c r="F869" t="s">
        <v>36</v>
      </c>
      <c r="G869" s="2">
        <v>478158</v>
      </c>
      <c r="H869" s="1">
        <v>364186</v>
      </c>
      <c r="I869">
        <v>-113972</v>
      </c>
      <c r="J869" t="s">
        <v>54</v>
      </c>
      <c r="K869" t="s">
        <v>41</v>
      </c>
      <c r="L869" t="s">
        <v>68</v>
      </c>
      <c r="M869" t="s">
        <v>42</v>
      </c>
      <c r="N869" s="5">
        <f>Table4[[#This Row],[BudgetAmount]]/Table4[[#This Row],[Variance]]</f>
        <v>-4.1953988698978693</v>
      </c>
      <c r="O869" s="5" t="str">
        <f>TEXT(Table4[[#This Row],[Date]],"mmm")</f>
        <v>Jun</v>
      </c>
      <c r="P869" s="5">
        <f>ABS(Table4[[#This Row],[Variance]])</f>
        <v>113972</v>
      </c>
      <c r="Q869" s="5" t="str">
        <f>IF(Table4[[#This Row],[AB Variances ]]&gt;$P$2,"Anomaly","Normal")</f>
        <v>Anomaly</v>
      </c>
      <c r="R869" s="5">
        <f>SUMIFS(Table4[BudgetAmount],Table4[ActualExpense],"pending")</f>
        <v>0</v>
      </c>
    </row>
    <row r="870" spans="1:18">
      <c r="A870" t="s">
        <v>1481</v>
      </c>
      <c r="B870" t="s">
        <v>1482</v>
      </c>
      <c r="C870" t="s">
        <v>25</v>
      </c>
      <c r="D870" t="s">
        <v>61</v>
      </c>
      <c r="E870" t="s">
        <v>27</v>
      </c>
      <c r="F870" t="s">
        <v>28</v>
      </c>
      <c r="G870" s="2">
        <v>103645</v>
      </c>
      <c r="H870" s="1">
        <v>105507</v>
      </c>
      <c r="I870">
        <v>1862</v>
      </c>
      <c r="J870" t="s">
        <v>37</v>
      </c>
      <c r="K870" t="s">
        <v>48</v>
      </c>
      <c r="L870" t="s">
        <v>49</v>
      </c>
      <c r="M870" t="s">
        <v>22</v>
      </c>
      <c r="N870" s="5">
        <f>Table4[[#This Row],[BudgetAmount]]/Table4[[#This Row],[Variance]]</f>
        <v>55.663265306122447</v>
      </c>
      <c r="O870" s="5" t="str">
        <f>TEXT(Table4[[#This Row],[Date]],"mmm")</f>
        <v>Feb</v>
      </c>
      <c r="P870" s="5">
        <f>ABS(Table4[[#This Row],[Variance]])</f>
        <v>1862</v>
      </c>
      <c r="Q870" s="5" t="str">
        <f>IF(Table4[[#This Row],[AB Variances ]]&gt;$P$2,"Anomaly","Normal")</f>
        <v>Normal</v>
      </c>
      <c r="R870" s="5">
        <f>SUMIFS(Table4[BudgetAmount],Table4[ActualExpense],"pending")</f>
        <v>0</v>
      </c>
    </row>
    <row r="871" spans="1:18">
      <c r="A871" t="s">
        <v>1483</v>
      </c>
      <c r="B871" t="s">
        <v>1284</v>
      </c>
      <c r="C871" t="s">
        <v>15</v>
      </c>
      <c r="D871" t="s">
        <v>61</v>
      </c>
      <c r="E871" t="s">
        <v>71</v>
      </c>
      <c r="F871" t="s">
        <v>72</v>
      </c>
      <c r="G871" s="2">
        <v>82044</v>
      </c>
      <c r="H871" s="1">
        <v>75183</v>
      </c>
      <c r="I871">
        <v>-6861</v>
      </c>
      <c r="J871" t="s">
        <v>19</v>
      </c>
      <c r="K871" t="s">
        <v>48</v>
      </c>
      <c r="L871" t="s">
        <v>49</v>
      </c>
      <c r="M871" t="s">
        <v>22</v>
      </c>
      <c r="N871" s="5">
        <f>Table4[[#This Row],[BudgetAmount]]/Table4[[#This Row],[Variance]]</f>
        <v>-11.958023611718408</v>
      </c>
      <c r="O871" s="5" t="str">
        <f>TEXT(Table4[[#This Row],[Date]],"mmm")</f>
        <v>Dec</v>
      </c>
      <c r="P871" s="5">
        <f>ABS(Table4[[#This Row],[Variance]])</f>
        <v>6861</v>
      </c>
      <c r="Q871" s="5" t="str">
        <f>IF(Table4[[#This Row],[AB Variances ]]&gt;$P$2,"Anomaly","Normal")</f>
        <v>Normal</v>
      </c>
      <c r="R871" s="5">
        <f>SUMIFS(Table4[BudgetAmount],Table4[ActualExpense],"pending")</f>
        <v>0</v>
      </c>
    </row>
    <row r="872" spans="1:18">
      <c r="A872" t="s">
        <v>1484</v>
      </c>
      <c r="B872" t="s">
        <v>1485</v>
      </c>
      <c r="C872" t="s">
        <v>45</v>
      </c>
      <c r="D872" t="s">
        <v>61</v>
      </c>
      <c r="E872" t="s">
        <v>85</v>
      </c>
      <c r="F872" t="s">
        <v>86</v>
      </c>
      <c r="G872" s="2">
        <v>273915</v>
      </c>
      <c r="H872" s="1">
        <v>277638</v>
      </c>
      <c r="I872">
        <v>3723</v>
      </c>
      <c r="J872" t="s">
        <v>37</v>
      </c>
      <c r="K872" t="s">
        <v>48</v>
      </c>
      <c r="L872" t="s">
        <v>49</v>
      </c>
      <c r="M872" t="s">
        <v>42</v>
      </c>
      <c r="N872" s="5">
        <f>Table4[[#This Row],[BudgetAmount]]/Table4[[#This Row],[Variance]]</f>
        <v>73.573730862207896</v>
      </c>
      <c r="O872" s="5" t="str">
        <f>TEXT(Table4[[#This Row],[Date]],"mmm")</f>
        <v>Mar</v>
      </c>
      <c r="P872" s="5">
        <f>ABS(Table4[[#This Row],[Variance]])</f>
        <v>3723</v>
      </c>
      <c r="Q872" s="5" t="str">
        <f>IF(Table4[[#This Row],[AB Variances ]]&gt;$P$2,"Anomaly","Normal")</f>
        <v>Normal</v>
      </c>
      <c r="R872" s="5">
        <f>SUMIFS(Table4[BudgetAmount],Table4[ActualExpense],"pending")</f>
        <v>0</v>
      </c>
    </row>
    <row r="873" spans="1:18">
      <c r="A873" t="s">
        <v>1486</v>
      </c>
      <c r="B873" t="s">
        <v>1487</v>
      </c>
      <c r="C873" t="s">
        <v>25</v>
      </c>
      <c r="D873" t="s">
        <v>16</v>
      </c>
      <c r="E873" t="s">
        <v>35</v>
      </c>
      <c r="F873" t="s">
        <v>36</v>
      </c>
      <c r="G873" s="2">
        <v>386518</v>
      </c>
      <c r="H873" s="1">
        <v>340815</v>
      </c>
      <c r="I873">
        <v>-45703</v>
      </c>
      <c r="J873" t="s">
        <v>19</v>
      </c>
      <c r="K873" t="s">
        <v>48</v>
      </c>
      <c r="L873" t="s">
        <v>21</v>
      </c>
      <c r="M873" t="s">
        <v>22</v>
      </c>
      <c r="N873" s="5">
        <f>Table4[[#This Row],[BudgetAmount]]/Table4[[#This Row],[Variance]]</f>
        <v>-8.4571691136249267</v>
      </c>
      <c r="O873" s="5" t="str">
        <f>TEXT(Table4[[#This Row],[Date]],"mmm")</f>
        <v>Jun</v>
      </c>
      <c r="P873" s="5">
        <f>ABS(Table4[[#This Row],[Variance]])</f>
        <v>45703</v>
      </c>
      <c r="Q873" s="5" t="str">
        <f>IF(Table4[[#This Row],[AB Variances ]]&gt;$P$2,"Anomaly","Normal")</f>
        <v>Anomaly</v>
      </c>
      <c r="R873" s="5">
        <f>SUMIFS(Table4[BudgetAmount],Table4[ActualExpense],"pending")</f>
        <v>0</v>
      </c>
    </row>
    <row r="874" spans="1:18">
      <c r="A874" t="s">
        <v>1488</v>
      </c>
      <c r="B874" t="s">
        <v>1451</v>
      </c>
      <c r="C874" t="s">
        <v>25</v>
      </c>
      <c r="D874" t="s">
        <v>40</v>
      </c>
      <c r="E874" t="s">
        <v>71</v>
      </c>
      <c r="F874" t="s">
        <v>72</v>
      </c>
      <c r="G874" s="2">
        <v>400816</v>
      </c>
      <c r="H874" s="1">
        <v>497465</v>
      </c>
      <c r="I874">
        <v>96649</v>
      </c>
      <c r="J874" t="s">
        <v>54</v>
      </c>
      <c r="K874" t="s">
        <v>20</v>
      </c>
      <c r="L874" t="s">
        <v>49</v>
      </c>
      <c r="M874" t="s">
        <v>22</v>
      </c>
      <c r="N874" s="5">
        <f>Table4[[#This Row],[BudgetAmount]]/Table4[[#This Row],[Variance]]</f>
        <v>4.1471303376134259</v>
      </c>
      <c r="O874" s="5" t="str">
        <f>TEXT(Table4[[#This Row],[Date]],"mmm")</f>
        <v>Mar</v>
      </c>
      <c r="P874" s="5">
        <f>ABS(Table4[[#This Row],[Variance]])</f>
        <v>96649</v>
      </c>
      <c r="Q874" s="5" t="str">
        <f>IF(Table4[[#This Row],[AB Variances ]]&gt;$P$2,"Anomaly","Normal")</f>
        <v>Anomaly</v>
      </c>
      <c r="R874" s="5">
        <f>SUMIFS(Table4[BudgetAmount],Table4[ActualExpense],"pending")</f>
        <v>0</v>
      </c>
    </row>
    <row r="875" spans="1:18">
      <c r="A875" t="s">
        <v>1489</v>
      </c>
      <c r="B875" t="s">
        <v>1490</v>
      </c>
      <c r="C875" t="s">
        <v>45</v>
      </c>
      <c r="D875" t="s">
        <v>26</v>
      </c>
      <c r="E875" t="s">
        <v>17</v>
      </c>
      <c r="F875" t="s">
        <v>18</v>
      </c>
      <c r="G875" s="2">
        <v>235762</v>
      </c>
      <c r="H875" s="1">
        <v>263961</v>
      </c>
      <c r="I875">
        <v>28199</v>
      </c>
      <c r="J875" t="s">
        <v>37</v>
      </c>
      <c r="K875" t="s">
        <v>48</v>
      </c>
      <c r="L875" t="s">
        <v>49</v>
      </c>
      <c r="M875" t="s">
        <v>42</v>
      </c>
      <c r="N875" s="5">
        <f>Table4[[#This Row],[BudgetAmount]]/Table4[[#This Row],[Variance]]</f>
        <v>8.3606510869179758</v>
      </c>
      <c r="O875" s="5" t="str">
        <f>TEXT(Table4[[#This Row],[Date]],"mmm")</f>
        <v>Feb</v>
      </c>
      <c r="P875" s="5">
        <f>ABS(Table4[[#This Row],[Variance]])</f>
        <v>28199</v>
      </c>
      <c r="Q875" s="5" t="str">
        <f>IF(Table4[[#This Row],[AB Variances ]]&gt;$P$2,"Anomaly","Normal")</f>
        <v>Anomaly</v>
      </c>
      <c r="R875" s="5">
        <f>SUMIFS(Table4[BudgetAmount],Table4[ActualExpense],"pending")</f>
        <v>0</v>
      </c>
    </row>
    <row r="876" spans="1:18">
      <c r="A876" t="s">
        <v>1491</v>
      </c>
      <c r="B876" t="s">
        <v>398</v>
      </c>
      <c r="C876" t="s">
        <v>25</v>
      </c>
      <c r="D876" t="s">
        <v>34</v>
      </c>
      <c r="E876" t="s">
        <v>71</v>
      </c>
      <c r="F876" t="s">
        <v>72</v>
      </c>
      <c r="G876" s="2">
        <v>233224</v>
      </c>
      <c r="H876" s="1">
        <v>317883</v>
      </c>
      <c r="I876">
        <v>84659</v>
      </c>
      <c r="J876" t="s">
        <v>37</v>
      </c>
      <c r="K876" t="s">
        <v>29</v>
      </c>
      <c r="L876" t="s">
        <v>21</v>
      </c>
      <c r="M876" t="s">
        <v>42</v>
      </c>
      <c r="N876" s="5">
        <f>Table4[[#This Row],[BudgetAmount]]/Table4[[#This Row],[Variance]]</f>
        <v>2.7548636293837632</v>
      </c>
      <c r="O876" s="5" t="str">
        <f>TEXT(Table4[[#This Row],[Date]],"mmm")</f>
        <v>Jul</v>
      </c>
      <c r="P876" s="5">
        <f>ABS(Table4[[#This Row],[Variance]])</f>
        <v>84659</v>
      </c>
      <c r="Q876" s="5" t="str">
        <f>IF(Table4[[#This Row],[AB Variances ]]&gt;$P$2,"Anomaly","Normal")</f>
        <v>Anomaly</v>
      </c>
      <c r="R876" s="5">
        <f>SUMIFS(Table4[BudgetAmount],Table4[ActualExpense],"pending")</f>
        <v>0</v>
      </c>
    </row>
    <row r="877" spans="1:18">
      <c r="A877" t="s">
        <v>1492</v>
      </c>
      <c r="B877" t="s">
        <v>1493</v>
      </c>
      <c r="C877" t="s">
        <v>64</v>
      </c>
      <c r="D877" t="s">
        <v>16</v>
      </c>
      <c r="E877" t="s">
        <v>85</v>
      </c>
      <c r="F877" t="s">
        <v>86</v>
      </c>
      <c r="G877" s="2">
        <v>285777</v>
      </c>
      <c r="H877" s="1">
        <v>256977</v>
      </c>
      <c r="I877">
        <v>-28800</v>
      </c>
      <c r="J877" t="s">
        <v>37</v>
      </c>
      <c r="K877" t="s">
        <v>67</v>
      </c>
      <c r="L877" t="s">
        <v>49</v>
      </c>
      <c r="M877" t="s">
        <v>22</v>
      </c>
      <c r="N877" s="5">
        <f>Table4[[#This Row],[BudgetAmount]]/Table4[[#This Row],[Variance]]</f>
        <v>-9.9228124999999991</v>
      </c>
      <c r="O877" s="5" t="str">
        <f>TEXT(Table4[[#This Row],[Date]],"mmm")</f>
        <v>Feb</v>
      </c>
      <c r="P877" s="5">
        <f>ABS(Table4[[#This Row],[Variance]])</f>
        <v>28800</v>
      </c>
      <c r="Q877" s="5" t="str">
        <f>IF(Table4[[#This Row],[AB Variances ]]&gt;$P$2,"Anomaly","Normal")</f>
        <v>Anomaly</v>
      </c>
      <c r="R877" s="5">
        <f>SUMIFS(Table4[BudgetAmount],Table4[ActualExpense],"pending")</f>
        <v>0</v>
      </c>
    </row>
    <row r="878" spans="1:18">
      <c r="A878" t="s">
        <v>1494</v>
      </c>
      <c r="B878" t="s">
        <v>580</v>
      </c>
      <c r="C878" t="s">
        <v>33</v>
      </c>
      <c r="D878" t="s">
        <v>26</v>
      </c>
      <c r="E878" t="s">
        <v>46</v>
      </c>
      <c r="F878" t="s">
        <v>47</v>
      </c>
      <c r="G878" s="2">
        <v>329781</v>
      </c>
      <c r="H878" s="1">
        <v>246423</v>
      </c>
      <c r="I878">
        <v>-83358</v>
      </c>
      <c r="J878" t="s">
        <v>54</v>
      </c>
      <c r="K878" t="s">
        <v>29</v>
      </c>
      <c r="L878" t="s">
        <v>21</v>
      </c>
      <c r="M878" t="s">
        <v>42</v>
      </c>
      <c r="N878" s="5">
        <f>Table4[[#This Row],[BudgetAmount]]/Table4[[#This Row],[Variance]]</f>
        <v>-3.9562009645145038</v>
      </c>
      <c r="O878" s="5" t="str">
        <f>TEXT(Table4[[#This Row],[Date]],"mmm")</f>
        <v>Jul</v>
      </c>
      <c r="P878" s="5">
        <f>ABS(Table4[[#This Row],[Variance]])</f>
        <v>83358</v>
      </c>
      <c r="Q878" s="5" t="str">
        <f>IF(Table4[[#This Row],[AB Variances ]]&gt;$P$2,"Anomaly","Normal")</f>
        <v>Anomaly</v>
      </c>
      <c r="R878" s="5">
        <f>SUMIFS(Table4[BudgetAmount],Table4[ActualExpense],"pending")</f>
        <v>0</v>
      </c>
    </row>
    <row r="879" spans="1:18">
      <c r="A879" t="s">
        <v>1495</v>
      </c>
      <c r="B879" t="s">
        <v>1496</v>
      </c>
      <c r="C879" t="s">
        <v>33</v>
      </c>
      <c r="D879" t="s">
        <v>26</v>
      </c>
      <c r="E879" t="s">
        <v>27</v>
      </c>
      <c r="F879" t="s">
        <v>28</v>
      </c>
      <c r="G879" s="2">
        <v>162885</v>
      </c>
      <c r="H879" s="1">
        <v>218788</v>
      </c>
      <c r="I879">
        <v>55903</v>
      </c>
      <c r="J879" t="s">
        <v>54</v>
      </c>
      <c r="K879" t="s">
        <v>67</v>
      </c>
      <c r="L879" t="s">
        <v>21</v>
      </c>
      <c r="M879" t="s">
        <v>22</v>
      </c>
      <c r="N879" s="5">
        <f>Table4[[#This Row],[BudgetAmount]]/Table4[[#This Row],[Variance]]</f>
        <v>2.9137076722179489</v>
      </c>
      <c r="O879" s="5" t="str">
        <f>TEXT(Table4[[#This Row],[Date]],"mmm")</f>
        <v>Nov</v>
      </c>
      <c r="P879" s="5">
        <f>ABS(Table4[[#This Row],[Variance]])</f>
        <v>55903</v>
      </c>
      <c r="Q879" s="5" t="str">
        <f>IF(Table4[[#This Row],[AB Variances ]]&gt;$P$2,"Anomaly","Normal")</f>
        <v>Anomaly</v>
      </c>
      <c r="R879" s="5">
        <f>SUMIFS(Table4[BudgetAmount],Table4[ActualExpense],"pending")</f>
        <v>0</v>
      </c>
    </row>
    <row r="880" spans="1:18">
      <c r="A880" t="s">
        <v>1497</v>
      </c>
      <c r="B880" t="s">
        <v>219</v>
      </c>
      <c r="C880" t="s">
        <v>15</v>
      </c>
      <c r="D880" t="s">
        <v>34</v>
      </c>
      <c r="E880" t="s">
        <v>46</v>
      </c>
      <c r="F880" t="s">
        <v>47</v>
      </c>
      <c r="G880" s="2">
        <v>142922</v>
      </c>
      <c r="H880" s="1">
        <v>185025</v>
      </c>
      <c r="I880">
        <v>42103</v>
      </c>
      <c r="J880" t="s">
        <v>37</v>
      </c>
      <c r="K880" t="s">
        <v>67</v>
      </c>
      <c r="L880" t="s">
        <v>30</v>
      </c>
      <c r="M880" t="s">
        <v>42</v>
      </c>
      <c r="N880" s="5">
        <f>Table4[[#This Row],[BudgetAmount]]/Table4[[#This Row],[Variance]]</f>
        <v>3.3945799586727787</v>
      </c>
      <c r="O880" s="5" t="str">
        <f>TEXT(Table4[[#This Row],[Date]],"mmm")</f>
        <v>Feb</v>
      </c>
      <c r="P880" s="5">
        <f>ABS(Table4[[#This Row],[Variance]])</f>
        <v>42103</v>
      </c>
      <c r="Q880" s="5" t="str">
        <f>IF(Table4[[#This Row],[AB Variances ]]&gt;$P$2,"Anomaly","Normal")</f>
        <v>Anomaly</v>
      </c>
      <c r="R880" s="5">
        <f>SUMIFS(Table4[BudgetAmount],Table4[ActualExpense],"pending")</f>
        <v>0</v>
      </c>
    </row>
    <row r="881" spans="1:18">
      <c r="A881" t="s">
        <v>1498</v>
      </c>
      <c r="B881" t="s">
        <v>120</v>
      </c>
      <c r="C881" t="s">
        <v>45</v>
      </c>
      <c r="D881" t="s">
        <v>34</v>
      </c>
      <c r="E881" t="s">
        <v>17</v>
      </c>
      <c r="F881" t="s">
        <v>18</v>
      </c>
      <c r="G881" s="2">
        <v>158544</v>
      </c>
      <c r="H881" s="1">
        <v>214068</v>
      </c>
      <c r="I881">
        <v>55524</v>
      </c>
      <c r="J881" t="s">
        <v>54</v>
      </c>
      <c r="K881" t="s">
        <v>41</v>
      </c>
      <c r="L881" t="s">
        <v>30</v>
      </c>
      <c r="M881" t="s">
        <v>22</v>
      </c>
      <c r="N881" s="5">
        <f>Table4[[#This Row],[BudgetAmount]]/Table4[[#This Row],[Variance]]</f>
        <v>2.8554138750810458</v>
      </c>
      <c r="O881" s="5" t="str">
        <f>TEXT(Table4[[#This Row],[Date]],"mmm")</f>
        <v>Jun</v>
      </c>
      <c r="P881" s="5">
        <f>ABS(Table4[[#This Row],[Variance]])</f>
        <v>55524</v>
      </c>
      <c r="Q881" s="5" t="str">
        <f>IF(Table4[[#This Row],[AB Variances ]]&gt;$P$2,"Anomaly","Normal")</f>
        <v>Anomaly</v>
      </c>
      <c r="R881" s="5">
        <f>SUMIFS(Table4[BudgetAmount],Table4[ActualExpense],"pending")</f>
        <v>0</v>
      </c>
    </row>
    <row r="882" spans="1:18">
      <c r="A882" t="s">
        <v>1499</v>
      </c>
      <c r="B882" t="s">
        <v>1219</v>
      </c>
      <c r="C882" t="s">
        <v>33</v>
      </c>
      <c r="D882" t="s">
        <v>26</v>
      </c>
      <c r="E882" t="s">
        <v>85</v>
      </c>
      <c r="F882" t="s">
        <v>86</v>
      </c>
      <c r="G882" s="2">
        <v>283815</v>
      </c>
      <c r="H882" s="1">
        <v>341126</v>
      </c>
      <c r="I882">
        <v>57311</v>
      </c>
      <c r="J882" t="s">
        <v>54</v>
      </c>
      <c r="K882" t="s">
        <v>20</v>
      </c>
      <c r="L882" t="s">
        <v>49</v>
      </c>
      <c r="M882" t="s">
        <v>42</v>
      </c>
      <c r="N882" s="5">
        <f>Table4[[#This Row],[BudgetAmount]]/Table4[[#This Row],[Variance]]</f>
        <v>4.9521906789272565</v>
      </c>
      <c r="O882" s="5" t="str">
        <f>TEXT(Table4[[#This Row],[Date]],"mmm")</f>
        <v>Sep</v>
      </c>
      <c r="P882" s="5">
        <f>ABS(Table4[[#This Row],[Variance]])</f>
        <v>57311</v>
      </c>
      <c r="Q882" s="5" t="str">
        <f>IF(Table4[[#This Row],[AB Variances ]]&gt;$P$2,"Anomaly","Normal")</f>
        <v>Anomaly</v>
      </c>
      <c r="R882" s="5">
        <f>SUMIFS(Table4[BudgetAmount],Table4[ActualExpense],"pending")</f>
        <v>0</v>
      </c>
    </row>
    <row r="883" spans="1:18">
      <c r="A883" t="s">
        <v>1500</v>
      </c>
      <c r="B883" t="s">
        <v>154</v>
      </c>
      <c r="C883" t="s">
        <v>25</v>
      </c>
      <c r="D883" t="s">
        <v>26</v>
      </c>
      <c r="E883" t="s">
        <v>46</v>
      </c>
      <c r="F883" t="s">
        <v>47</v>
      </c>
      <c r="G883" s="2">
        <v>82360</v>
      </c>
      <c r="H883" s="1">
        <v>109745</v>
      </c>
      <c r="I883">
        <v>27385</v>
      </c>
      <c r="J883" t="s">
        <v>19</v>
      </c>
      <c r="K883" t="s">
        <v>67</v>
      </c>
      <c r="L883" t="s">
        <v>49</v>
      </c>
      <c r="M883" t="s">
        <v>22</v>
      </c>
      <c r="N883" s="5">
        <f>Table4[[#This Row],[BudgetAmount]]/Table4[[#This Row],[Variance]]</f>
        <v>3.0074858499178383</v>
      </c>
      <c r="O883" s="5" t="str">
        <f>TEXT(Table4[[#This Row],[Date]],"mmm")</f>
        <v>Feb</v>
      </c>
      <c r="P883" s="5">
        <f>ABS(Table4[[#This Row],[Variance]])</f>
        <v>27385</v>
      </c>
      <c r="Q883" s="5" t="str">
        <f>IF(Table4[[#This Row],[AB Variances ]]&gt;$P$2,"Anomaly","Normal")</f>
        <v>Anomaly</v>
      </c>
      <c r="R883" s="5">
        <f>SUMIFS(Table4[BudgetAmount],Table4[ActualExpense],"pending")</f>
        <v>0</v>
      </c>
    </row>
    <row r="884" spans="1:18">
      <c r="A884" t="s">
        <v>1501</v>
      </c>
      <c r="B884" t="s">
        <v>302</v>
      </c>
      <c r="C884" t="s">
        <v>45</v>
      </c>
      <c r="D884" t="s">
        <v>26</v>
      </c>
      <c r="E884" t="s">
        <v>17</v>
      </c>
      <c r="F884" t="s">
        <v>18</v>
      </c>
      <c r="G884" s="2">
        <v>96107</v>
      </c>
      <c r="H884" s="1">
        <v>74522</v>
      </c>
      <c r="I884">
        <v>-21585</v>
      </c>
      <c r="J884" t="s">
        <v>19</v>
      </c>
      <c r="K884" t="s">
        <v>67</v>
      </c>
      <c r="L884" t="s">
        <v>49</v>
      </c>
      <c r="M884" t="s">
        <v>22</v>
      </c>
      <c r="N884" s="5">
        <f>Table4[[#This Row],[BudgetAmount]]/Table4[[#This Row],[Variance]]</f>
        <v>-4.4524901552003708</v>
      </c>
      <c r="O884" s="5" t="str">
        <f>TEXT(Table4[[#This Row],[Date]],"mmm")</f>
        <v>Jul</v>
      </c>
      <c r="P884" s="5">
        <f>ABS(Table4[[#This Row],[Variance]])</f>
        <v>21585</v>
      </c>
      <c r="Q884" s="5" t="str">
        <f>IF(Table4[[#This Row],[AB Variances ]]&gt;$P$2,"Anomaly","Normal")</f>
        <v>Anomaly</v>
      </c>
      <c r="R884" s="5">
        <f>SUMIFS(Table4[BudgetAmount],Table4[ActualExpense],"pending")</f>
        <v>0</v>
      </c>
    </row>
    <row r="885" spans="1:18">
      <c r="A885" t="s">
        <v>1502</v>
      </c>
      <c r="B885" t="s">
        <v>1503</v>
      </c>
      <c r="C885" t="s">
        <v>25</v>
      </c>
      <c r="D885" t="s">
        <v>61</v>
      </c>
      <c r="E885" t="s">
        <v>71</v>
      </c>
      <c r="F885" t="s">
        <v>72</v>
      </c>
      <c r="G885" s="2">
        <v>128623</v>
      </c>
      <c r="H885" s="1">
        <v>141706</v>
      </c>
      <c r="I885">
        <v>13083</v>
      </c>
      <c r="J885" t="s">
        <v>54</v>
      </c>
      <c r="K885" t="s">
        <v>48</v>
      </c>
      <c r="L885" t="s">
        <v>30</v>
      </c>
      <c r="M885" t="s">
        <v>22</v>
      </c>
      <c r="N885" s="5">
        <f>Table4[[#This Row],[BudgetAmount]]/Table4[[#This Row],[Variance]]</f>
        <v>9.8313078040204847</v>
      </c>
      <c r="O885" s="5" t="str">
        <f>TEXT(Table4[[#This Row],[Date]],"mmm")</f>
        <v>Oct</v>
      </c>
      <c r="P885" s="5">
        <f>ABS(Table4[[#This Row],[Variance]])</f>
        <v>13083</v>
      </c>
      <c r="Q885" s="5" t="str">
        <f>IF(Table4[[#This Row],[AB Variances ]]&gt;$P$2,"Anomaly","Normal")</f>
        <v>Normal</v>
      </c>
      <c r="R885" s="5">
        <f>SUMIFS(Table4[BudgetAmount],Table4[ActualExpense],"pending")</f>
        <v>0</v>
      </c>
    </row>
    <row r="886" spans="1:18">
      <c r="A886" t="s">
        <v>1504</v>
      </c>
      <c r="B886" t="s">
        <v>845</v>
      </c>
      <c r="C886" t="s">
        <v>35</v>
      </c>
      <c r="D886" t="s">
        <v>16</v>
      </c>
      <c r="E886" t="s">
        <v>46</v>
      </c>
      <c r="F886" t="s">
        <v>47</v>
      </c>
      <c r="G886" s="2">
        <v>100866</v>
      </c>
      <c r="H886" s="1">
        <v>71056</v>
      </c>
      <c r="I886">
        <v>-29810</v>
      </c>
      <c r="J886" t="s">
        <v>19</v>
      </c>
      <c r="K886" t="s">
        <v>29</v>
      </c>
      <c r="L886" t="s">
        <v>49</v>
      </c>
      <c r="M886" t="s">
        <v>42</v>
      </c>
      <c r="N886" s="5">
        <f>Table4[[#This Row],[BudgetAmount]]/Table4[[#This Row],[Variance]]</f>
        <v>-3.3836296544783631</v>
      </c>
      <c r="O886" s="5" t="str">
        <f>TEXT(Table4[[#This Row],[Date]],"mmm")</f>
        <v>Mar</v>
      </c>
      <c r="P886" s="5">
        <f>ABS(Table4[[#This Row],[Variance]])</f>
        <v>29810</v>
      </c>
      <c r="Q886" s="5" t="str">
        <f>IF(Table4[[#This Row],[AB Variances ]]&gt;$P$2,"Anomaly","Normal")</f>
        <v>Anomaly</v>
      </c>
      <c r="R886" s="5">
        <f>SUMIFS(Table4[BudgetAmount],Table4[ActualExpense],"pending")</f>
        <v>0</v>
      </c>
    </row>
    <row r="887" spans="1:18">
      <c r="A887" t="s">
        <v>1505</v>
      </c>
      <c r="B887" t="s">
        <v>872</v>
      </c>
      <c r="C887" t="s">
        <v>15</v>
      </c>
      <c r="D887" t="s">
        <v>26</v>
      </c>
      <c r="E887" t="s">
        <v>35</v>
      </c>
      <c r="F887" t="s">
        <v>36</v>
      </c>
      <c r="G887" s="2">
        <v>111857</v>
      </c>
      <c r="H887" s="1">
        <v>132329</v>
      </c>
      <c r="I887">
        <v>20472</v>
      </c>
      <c r="J887" t="s">
        <v>19</v>
      </c>
      <c r="K887" t="s">
        <v>29</v>
      </c>
      <c r="L887" t="s">
        <v>21</v>
      </c>
      <c r="M887" t="s">
        <v>42</v>
      </c>
      <c r="N887" s="5">
        <f>Table4[[#This Row],[BudgetAmount]]/Table4[[#This Row],[Variance]]</f>
        <v>5.4639019148104726</v>
      </c>
      <c r="O887" s="5" t="str">
        <f>TEXT(Table4[[#This Row],[Date]],"mmm")</f>
        <v>Nov</v>
      </c>
      <c r="P887" s="5">
        <f>ABS(Table4[[#This Row],[Variance]])</f>
        <v>20472</v>
      </c>
      <c r="Q887" s="5" t="str">
        <f>IF(Table4[[#This Row],[AB Variances ]]&gt;$P$2,"Anomaly","Normal")</f>
        <v>Anomaly</v>
      </c>
      <c r="R887" s="5">
        <f>SUMIFS(Table4[BudgetAmount],Table4[ActualExpense],"pending")</f>
        <v>0</v>
      </c>
    </row>
    <row r="888" spans="1:18">
      <c r="A888" t="s">
        <v>1506</v>
      </c>
      <c r="B888" t="s">
        <v>1507</v>
      </c>
      <c r="C888" t="s">
        <v>25</v>
      </c>
      <c r="D888" t="s">
        <v>26</v>
      </c>
      <c r="E888" t="s">
        <v>71</v>
      </c>
      <c r="F888" t="s">
        <v>72</v>
      </c>
      <c r="G888" s="2">
        <v>462726</v>
      </c>
      <c r="H888" s="1">
        <v>468538</v>
      </c>
      <c r="I888">
        <v>5812</v>
      </c>
      <c r="J888" t="s">
        <v>19</v>
      </c>
      <c r="K888" t="s">
        <v>41</v>
      </c>
      <c r="L888" t="s">
        <v>49</v>
      </c>
      <c r="M888" t="s">
        <v>42</v>
      </c>
      <c r="N888" s="5">
        <f>Table4[[#This Row],[BudgetAmount]]/Table4[[#This Row],[Variance]]</f>
        <v>79.615622849277358</v>
      </c>
      <c r="O888" s="5" t="str">
        <f>TEXT(Table4[[#This Row],[Date]],"mmm")</f>
        <v>Feb</v>
      </c>
      <c r="P888" s="5">
        <f>ABS(Table4[[#This Row],[Variance]])</f>
        <v>5812</v>
      </c>
      <c r="Q888" s="5" t="str">
        <f>IF(Table4[[#This Row],[AB Variances ]]&gt;$P$2,"Anomaly","Normal")</f>
        <v>Normal</v>
      </c>
      <c r="R888" s="5">
        <f>SUMIFS(Table4[BudgetAmount],Table4[ActualExpense],"pending")</f>
        <v>0</v>
      </c>
    </row>
    <row r="889" spans="1:18">
      <c r="A889" t="s">
        <v>1508</v>
      </c>
      <c r="B889" t="s">
        <v>1127</v>
      </c>
      <c r="C889" t="s">
        <v>35</v>
      </c>
      <c r="D889" t="s">
        <v>40</v>
      </c>
      <c r="E889" t="s">
        <v>27</v>
      </c>
      <c r="F889" t="s">
        <v>28</v>
      </c>
      <c r="G889" s="2">
        <v>298009</v>
      </c>
      <c r="H889" s="1">
        <v>290676</v>
      </c>
      <c r="I889">
        <v>-7333</v>
      </c>
      <c r="J889" t="s">
        <v>37</v>
      </c>
      <c r="K889" t="s">
        <v>67</v>
      </c>
      <c r="L889" t="s">
        <v>49</v>
      </c>
      <c r="M889" t="s">
        <v>42</v>
      </c>
      <c r="N889" s="5">
        <f>Table4[[#This Row],[BudgetAmount]]/Table4[[#This Row],[Variance]]</f>
        <v>-40.63943815627983</v>
      </c>
      <c r="O889" s="5" t="str">
        <f>TEXT(Table4[[#This Row],[Date]],"mmm")</f>
        <v>May</v>
      </c>
      <c r="P889" s="5">
        <f>ABS(Table4[[#This Row],[Variance]])</f>
        <v>7333</v>
      </c>
      <c r="Q889" s="5" t="str">
        <f>IF(Table4[[#This Row],[AB Variances ]]&gt;$P$2,"Anomaly","Normal")</f>
        <v>Normal</v>
      </c>
      <c r="R889" s="5">
        <f>SUMIFS(Table4[BudgetAmount],Table4[ActualExpense],"pending")</f>
        <v>0</v>
      </c>
    </row>
    <row r="890" spans="1:18">
      <c r="A890" t="s">
        <v>1509</v>
      </c>
      <c r="B890" t="s">
        <v>826</v>
      </c>
      <c r="C890" t="s">
        <v>25</v>
      </c>
      <c r="D890" t="s">
        <v>26</v>
      </c>
      <c r="E890" t="s">
        <v>27</v>
      </c>
      <c r="F890" t="s">
        <v>28</v>
      </c>
      <c r="G890" s="2">
        <v>427005</v>
      </c>
      <c r="H890" s="1">
        <v>513556</v>
      </c>
      <c r="I890">
        <v>86551</v>
      </c>
      <c r="J890" t="s">
        <v>37</v>
      </c>
      <c r="K890" t="s">
        <v>48</v>
      </c>
      <c r="L890" t="s">
        <v>30</v>
      </c>
      <c r="M890" t="s">
        <v>22</v>
      </c>
      <c r="N890" s="5">
        <f>Table4[[#This Row],[BudgetAmount]]/Table4[[#This Row],[Variance]]</f>
        <v>4.9335651812226313</v>
      </c>
      <c r="O890" s="5" t="str">
        <f>TEXT(Table4[[#This Row],[Date]],"mmm")</f>
        <v>Oct</v>
      </c>
      <c r="P890" s="5">
        <f>ABS(Table4[[#This Row],[Variance]])</f>
        <v>86551</v>
      </c>
      <c r="Q890" s="5" t="str">
        <f>IF(Table4[[#This Row],[AB Variances ]]&gt;$P$2,"Anomaly","Normal")</f>
        <v>Anomaly</v>
      </c>
      <c r="R890" s="5">
        <f>SUMIFS(Table4[BudgetAmount],Table4[ActualExpense],"pending")</f>
        <v>0</v>
      </c>
    </row>
    <row r="891" spans="1:18">
      <c r="A891" t="s">
        <v>1510</v>
      </c>
      <c r="B891" t="s">
        <v>1337</v>
      </c>
      <c r="C891" t="s">
        <v>25</v>
      </c>
      <c r="D891" t="s">
        <v>26</v>
      </c>
      <c r="E891" t="s">
        <v>85</v>
      </c>
      <c r="F891" t="s">
        <v>86</v>
      </c>
      <c r="G891" s="2">
        <v>181816</v>
      </c>
      <c r="H891" s="1">
        <v>211617</v>
      </c>
      <c r="I891">
        <v>29801</v>
      </c>
      <c r="J891" t="s">
        <v>54</v>
      </c>
      <c r="K891" t="s">
        <v>41</v>
      </c>
      <c r="L891" t="s">
        <v>49</v>
      </c>
      <c r="M891" t="s">
        <v>42</v>
      </c>
      <c r="N891" s="5">
        <f>Table4[[#This Row],[BudgetAmount]]/Table4[[#This Row],[Variance]]</f>
        <v>6.1010033220361732</v>
      </c>
      <c r="O891" s="5" t="str">
        <f>TEXT(Table4[[#This Row],[Date]],"mmm")</f>
        <v>Jun</v>
      </c>
      <c r="P891" s="5">
        <f>ABS(Table4[[#This Row],[Variance]])</f>
        <v>29801</v>
      </c>
      <c r="Q891" s="5" t="str">
        <f>IF(Table4[[#This Row],[AB Variances ]]&gt;$P$2,"Anomaly","Normal")</f>
        <v>Anomaly</v>
      </c>
      <c r="R891" s="5">
        <f>SUMIFS(Table4[BudgetAmount],Table4[ActualExpense],"pending")</f>
        <v>0</v>
      </c>
    </row>
    <row r="892" spans="1:18">
      <c r="A892" t="s">
        <v>1511</v>
      </c>
      <c r="B892" t="s">
        <v>1252</v>
      </c>
      <c r="C892" t="s">
        <v>25</v>
      </c>
      <c r="D892" t="s">
        <v>26</v>
      </c>
      <c r="E892" t="s">
        <v>71</v>
      </c>
      <c r="F892" t="s">
        <v>72</v>
      </c>
      <c r="G892" s="2">
        <v>493583</v>
      </c>
      <c r="H892" s="1">
        <v>360764</v>
      </c>
      <c r="I892">
        <v>-132819</v>
      </c>
      <c r="J892" t="s">
        <v>54</v>
      </c>
      <c r="K892" t="s">
        <v>67</v>
      </c>
      <c r="L892" t="s">
        <v>49</v>
      </c>
      <c r="M892" t="s">
        <v>22</v>
      </c>
      <c r="N892" s="5">
        <f>Table4[[#This Row],[BudgetAmount]]/Table4[[#This Row],[Variance]]</f>
        <v>-3.7162077714784783</v>
      </c>
      <c r="O892" s="5" t="str">
        <f>TEXT(Table4[[#This Row],[Date]],"mmm")</f>
        <v>May</v>
      </c>
      <c r="P892" s="5">
        <f>ABS(Table4[[#This Row],[Variance]])</f>
        <v>132819</v>
      </c>
      <c r="Q892" s="5" t="str">
        <f>IF(Table4[[#This Row],[AB Variances ]]&gt;$P$2,"Anomaly","Normal")</f>
        <v>Anomaly</v>
      </c>
      <c r="R892" s="5">
        <f>SUMIFS(Table4[BudgetAmount],Table4[ActualExpense],"pending")</f>
        <v>0</v>
      </c>
    </row>
    <row r="893" spans="1:18">
      <c r="A893" t="s">
        <v>1512</v>
      </c>
      <c r="B893" t="s">
        <v>253</v>
      </c>
      <c r="C893" t="s">
        <v>25</v>
      </c>
      <c r="D893" t="s">
        <v>16</v>
      </c>
      <c r="E893" t="s">
        <v>27</v>
      </c>
      <c r="F893" t="s">
        <v>28</v>
      </c>
      <c r="G893" s="2">
        <v>141403</v>
      </c>
      <c r="H893" s="1">
        <v>141088</v>
      </c>
      <c r="I893">
        <v>-315</v>
      </c>
      <c r="J893" t="s">
        <v>37</v>
      </c>
      <c r="K893" t="s">
        <v>67</v>
      </c>
      <c r="L893" t="s">
        <v>21</v>
      </c>
      <c r="M893" t="s">
        <v>22</v>
      </c>
      <c r="N893" s="5">
        <f>Table4[[#This Row],[BudgetAmount]]/Table4[[#This Row],[Variance]]</f>
        <v>-448.8984126984127</v>
      </c>
      <c r="O893" s="5" t="str">
        <f>TEXT(Table4[[#This Row],[Date]],"mmm")</f>
        <v>Oct</v>
      </c>
      <c r="P893" s="5">
        <f>ABS(Table4[[#This Row],[Variance]])</f>
        <v>315</v>
      </c>
      <c r="Q893" s="5" t="str">
        <f>IF(Table4[[#This Row],[AB Variances ]]&gt;$P$2,"Anomaly","Normal")</f>
        <v>Normal</v>
      </c>
      <c r="R893" s="5">
        <f>SUMIFS(Table4[BudgetAmount],Table4[ActualExpense],"pending")</f>
        <v>0</v>
      </c>
    </row>
    <row r="894" spans="1:18">
      <c r="A894" t="s">
        <v>1513</v>
      </c>
      <c r="B894" t="s">
        <v>70</v>
      </c>
      <c r="C894" t="s">
        <v>35</v>
      </c>
      <c r="D894" t="s">
        <v>16</v>
      </c>
      <c r="E894" t="s">
        <v>17</v>
      </c>
      <c r="F894" t="s">
        <v>18</v>
      </c>
      <c r="G894" s="2">
        <v>63809</v>
      </c>
      <c r="H894" s="1">
        <v>67603</v>
      </c>
      <c r="I894">
        <v>3794</v>
      </c>
      <c r="J894" t="s">
        <v>19</v>
      </c>
      <c r="K894" t="s">
        <v>20</v>
      </c>
      <c r="L894" t="s">
        <v>49</v>
      </c>
      <c r="M894" t="s">
        <v>22</v>
      </c>
      <c r="N894" s="5">
        <f>Table4[[#This Row],[BudgetAmount]]/Table4[[#This Row],[Variance]]</f>
        <v>16.818397469688982</v>
      </c>
      <c r="O894" s="5" t="str">
        <f>TEXT(Table4[[#This Row],[Date]],"mmm")</f>
        <v>Jan</v>
      </c>
      <c r="P894" s="5">
        <f>ABS(Table4[[#This Row],[Variance]])</f>
        <v>3794</v>
      </c>
      <c r="Q894" s="5" t="str">
        <f>IF(Table4[[#This Row],[AB Variances ]]&gt;$P$2,"Anomaly","Normal")</f>
        <v>Normal</v>
      </c>
      <c r="R894" s="5">
        <f>SUMIFS(Table4[BudgetAmount],Table4[ActualExpense],"pending")</f>
        <v>0</v>
      </c>
    </row>
    <row r="895" spans="1:18">
      <c r="A895" t="s">
        <v>1514</v>
      </c>
      <c r="B895" t="s">
        <v>259</v>
      </c>
      <c r="C895" t="s">
        <v>35</v>
      </c>
      <c r="D895" t="s">
        <v>40</v>
      </c>
      <c r="E895" t="s">
        <v>17</v>
      </c>
      <c r="F895" t="s">
        <v>18</v>
      </c>
      <c r="G895" s="2">
        <v>472771</v>
      </c>
      <c r="H895" s="1">
        <v>562892</v>
      </c>
      <c r="I895">
        <v>90121</v>
      </c>
      <c r="J895" t="s">
        <v>19</v>
      </c>
      <c r="K895" t="s">
        <v>48</v>
      </c>
      <c r="L895" t="s">
        <v>30</v>
      </c>
      <c r="M895" t="s">
        <v>22</v>
      </c>
      <c r="N895" s="5">
        <f>Table4[[#This Row],[BudgetAmount]]/Table4[[#This Row],[Variance]]</f>
        <v>5.2459582117375527</v>
      </c>
      <c r="O895" s="5" t="str">
        <f>TEXT(Table4[[#This Row],[Date]],"mmm")</f>
        <v>Apr</v>
      </c>
      <c r="P895" s="5">
        <f>ABS(Table4[[#This Row],[Variance]])</f>
        <v>90121</v>
      </c>
      <c r="Q895" s="5" t="str">
        <f>IF(Table4[[#This Row],[AB Variances ]]&gt;$P$2,"Anomaly","Normal")</f>
        <v>Anomaly</v>
      </c>
      <c r="R895" s="5">
        <f>SUMIFS(Table4[BudgetAmount],Table4[ActualExpense],"pending")</f>
        <v>0</v>
      </c>
    </row>
    <row r="896" spans="1:18">
      <c r="A896" t="s">
        <v>1515</v>
      </c>
      <c r="B896" t="s">
        <v>398</v>
      </c>
      <c r="C896" t="s">
        <v>45</v>
      </c>
      <c r="D896" t="s">
        <v>40</v>
      </c>
      <c r="E896" t="s">
        <v>35</v>
      </c>
      <c r="F896" t="s">
        <v>36</v>
      </c>
      <c r="G896" s="2">
        <v>67361</v>
      </c>
      <c r="H896" s="1">
        <v>77363</v>
      </c>
      <c r="I896">
        <v>10002</v>
      </c>
      <c r="J896" t="s">
        <v>54</v>
      </c>
      <c r="K896" t="s">
        <v>20</v>
      </c>
      <c r="L896" t="s">
        <v>21</v>
      </c>
      <c r="M896" t="s">
        <v>42</v>
      </c>
      <c r="N896" s="5">
        <f>Table4[[#This Row],[BudgetAmount]]/Table4[[#This Row],[Variance]]</f>
        <v>6.7347530493901218</v>
      </c>
      <c r="O896" s="5" t="str">
        <f>TEXT(Table4[[#This Row],[Date]],"mmm")</f>
        <v>Jul</v>
      </c>
      <c r="P896" s="5">
        <f>ABS(Table4[[#This Row],[Variance]])</f>
        <v>10002</v>
      </c>
      <c r="Q896" s="5" t="str">
        <f>IF(Table4[[#This Row],[AB Variances ]]&gt;$P$2,"Anomaly","Normal")</f>
        <v>Normal</v>
      </c>
      <c r="R896" s="5">
        <f>SUMIFS(Table4[BudgetAmount],Table4[ActualExpense],"pending")</f>
        <v>0</v>
      </c>
    </row>
    <row r="897" spans="1:18">
      <c r="A897" t="s">
        <v>1516</v>
      </c>
      <c r="B897" t="s">
        <v>343</v>
      </c>
      <c r="C897" t="s">
        <v>64</v>
      </c>
      <c r="D897" t="s">
        <v>34</v>
      </c>
      <c r="E897" t="s">
        <v>17</v>
      </c>
      <c r="F897" t="s">
        <v>18</v>
      </c>
      <c r="G897" s="2">
        <v>61632</v>
      </c>
      <c r="H897" s="1">
        <v>73916</v>
      </c>
      <c r="I897">
        <v>12284</v>
      </c>
      <c r="J897" t="s">
        <v>54</v>
      </c>
      <c r="K897" t="s">
        <v>20</v>
      </c>
      <c r="L897" t="s">
        <v>68</v>
      </c>
      <c r="M897" t="s">
        <v>42</v>
      </c>
      <c r="N897" s="5">
        <f>Table4[[#This Row],[BudgetAmount]]/Table4[[#This Row],[Variance]]</f>
        <v>5.0172582220774995</v>
      </c>
      <c r="O897" s="5" t="str">
        <f>TEXT(Table4[[#This Row],[Date]],"mmm")</f>
        <v>Oct</v>
      </c>
      <c r="P897" s="5">
        <f>ABS(Table4[[#This Row],[Variance]])</f>
        <v>12284</v>
      </c>
      <c r="Q897" s="5" t="str">
        <f>IF(Table4[[#This Row],[AB Variances ]]&gt;$P$2,"Anomaly","Normal")</f>
        <v>Normal</v>
      </c>
      <c r="R897" s="5">
        <f>SUMIFS(Table4[BudgetAmount],Table4[ActualExpense],"pending")</f>
        <v>0</v>
      </c>
    </row>
    <row r="898" spans="1:18">
      <c r="A898" t="s">
        <v>1517</v>
      </c>
      <c r="B898" t="s">
        <v>1518</v>
      </c>
      <c r="C898" t="s">
        <v>15</v>
      </c>
      <c r="D898" t="s">
        <v>40</v>
      </c>
      <c r="E898" t="s">
        <v>17</v>
      </c>
      <c r="F898" t="s">
        <v>18</v>
      </c>
      <c r="G898" s="2">
        <v>345355</v>
      </c>
      <c r="H898" s="1">
        <v>349289</v>
      </c>
      <c r="I898">
        <v>3934</v>
      </c>
      <c r="J898" t="s">
        <v>54</v>
      </c>
      <c r="K898" t="s">
        <v>41</v>
      </c>
      <c r="L898" t="s">
        <v>68</v>
      </c>
      <c r="M898" t="s">
        <v>42</v>
      </c>
      <c r="N898" s="5">
        <f>Table4[[#This Row],[BudgetAmount]]/Table4[[#This Row],[Variance]]</f>
        <v>87.787239450940518</v>
      </c>
      <c r="O898" s="5" t="str">
        <f>TEXT(Table4[[#This Row],[Date]],"mmm")</f>
        <v>Apr</v>
      </c>
      <c r="P898" s="5">
        <f>ABS(Table4[[#This Row],[Variance]])</f>
        <v>3934</v>
      </c>
      <c r="Q898" s="5" t="str">
        <f>IF(Table4[[#This Row],[AB Variances ]]&gt;$P$2,"Anomaly","Normal")</f>
        <v>Normal</v>
      </c>
      <c r="R898" s="5">
        <f>SUMIFS(Table4[BudgetAmount],Table4[ActualExpense],"pending")</f>
        <v>0</v>
      </c>
    </row>
    <row r="899" spans="1:18">
      <c r="A899" t="s">
        <v>1519</v>
      </c>
      <c r="B899" t="s">
        <v>324</v>
      </c>
      <c r="C899" t="s">
        <v>33</v>
      </c>
      <c r="D899" t="s">
        <v>61</v>
      </c>
      <c r="E899" t="s">
        <v>85</v>
      </c>
      <c r="F899" t="s">
        <v>86</v>
      </c>
      <c r="G899" s="2">
        <v>58603</v>
      </c>
      <c r="H899" s="1">
        <v>62672</v>
      </c>
      <c r="I899">
        <v>4069</v>
      </c>
      <c r="J899" t="s">
        <v>19</v>
      </c>
      <c r="K899" t="s">
        <v>29</v>
      </c>
      <c r="L899" t="s">
        <v>49</v>
      </c>
      <c r="M899" t="s">
        <v>42</v>
      </c>
      <c r="N899" s="5">
        <f>Table4[[#This Row],[BudgetAmount]]/Table4[[#This Row],[Variance]]</f>
        <v>14.402310149913983</v>
      </c>
      <c r="O899" s="5" t="str">
        <f>TEXT(Table4[[#This Row],[Date]],"mmm")</f>
        <v>Sep</v>
      </c>
      <c r="P899" s="5">
        <f>ABS(Table4[[#This Row],[Variance]])</f>
        <v>4069</v>
      </c>
      <c r="Q899" s="5" t="str">
        <f>IF(Table4[[#This Row],[AB Variances ]]&gt;$P$2,"Anomaly","Normal")</f>
        <v>Normal</v>
      </c>
      <c r="R899" s="5">
        <f>SUMIFS(Table4[BudgetAmount],Table4[ActualExpense],"pending")</f>
        <v>0</v>
      </c>
    </row>
    <row r="900" spans="1:18">
      <c r="A900" t="s">
        <v>1520</v>
      </c>
      <c r="B900" t="s">
        <v>789</v>
      </c>
      <c r="C900" t="s">
        <v>33</v>
      </c>
      <c r="D900" t="s">
        <v>16</v>
      </c>
      <c r="E900" t="s">
        <v>17</v>
      </c>
      <c r="F900" t="s">
        <v>18</v>
      </c>
      <c r="G900" s="2">
        <v>471147</v>
      </c>
      <c r="H900" s="1">
        <v>507219</v>
      </c>
      <c r="I900">
        <v>36072</v>
      </c>
      <c r="J900" t="s">
        <v>19</v>
      </c>
      <c r="K900" t="s">
        <v>20</v>
      </c>
      <c r="L900" t="s">
        <v>21</v>
      </c>
      <c r="M900" t="s">
        <v>42</v>
      </c>
      <c r="N900" s="5">
        <f>Table4[[#This Row],[BudgetAmount]]/Table4[[#This Row],[Variance]]</f>
        <v>13.061294078509647</v>
      </c>
      <c r="O900" s="5" t="str">
        <f>TEXT(Table4[[#This Row],[Date]],"mmm")</f>
        <v>Oct</v>
      </c>
      <c r="P900" s="5">
        <f>ABS(Table4[[#This Row],[Variance]])</f>
        <v>36072</v>
      </c>
      <c r="Q900" s="5" t="str">
        <f>IF(Table4[[#This Row],[AB Variances ]]&gt;$P$2,"Anomaly","Normal")</f>
        <v>Anomaly</v>
      </c>
      <c r="R900" s="5">
        <f>SUMIFS(Table4[BudgetAmount],Table4[ActualExpense],"pending")</f>
        <v>0</v>
      </c>
    </row>
    <row r="901" spans="1:18">
      <c r="A901" t="s">
        <v>1521</v>
      </c>
      <c r="B901" t="s">
        <v>1522</v>
      </c>
      <c r="C901" t="s">
        <v>15</v>
      </c>
      <c r="D901" t="s">
        <v>16</v>
      </c>
      <c r="E901" t="s">
        <v>27</v>
      </c>
      <c r="F901" t="s">
        <v>28</v>
      </c>
      <c r="G901" s="2">
        <v>248860</v>
      </c>
      <c r="H901" s="1">
        <v>202698</v>
      </c>
      <c r="I901">
        <v>-46162</v>
      </c>
      <c r="J901" t="s">
        <v>37</v>
      </c>
      <c r="K901" t="s">
        <v>41</v>
      </c>
      <c r="L901" t="s">
        <v>68</v>
      </c>
      <c r="M901" t="s">
        <v>42</v>
      </c>
      <c r="N901" s="5">
        <f>Table4[[#This Row],[BudgetAmount]]/Table4[[#This Row],[Variance]]</f>
        <v>-5.391014254148434</v>
      </c>
      <c r="O901" s="5" t="str">
        <f>TEXT(Table4[[#This Row],[Date]],"mmm")</f>
        <v>Dec</v>
      </c>
      <c r="P901" s="5">
        <f>ABS(Table4[[#This Row],[Variance]])</f>
        <v>46162</v>
      </c>
      <c r="Q901" s="5" t="str">
        <f>IF(Table4[[#This Row],[AB Variances ]]&gt;$P$2,"Anomaly","Normal")</f>
        <v>Anomaly</v>
      </c>
      <c r="R901" s="5">
        <f>SUMIFS(Table4[BudgetAmount],Table4[ActualExpense],"pending")</f>
        <v>0</v>
      </c>
    </row>
    <row r="902" spans="1:18">
      <c r="A902" t="s">
        <v>1523</v>
      </c>
      <c r="B902" t="s">
        <v>106</v>
      </c>
      <c r="C902" t="s">
        <v>64</v>
      </c>
      <c r="D902" t="s">
        <v>61</v>
      </c>
      <c r="E902" t="s">
        <v>71</v>
      </c>
      <c r="F902" t="s">
        <v>72</v>
      </c>
      <c r="G902" s="2">
        <v>74564</v>
      </c>
      <c r="H902" s="1">
        <v>97425</v>
      </c>
      <c r="I902">
        <v>22861</v>
      </c>
      <c r="J902" t="s">
        <v>19</v>
      </c>
      <c r="K902" t="s">
        <v>41</v>
      </c>
      <c r="L902" t="s">
        <v>30</v>
      </c>
      <c r="M902" t="s">
        <v>42</v>
      </c>
      <c r="N902" s="5">
        <f>Table4[[#This Row],[BudgetAmount]]/Table4[[#This Row],[Variance]]</f>
        <v>3.2616246008486067</v>
      </c>
      <c r="O902" s="5" t="str">
        <f>TEXT(Table4[[#This Row],[Date]],"mmm")</f>
        <v>Jan</v>
      </c>
      <c r="P902" s="5">
        <f>ABS(Table4[[#This Row],[Variance]])</f>
        <v>22861</v>
      </c>
      <c r="Q902" s="5" t="str">
        <f>IF(Table4[[#This Row],[AB Variances ]]&gt;$P$2,"Anomaly","Normal")</f>
        <v>Anomaly</v>
      </c>
      <c r="R902" s="5">
        <f>SUMIFS(Table4[BudgetAmount],Table4[ActualExpense],"pending")</f>
        <v>0</v>
      </c>
    </row>
    <row r="903" spans="1:18">
      <c r="A903" t="s">
        <v>1524</v>
      </c>
      <c r="B903" t="s">
        <v>473</v>
      </c>
      <c r="C903" t="s">
        <v>15</v>
      </c>
      <c r="D903" t="s">
        <v>16</v>
      </c>
      <c r="E903" t="s">
        <v>46</v>
      </c>
      <c r="F903" t="s">
        <v>47</v>
      </c>
      <c r="G903" s="2">
        <v>444998</v>
      </c>
      <c r="H903" s="1">
        <v>436743</v>
      </c>
      <c r="I903">
        <v>-8255</v>
      </c>
      <c r="J903" t="s">
        <v>37</v>
      </c>
      <c r="K903" t="s">
        <v>20</v>
      </c>
      <c r="L903" t="s">
        <v>30</v>
      </c>
      <c r="M903" t="s">
        <v>42</v>
      </c>
      <c r="N903" s="5">
        <f>Table4[[#This Row],[BudgetAmount]]/Table4[[#This Row],[Variance]]</f>
        <v>-53.906480920654147</v>
      </c>
      <c r="O903" s="5" t="str">
        <f>TEXT(Table4[[#This Row],[Date]],"mmm")</f>
        <v>Aug</v>
      </c>
      <c r="P903" s="5">
        <f>ABS(Table4[[#This Row],[Variance]])</f>
        <v>8255</v>
      </c>
      <c r="Q903" s="5" t="str">
        <f>IF(Table4[[#This Row],[AB Variances ]]&gt;$P$2,"Anomaly","Normal")</f>
        <v>Normal</v>
      </c>
      <c r="R903" s="5">
        <f>SUMIFS(Table4[BudgetAmount],Table4[ActualExpense],"pending")</f>
        <v>0</v>
      </c>
    </row>
    <row r="904" spans="1:18">
      <c r="A904" t="s">
        <v>1525</v>
      </c>
      <c r="B904" t="s">
        <v>1526</v>
      </c>
      <c r="C904" t="s">
        <v>35</v>
      </c>
      <c r="D904" t="s">
        <v>61</v>
      </c>
      <c r="E904" t="s">
        <v>27</v>
      </c>
      <c r="F904" t="s">
        <v>28</v>
      </c>
      <c r="G904" s="2">
        <v>55460</v>
      </c>
      <c r="H904" s="1">
        <v>52450</v>
      </c>
      <c r="I904">
        <v>-3010</v>
      </c>
      <c r="J904" t="s">
        <v>37</v>
      </c>
      <c r="K904" t="s">
        <v>29</v>
      </c>
      <c r="L904" t="s">
        <v>30</v>
      </c>
      <c r="M904" t="s">
        <v>22</v>
      </c>
      <c r="N904" s="5">
        <f>Table4[[#This Row],[BudgetAmount]]/Table4[[#This Row],[Variance]]</f>
        <v>-18.425249169435215</v>
      </c>
      <c r="O904" s="5" t="str">
        <f>TEXT(Table4[[#This Row],[Date]],"mmm")</f>
        <v>Jun</v>
      </c>
      <c r="P904" s="5">
        <f>ABS(Table4[[#This Row],[Variance]])</f>
        <v>3010</v>
      </c>
      <c r="Q904" s="5" t="str">
        <f>IF(Table4[[#This Row],[AB Variances ]]&gt;$P$2,"Anomaly","Normal")</f>
        <v>Normal</v>
      </c>
      <c r="R904" s="5">
        <f>SUMIFS(Table4[BudgetAmount],Table4[ActualExpense],"pending")</f>
        <v>0</v>
      </c>
    </row>
    <row r="905" spans="1:18">
      <c r="A905" t="s">
        <v>1527</v>
      </c>
      <c r="B905" t="s">
        <v>1113</v>
      </c>
      <c r="C905" t="s">
        <v>45</v>
      </c>
      <c r="D905" t="s">
        <v>34</v>
      </c>
      <c r="E905" t="s">
        <v>35</v>
      </c>
      <c r="F905" t="s">
        <v>36</v>
      </c>
      <c r="G905" s="2">
        <v>239104</v>
      </c>
      <c r="H905" s="1">
        <v>176611</v>
      </c>
      <c r="I905">
        <v>-62493</v>
      </c>
      <c r="J905" t="s">
        <v>37</v>
      </c>
      <c r="K905" t="s">
        <v>20</v>
      </c>
      <c r="L905" t="s">
        <v>49</v>
      </c>
      <c r="M905" t="s">
        <v>42</v>
      </c>
      <c r="N905" s="5">
        <f>Table4[[#This Row],[BudgetAmount]]/Table4[[#This Row],[Variance]]</f>
        <v>-3.8260925223625044</v>
      </c>
      <c r="O905" s="5" t="str">
        <f>TEXT(Table4[[#This Row],[Date]],"mmm")</f>
        <v>Feb</v>
      </c>
      <c r="P905" s="5">
        <f>ABS(Table4[[#This Row],[Variance]])</f>
        <v>62493</v>
      </c>
      <c r="Q905" s="5" t="str">
        <f>IF(Table4[[#This Row],[AB Variances ]]&gt;$P$2,"Anomaly","Normal")</f>
        <v>Anomaly</v>
      </c>
      <c r="R905" s="5">
        <f>SUMIFS(Table4[BudgetAmount],Table4[ActualExpense],"pending")</f>
        <v>0</v>
      </c>
    </row>
    <row r="906" spans="1:18">
      <c r="A906" t="s">
        <v>1528</v>
      </c>
      <c r="B906" t="s">
        <v>1529</v>
      </c>
      <c r="C906" t="s">
        <v>25</v>
      </c>
      <c r="D906" t="s">
        <v>16</v>
      </c>
      <c r="E906" t="s">
        <v>46</v>
      </c>
      <c r="F906" t="s">
        <v>47</v>
      </c>
      <c r="G906" s="2">
        <v>495442</v>
      </c>
      <c r="H906" s="1">
        <v>376931</v>
      </c>
      <c r="I906">
        <v>-118511</v>
      </c>
      <c r="J906" t="s">
        <v>37</v>
      </c>
      <c r="K906" t="s">
        <v>20</v>
      </c>
      <c r="L906" t="s">
        <v>30</v>
      </c>
      <c r="M906" t="s">
        <v>42</v>
      </c>
      <c r="N906" s="5">
        <f>Table4[[#This Row],[BudgetAmount]]/Table4[[#This Row],[Variance]]</f>
        <v>-4.1805570790897049</v>
      </c>
      <c r="O906" s="5" t="str">
        <f>TEXT(Table4[[#This Row],[Date]],"mmm")</f>
        <v>Jul</v>
      </c>
      <c r="P906" s="5">
        <f>ABS(Table4[[#This Row],[Variance]])</f>
        <v>118511</v>
      </c>
      <c r="Q906" s="5" t="str">
        <f>IF(Table4[[#This Row],[AB Variances ]]&gt;$P$2,"Anomaly","Normal")</f>
        <v>Anomaly</v>
      </c>
      <c r="R906" s="5">
        <f>SUMIFS(Table4[BudgetAmount],Table4[ActualExpense],"pending")</f>
        <v>0</v>
      </c>
    </row>
    <row r="907" spans="1:18">
      <c r="A907" t="s">
        <v>1530</v>
      </c>
      <c r="B907" t="s">
        <v>1259</v>
      </c>
      <c r="C907" t="s">
        <v>25</v>
      </c>
      <c r="D907" t="s">
        <v>40</v>
      </c>
      <c r="E907" t="s">
        <v>35</v>
      </c>
      <c r="F907" t="s">
        <v>36</v>
      </c>
      <c r="G907" s="2">
        <v>197965</v>
      </c>
      <c r="H907" s="1">
        <v>219746</v>
      </c>
      <c r="I907">
        <v>21781</v>
      </c>
      <c r="J907" t="s">
        <v>37</v>
      </c>
      <c r="K907" t="s">
        <v>29</v>
      </c>
      <c r="L907" t="s">
        <v>21</v>
      </c>
      <c r="M907" t="s">
        <v>22</v>
      </c>
      <c r="N907" s="5">
        <f>Table4[[#This Row],[BudgetAmount]]/Table4[[#This Row],[Variance]]</f>
        <v>9.0888848078600617</v>
      </c>
      <c r="O907" s="5" t="str">
        <f>TEXT(Table4[[#This Row],[Date]],"mmm")</f>
        <v>Jan</v>
      </c>
      <c r="P907" s="5">
        <f>ABS(Table4[[#This Row],[Variance]])</f>
        <v>21781</v>
      </c>
      <c r="Q907" s="5" t="str">
        <f>IF(Table4[[#This Row],[AB Variances ]]&gt;$P$2,"Anomaly","Normal")</f>
        <v>Anomaly</v>
      </c>
      <c r="R907" s="5">
        <f>SUMIFS(Table4[BudgetAmount],Table4[ActualExpense],"pending")</f>
        <v>0</v>
      </c>
    </row>
    <row r="908" spans="1:18">
      <c r="A908" t="s">
        <v>1531</v>
      </c>
      <c r="B908" t="s">
        <v>682</v>
      </c>
      <c r="C908" t="s">
        <v>33</v>
      </c>
      <c r="D908" t="s">
        <v>34</v>
      </c>
      <c r="E908" t="s">
        <v>27</v>
      </c>
      <c r="F908" t="s">
        <v>28</v>
      </c>
      <c r="G908" s="2">
        <v>203541</v>
      </c>
      <c r="H908" s="1">
        <v>192606</v>
      </c>
      <c r="I908">
        <v>-10935</v>
      </c>
      <c r="J908" t="s">
        <v>37</v>
      </c>
      <c r="K908" t="s">
        <v>20</v>
      </c>
      <c r="L908" t="s">
        <v>30</v>
      </c>
      <c r="M908" t="s">
        <v>42</v>
      </c>
      <c r="N908" s="5">
        <f>Table4[[#This Row],[BudgetAmount]]/Table4[[#This Row],[Variance]]</f>
        <v>-18.613717421124829</v>
      </c>
      <c r="O908" s="5" t="str">
        <f>TEXT(Table4[[#This Row],[Date]],"mmm")</f>
        <v>Jul</v>
      </c>
      <c r="P908" s="5">
        <f>ABS(Table4[[#This Row],[Variance]])</f>
        <v>10935</v>
      </c>
      <c r="Q908" s="5" t="str">
        <f>IF(Table4[[#This Row],[AB Variances ]]&gt;$P$2,"Anomaly","Normal")</f>
        <v>Normal</v>
      </c>
      <c r="R908" s="5">
        <f>SUMIFS(Table4[BudgetAmount],Table4[ActualExpense],"pending")</f>
        <v>0</v>
      </c>
    </row>
    <row r="909" spans="1:18">
      <c r="A909" t="s">
        <v>1532</v>
      </c>
      <c r="B909" t="s">
        <v>997</v>
      </c>
      <c r="C909" t="s">
        <v>64</v>
      </c>
      <c r="D909" t="s">
        <v>40</v>
      </c>
      <c r="E909" t="s">
        <v>85</v>
      </c>
      <c r="F909" t="s">
        <v>86</v>
      </c>
      <c r="G909" s="2">
        <v>81704</v>
      </c>
      <c r="H909" s="1">
        <v>71342</v>
      </c>
      <c r="I909">
        <v>-10362</v>
      </c>
      <c r="J909" t="s">
        <v>54</v>
      </c>
      <c r="K909" t="s">
        <v>67</v>
      </c>
      <c r="L909" t="s">
        <v>30</v>
      </c>
      <c r="M909" t="s">
        <v>22</v>
      </c>
      <c r="N909" s="5">
        <f>Table4[[#This Row],[BudgetAmount]]/Table4[[#This Row],[Variance]]</f>
        <v>-7.8849642926076049</v>
      </c>
      <c r="O909" s="5" t="str">
        <f>TEXT(Table4[[#This Row],[Date]],"mmm")</f>
        <v>Aug</v>
      </c>
      <c r="P909" s="5">
        <f>ABS(Table4[[#This Row],[Variance]])</f>
        <v>10362</v>
      </c>
      <c r="Q909" s="5" t="str">
        <f>IF(Table4[[#This Row],[AB Variances ]]&gt;$P$2,"Anomaly","Normal")</f>
        <v>Normal</v>
      </c>
      <c r="R909" s="5">
        <f>SUMIFS(Table4[BudgetAmount],Table4[ActualExpense],"pending")</f>
        <v>0</v>
      </c>
    </row>
    <row r="910" spans="1:18">
      <c r="A910" t="s">
        <v>1533</v>
      </c>
      <c r="B910" t="s">
        <v>291</v>
      </c>
      <c r="C910" t="s">
        <v>64</v>
      </c>
      <c r="D910" t="s">
        <v>40</v>
      </c>
      <c r="E910" t="s">
        <v>85</v>
      </c>
      <c r="F910" t="s">
        <v>86</v>
      </c>
      <c r="G910" s="2">
        <v>426341</v>
      </c>
      <c r="H910" s="1">
        <v>585945</v>
      </c>
      <c r="I910">
        <v>159604</v>
      </c>
      <c r="J910" t="s">
        <v>54</v>
      </c>
      <c r="K910" t="s">
        <v>67</v>
      </c>
      <c r="L910" t="s">
        <v>68</v>
      </c>
      <c r="M910" t="s">
        <v>22</v>
      </c>
      <c r="N910" s="5">
        <f>Table4[[#This Row],[BudgetAmount]]/Table4[[#This Row],[Variance]]</f>
        <v>2.671242575374051</v>
      </c>
      <c r="O910" s="5" t="str">
        <f>TEXT(Table4[[#This Row],[Date]],"mmm")</f>
        <v>Dec</v>
      </c>
      <c r="P910" s="5">
        <f>ABS(Table4[[#This Row],[Variance]])</f>
        <v>159604</v>
      </c>
      <c r="Q910" s="5" t="str">
        <f>IF(Table4[[#This Row],[AB Variances ]]&gt;$P$2,"Anomaly","Normal")</f>
        <v>Anomaly</v>
      </c>
      <c r="R910" s="5">
        <f>SUMIFS(Table4[BudgetAmount],Table4[ActualExpense],"pending")</f>
        <v>0</v>
      </c>
    </row>
    <row r="911" spans="1:18">
      <c r="A911" t="s">
        <v>1534</v>
      </c>
      <c r="B911" t="s">
        <v>1535</v>
      </c>
      <c r="C911" t="s">
        <v>25</v>
      </c>
      <c r="D911" t="s">
        <v>26</v>
      </c>
      <c r="E911" t="s">
        <v>46</v>
      </c>
      <c r="F911" t="s">
        <v>47</v>
      </c>
      <c r="G911" s="2">
        <v>330794</v>
      </c>
      <c r="H911" s="1">
        <v>291079</v>
      </c>
      <c r="I911">
        <v>-39715</v>
      </c>
      <c r="J911" t="s">
        <v>37</v>
      </c>
      <c r="K911" t="s">
        <v>67</v>
      </c>
      <c r="L911" t="s">
        <v>21</v>
      </c>
      <c r="M911" t="s">
        <v>22</v>
      </c>
      <c r="N911" s="5">
        <f>Table4[[#This Row],[BudgetAmount]]/Table4[[#This Row],[Variance]]</f>
        <v>-8.3291955180662214</v>
      </c>
      <c r="O911" s="5" t="str">
        <f>TEXT(Table4[[#This Row],[Date]],"mmm")</f>
        <v>Oct</v>
      </c>
      <c r="P911" s="5">
        <f>ABS(Table4[[#This Row],[Variance]])</f>
        <v>39715</v>
      </c>
      <c r="Q911" s="5" t="str">
        <f>IF(Table4[[#This Row],[AB Variances ]]&gt;$P$2,"Anomaly","Normal")</f>
        <v>Anomaly</v>
      </c>
      <c r="R911" s="5">
        <f>SUMIFS(Table4[BudgetAmount],Table4[ActualExpense],"pending")</f>
        <v>0</v>
      </c>
    </row>
    <row r="912" spans="1:18">
      <c r="A912" t="s">
        <v>1536</v>
      </c>
      <c r="B912" t="s">
        <v>1537</v>
      </c>
      <c r="C912" t="s">
        <v>25</v>
      </c>
      <c r="D912" t="s">
        <v>40</v>
      </c>
      <c r="E912" t="s">
        <v>35</v>
      </c>
      <c r="F912" t="s">
        <v>36</v>
      </c>
      <c r="G912" s="2">
        <v>172671</v>
      </c>
      <c r="H912" s="1">
        <v>186644</v>
      </c>
      <c r="I912">
        <v>13973</v>
      </c>
      <c r="J912" t="s">
        <v>19</v>
      </c>
      <c r="K912" t="s">
        <v>48</v>
      </c>
      <c r="L912" t="s">
        <v>49</v>
      </c>
      <c r="M912" t="s">
        <v>42</v>
      </c>
      <c r="N912" s="5">
        <f>Table4[[#This Row],[BudgetAmount]]/Table4[[#This Row],[Variance]]</f>
        <v>12.357475130609032</v>
      </c>
      <c r="O912" s="5" t="str">
        <f>TEXT(Table4[[#This Row],[Date]],"mmm")</f>
        <v>Oct</v>
      </c>
      <c r="P912" s="5">
        <f>ABS(Table4[[#This Row],[Variance]])</f>
        <v>13973</v>
      </c>
      <c r="Q912" s="5" t="str">
        <f>IF(Table4[[#This Row],[AB Variances ]]&gt;$P$2,"Anomaly","Normal")</f>
        <v>Normal</v>
      </c>
      <c r="R912" s="5">
        <f>SUMIFS(Table4[BudgetAmount],Table4[ActualExpense],"pending")</f>
        <v>0</v>
      </c>
    </row>
    <row r="913" spans="1:18">
      <c r="A913" t="s">
        <v>1538</v>
      </c>
      <c r="B913" t="s">
        <v>1250</v>
      </c>
      <c r="C913" t="s">
        <v>64</v>
      </c>
      <c r="D913" t="s">
        <v>34</v>
      </c>
      <c r="E913" t="s">
        <v>46</v>
      </c>
      <c r="F913" t="s">
        <v>47</v>
      </c>
      <c r="G913" s="2">
        <v>499294</v>
      </c>
      <c r="H913" s="1">
        <v>688346</v>
      </c>
      <c r="I913">
        <v>189052</v>
      </c>
      <c r="J913" t="s">
        <v>37</v>
      </c>
      <c r="K913" t="s">
        <v>20</v>
      </c>
      <c r="L913" t="s">
        <v>21</v>
      </c>
      <c r="M913" t="s">
        <v>42</v>
      </c>
      <c r="N913" s="5">
        <f>Table4[[#This Row],[BudgetAmount]]/Table4[[#This Row],[Variance]]</f>
        <v>2.6410405602691323</v>
      </c>
      <c r="O913" s="5" t="str">
        <f>TEXT(Table4[[#This Row],[Date]],"mmm")</f>
        <v>Feb</v>
      </c>
      <c r="P913" s="5">
        <f>ABS(Table4[[#This Row],[Variance]])</f>
        <v>189052</v>
      </c>
      <c r="Q913" s="5" t="str">
        <f>IF(Table4[[#This Row],[AB Variances ]]&gt;$P$2,"Anomaly","Normal")</f>
        <v>Anomaly</v>
      </c>
      <c r="R913" s="5">
        <f>SUMIFS(Table4[BudgetAmount],Table4[ActualExpense],"pending")</f>
        <v>0</v>
      </c>
    </row>
    <row r="914" spans="1:18">
      <c r="A914" t="s">
        <v>1539</v>
      </c>
      <c r="B914" t="s">
        <v>1540</v>
      </c>
      <c r="C914" t="s">
        <v>45</v>
      </c>
      <c r="D914" t="s">
        <v>34</v>
      </c>
      <c r="E914" t="s">
        <v>35</v>
      </c>
      <c r="F914" t="s">
        <v>36</v>
      </c>
      <c r="G914" s="2">
        <v>306540</v>
      </c>
      <c r="H914" s="1">
        <v>367497</v>
      </c>
      <c r="I914">
        <v>60957</v>
      </c>
      <c r="J914" t="s">
        <v>37</v>
      </c>
      <c r="K914" t="s">
        <v>20</v>
      </c>
      <c r="L914" t="s">
        <v>49</v>
      </c>
      <c r="M914" t="s">
        <v>42</v>
      </c>
      <c r="N914" s="5">
        <f>Table4[[#This Row],[BudgetAmount]]/Table4[[#This Row],[Variance]]</f>
        <v>5.0287907869481767</v>
      </c>
      <c r="O914" s="5" t="str">
        <f>TEXT(Table4[[#This Row],[Date]],"mmm")</f>
        <v>Jun</v>
      </c>
      <c r="P914" s="5">
        <f>ABS(Table4[[#This Row],[Variance]])</f>
        <v>60957</v>
      </c>
      <c r="Q914" s="5" t="str">
        <f>IF(Table4[[#This Row],[AB Variances ]]&gt;$P$2,"Anomaly","Normal")</f>
        <v>Anomaly</v>
      </c>
      <c r="R914" s="5">
        <f>SUMIFS(Table4[BudgetAmount],Table4[ActualExpense],"pending")</f>
        <v>0</v>
      </c>
    </row>
    <row r="915" spans="1:18">
      <c r="A915" t="s">
        <v>1541</v>
      </c>
      <c r="B915" t="s">
        <v>885</v>
      </c>
      <c r="C915" t="s">
        <v>33</v>
      </c>
      <c r="D915" t="s">
        <v>26</v>
      </c>
      <c r="E915" t="s">
        <v>17</v>
      </c>
      <c r="F915" t="s">
        <v>18</v>
      </c>
      <c r="G915" s="2">
        <v>74271</v>
      </c>
      <c r="H915" s="1">
        <v>80614</v>
      </c>
      <c r="I915">
        <v>6343</v>
      </c>
      <c r="J915" t="s">
        <v>37</v>
      </c>
      <c r="K915" t="s">
        <v>20</v>
      </c>
      <c r="L915" t="s">
        <v>30</v>
      </c>
      <c r="M915" t="s">
        <v>22</v>
      </c>
      <c r="N915" s="5">
        <f>Table4[[#This Row],[BudgetAmount]]/Table4[[#This Row],[Variance]]</f>
        <v>11.709128172788901</v>
      </c>
      <c r="O915" s="5" t="str">
        <f>TEXT(Table4[[#This Row],[Date]],"mmm")</f>
        <v>Aug</v>
      </c>
      <c r="P915" s="5">
        <f>ABS(Table4[[#This Row],[Variance]])</f>
        <v>6343</v>
      </c>
      <c r="Q915" s="5" t="str">
        <f>IF(Table4[[#This Row],[AB Variances ]]&gt;$P$2,"Anomaly","Normal")</f>
        <v>Normal</v>
      </c>
      <c r="R915" s="5">
        <f>SUMIFS(Table4[BudgetAmount],Table4[ActualExpense],"pending")</f>
        <v>0</v>
      </c>
    </row>
    <row r="916" spans="1:18">
      <c r="A916" t="s">
        <v>1542</v>
      </c>
      <c r="B916" t="s">
        <v>1432</v>
      </c>
      <c r="C916" t="s">
        <v>33</v>
      </c>
      <c r="D916" t="s">
        <v>40</v>
      </c>
      <c r="E916" t="s">
        <v>17</v>
      </c>
      <c r="F916" t="s">
        <v>18</v>
      </c>
      <c r="G916" s="2">
        <v>442714</v>
      </c>
      <c r="H916" s="1">
        <v>471831</v>
      </c>
      <c r="I916">
        <v>29117</v>
      </c>
      <c r="J916" t="s">
        <v>54</v>
      </c>
      <c r="K916" t="s">
        <v>48</v>
      </c>
      <c r="L916" t="s">
        <v>68</v>
      </c>
      <c r="M916" t="s">
        <v>42</v>
      </c>
      <c r="N916" s="5">
        <f>Table4[[#This Row],[BudgetAmount]]/Table4[[#This Row],[Variance]]</f>
        <v>15.204657073187485</v>
      </c>
      <c r="O916" s="5" t="str">
        <f>TEXT(Table4[[#This Row],[Date]],"mmm")</f>
        <v>May</v>
      </c>
      <c r="P916" s="5">
        <f>ABS(Table4[[#This Row],[Variance]])</f>
        <v>29117</v>
      </c>
      <c r="Q916" s="5" t="str">
        <f>IF(Table4[[#This Row],[AB Variances ]]&gt;$P$2,"Anomaly","Normal")</f>
        <v>Anomaly</v>
      </c>
      <c r="R916" s="5">
        <f>SUMIFS(Table4[BudgetAmount],Table4[ActualExpense],"pending")</f>
        <v>0</v>
      </c>
    </row>
    <row r="917" spans="1:18">
      <c r="A917" t="s">
        <v>1543</v>
      </c>
      <c r="B917" t="s">
        <v>961</v>
      </c>
      <c r="C917" t="s">
        <v>25</v>
      </c>
      <c r="D917" t="s">
        <v>40</v>
      </c>
      <c r="E917" t="s">
        <v>35</v>
      </c>
      <c r="F917" t="s">
        <v>36</v>
      </c>
      <c r="G917" s="2">
        <v>345501</v>
      </c>
      <c r="H917" s="1">
        <v>442852</v>
      </c>
      <c r="I917">
        <v>97351</v>
      </c>
      <c r="J917" t="s">
        <v>37</v>
      </c>
      <c r="K917" t="s">
        <v>67</v>
      </c>
      <c r="L917" t="s">
        <v>49</v>
      </c>
      <c r="M917" t="s">
        <v>22</v>
      </c>
      <c r="N917" s="5">
        <f>Table4[[#This Row],[BudgetAmount]]/Table4[[#This Row],[Variance]]</f>
        <v>3.5490236361208409</v>
      </c>
      <c r="O917" s="5" t="str">
        <f>TEXT(Table4[[#This Row],[Date]],"mmm")</f>
        <v>Jul</v>
      </c>
      <c r="P917" s="5">
        <f>ABS(Table4[[#This Row],[Variance]])</f>
        <v>97351</v>
      </c>
      <c r="Q917" s="5" t="str">
        <f>IF(Table4[[#This Row],[AB Variances ]]&gt;$P$2,"Anomaly","Normal")</f>
        <v>Anomaly</v>
      </c>
      <c r="R917" s="5">
        <f>SUMIFS(Table4[BudgetAmount],Table4[ActualExpense],"pending")</f>
        <v>0</v>
      </c>
    </row>
    <row r="918" spans="1:18">
      <c r="A918" t="s">
        <v>1544</v>
      </c>
      <c r="B918" t="s">
        <v>940</v>
      </c>
      <c r="C918" t="s">
        <v>25</v>
      </c>
      <c r="D918" t="s">
        <v>40</v>
      </c>
      <c r="E918" t="s">
        <v>17</v>
      </c>
      <c r="F918" t="s">
        <v>18</v>
      </c>
      <c r="G918" s="2">
        <v>370063</v>
      </c>
      <c r="H918" s="1">
        <v>289541</v>
      </c>
      <c r="I918">
        <v>-80522</v>
      </c>
      <c r="J918" t="s">
        <v>19</v>
      </c>
      <c r="K918" t="s">
        <v>67</v>
      </c>
      <c r="L918" t="s">
        <v>21</v>
      </c>
      <c r="M918" t="s">
        <v>42</v>
      </c>
      <c r="N918" s="5">
        <f>Table4[[#This Row],[BudgetAmount]]/Table4[[#This Row],[Variance]]</f>
        <v>-4.5957999056158565</v>
      </c>
      <c r="O918" s="5" t="str">
        <f>TEXT(Table4[[#This Row],[Date]],"mmm")</f>
        <v>Nov</v>
      </c>
      <c r="P918" s="5">
        <f>ABS(Table4[[#This Row],[Variance]])</f>
        <v>80522</v>
      </c>
      <c r="Q918" s="5" t="str">
        <f>IF(Table4[[#This Row],[AB Variances ]]&gt;$P$2,"Anomaly","Normal")</f>
        <v>Anomaly</v>
      </c>
      <c r="R918" s="5">
        <f>SUMIFS(Table4[BudgetAmount],Table4[ActualExpense],"pending")</f>
        <v>0</v>
      </c>
    </row>
    <row r="919" spans="1:18">
      <c r="A919" t="s">
        <v>1545</v>
      </c>
      <c r="B919" t="s">
        <v>1546</v>
      </c>
      <c r="C919" t="s">
        <v>35</v>
      </c>
      <c r="D919" t="s">
        <v>34</v>
      </c>
      <c r="E919" t="s">
        <v>35</v>
      </c>
      <c r="F919" t="s">
        <v>36</v>
      </c>
      <c r="G919" s="2">
        <v>223099</v>
      </c>
      <c r="H919" s="1">
        <v>206383</v>
      </c>
      <c r="I919">
        <v>-16716</v>
      </c>
      <c r="J919" t="s">
        <v>54</v>
      </c>
      <c r="K919" t="s">
        <v>48</v>
      </c>
      <c r="L919" t="s">
        <v>68</v>
      </c>
      <c r="M919" t="s">
        <v>42</v>
      </c>
      <c r="N919" s="5">
        <f>Table4[[#This Row],[BudgetAmount]]/Table4[[#This Row],[Variance]]</f>
        <v>-13.346434553720986</v>
      </c>
      <c r="O919" s="5" t="str">
        <f>TEXT(Table4[[#This Row],[Date]],"mmm")</f>
        <v>Aug</v>
      </c>
      <c r="P919" s="5">
        <f>ABS(Table4[[#This Row],[Variance]])</f>
        <v>16716</v>
      </c>
      <c r="Q919" s="5" t="str">
        <f>IF(Table4[[#This Row],[AB Variances ]]&gt;$P$2,"Anomaly","Normal")</f>
        <v>Normal</v>
      </c>
      <c r="R919" s="5">
        <f>SUMIFS(Table4[BudgetAmount],Table4[ActualExpense],"pending")</f>
        <v>0</v>
      </c>
    </row>
    <row r="920" spans="1:18">
      <c r="A920" t="s">
        <v>1547</v>
      </c>
      <c r="B920" t="s">
        <v>333</v>
      </c>
      <c r="C920" t="s">
        <v>33</v>
      </c>
      <c r="D920" t="s">
        <v>61</v>
      </c>
      <c r="E920" t="s">
        <v>85</v>
      </c>
      <c r="F920" t="s">
        <v>86</v>
      </c>
      <c r="G920" s="2">
        <v>489322</v>
      </c>
      <c r="H920" s="1">
        <v>440854</v>
      </c>
      <c r="I920">
        <v>-48468</v>
      </c>
      <c r="J920" t="s">
        <v>19</v>
      </c>
      <c r="K920" t="s">
        <v>20</v>
      </c>
      <c r="L920" t="s">
        <v>21</v>
      </c>
      <c r="M920" t="s">
        <v>42</v>
      </c>
      <c r="N920" s="5">
        <f>Table4[[#This Row],[BudgetAmount]]/Table4[[#This Row],[Variance]]</f>
        <v>-10.095774531649749</v>
      </c>
      <c r="O920" s="5" t="str">
        <f>TEXT(Table4[[#This Row],[Date]],"mmm")</f>
        <v>Oct</v>
      </c>
      <c r="P920" s="5">
        <f>ABS(Table4[[#This Row],[Variance]])</f>
        <v>48468</v>
      </c>
      <c r="Q920" s="5" t="str">
        <f>IF(Table4[[#This Row],[AB Variances ]]&gt;$P$2,"Anomaly","Normal")</f>
        <v>Anomaly</v>
      </c>
      <c r="R920" s="5">
        <f>SUMIFS(Table4[BudgetAmount],Table4[ActualExpense],"pending")</f>
        <v>0</v>
      </c>
    </row>
    <row r="921" spans="1:18">
      <c r="A921" t="s">
        <v>1548</v>
      </c>
      <c r="B921" t="s">
        <v>116</v>
      </c>
      <c r="C921" t="s">
        <v>45</v>
      </c>
      <c r="D921" t="s">
        <v>16</v>
      </c>
      <c r="E921" t="s">
        <v>17</v>
      </c>
      <c r="F921" t="s">
        <v>18</v>
      </c>
      <c r="G921" s="2">
        <v>66995</v>
      </c>
      <c r="H921" s="1">
        <v>81916</v>
      </c>
      <c r="I921">
        <v>14921</v>
      </c>
      <c r="J921" t="s">
        <v>54</v>
      </c>
      <c r="K921" t="s">
        <v>48</v>
      </c>
      <c r="L921" t="s">
        <v>30</v>
      </c>
      <c r="M921" t="s">
        <v>22</v>
      </c>
      <c r="N921" s="5">
        <f>Table4[[#This Row],[BudgetAmount]]/Table4[[#This Row],[Variance]]</f>
        <v>4.4899805643053412</v>
      </c>
      <c r="O921" s="5" t="str">
        <f>TEXT(Table4[[#This Row],[Date]],"mmm")</f>
        <v>Feb</v>
      </c>
      <c r="P921" s="5">
        <f>ABS(Table4[[#This Row],[Variance]])</f>
        <v>14921</v>
      </c>
      <c r="Q921" s="5" t="str">
        <f>IF(Table4[[#This Row],[AB Variances ]]&gt;$P$2,"Anomaly","Normal")</f>
        <v>Normal</v>
      </c>
      <c r="R921" s="5">
        <f>SUMIFS(Table4[BudgetAmount],Table4[ActualExpense],"pending")</f>
        <v>0</v>
      </c>
    </row>
    <row r="922" spans="1:18">
      <c r="A922" t="s">
        <v>1549</v>
      </c>
      <c r="B922" t="s">
        <v>1040</v>
      </c>
      <c r="C922" t="s">
        <v>35</v>
      </c>
      <c r="D922" t="s">
        <v>26</v>
      </c>
      <c r="E922" t="s">
        <v>27</v>
      </c>
      <c r="F922" t="s">
        <v>28</v>
      </c>
      <c r="G922" s="2">
        <v>209491</v>
      </c>
      <c r="H922" s="1">
        <v>228326</v>
      </c>
      <c r="I922">
        <v>18835</v>
      </c>
      <c r="J922" t="s">
        <v>19</v>
      </c>
      <c r="K922" t="s">
        <v>29</v>
      </c>
      <c r="L922" t="s">
        <v>21</v>
      </c>
      <c r="M922" t="s">
        <v>42</v>
      </c>
      <c r="N922" s="5">
        <f>Table4[[#This Row],[BudgetAmount]]/Table4[[#This Row],[Variance]]</f>
        <v>11.122431643217414</v>
      </c>
      <c r="O922" s="5" t="str">
        <f>TEXT(Table4[[#This Row],[Date]],"mmm")</f>
        <v>May</v>
      </c>
      <c r="P922" s="5">
        <f>ABS(Table4[[#This Row],[Variance]])</f>
        <v>18835</v>
      </c>
      <c r="Q922" s="5" t="str">
        <f>IF(Table4[[#This Row],[AB Variances ]]&gt;$P$2,"Anomaly","Normal")</f>
        <v>Anomaly</v>
      </c>
      <c r="R922" s="5">
        <f>SUMIFS(Table4[BudgetAmount],Table4[ActualExpense],"pending")</f>
        <v>0</v>
      </c>
    </row>
    <row r="923" spans="1:18">
      <c r="A923" t="s">
        <v>1550</v>
      </c>
      <c r="B923" t="s">
        <v>1551</v>
      </c>
      <c r="C923" t="s">
        <v>15</v>
      </c>
      <c r="D923" t="s">
        <v>34</v>
      </c>
      <c r="E923" t="s">
        <v>17</v>
      </c>
      <c r="F923" t="s">
        <v>18</v>
      </c>
      <c r="G923" s="2">
        <v>172952</v>
      </c>
      <c r="H923" s="1">
        <v>203359</v>
      </c>
      <c r="I923">
        <v>30407</v>
      </c>
      <c r="J923" t="s">
        <v>19</v>
      </c>
      <c r="K923" t="s">
        <v>29</v>
      </c>
      <c r="L923" t="s">
        <v>68</v>
      </c>
      <c r="M923" t="s">
        <v>22</v>
      </c>
      <c r="N923" s="5">
        <f>Table4[[#This Row],[BudgetAmount]]/Table4[[#This Row],[Variance]]</f>
        <v>5.6879008123129546</v>
      </c>
      <c r="O923" s="5" t="str">
        <f>TEXT(Table4[[#This Row],[Date]],"mmm")</f>
        <v>Jan</v>
      </c>
      <c r="P923" s="5">
        <f>ABS(Table4[[#This Row],[Variance]])</f>
        <v>30407</v>
      </c>
      <c r="Q923" s="5" t="str">
        <f>IF(Table4[[#This Row],[AB Variances ]]&gt;$P$2,"Anomaly","Normal")</f>
        <v>Anomaly</v>
      </c>
      <c r="R923" s="5">
        <f>SUMIFS(Table4[BudgetAmount],Table4[ActualExpense],"pending")</f>
        <v>0</v>
      </c>
    </row>
    <row r="924" spans="1:18">
      <c r="A924" t="s">
        <v>1552</v>
      </c>
      <c r="B924" t="s">
        <v>1553</v>
      </c>
      <c r="C924" t="s">
        <v>25</v>
      </c>
      <c r="D924" t="s">
        <v>16</v>
      </c>
      <c r="E924" t="s">
        <v>17</v>
      </c>
      <c r="F924" t="s">
        <v>18</v>
      </c>
      <c r="G924" s="2">
        <v>432956</v>
      </c>
      <c r="H924" s="1">
        <v>544202</v>
      </c>
      <c r="I924">
        <v>111246</v>
      </c>
      <c r="J924" t="s">
        <v>19</v>
      </c>
      <c r="K924" t="s">
        <v>20</v>
      </c>
      <c r="L924" t="s">
        <v>21</v>
      </c>
      <c r="M924" t="s">
        <v>22</v>
      </c>
      <c r="N924" s="5">
        <f>Table4[[#This Row],[BudgetAmount]]/Table4[[#This Row],[Variance]]</f>
        <v>3.8918792585800839</v>
      </c>
      <c r="O924" s="5" t="str">
        <f>TEXT(Table4[[#This Row],[Date]],"mmm")</f>
        <v>Oct</v>
      </c>
      <c r="P924" s="5">
        <f>ABS(Table4[[#This Row],[Variance]])</f>
        <v>111246</v>
      </c>
      <c r="Q924" s="5" t="str">
        <f>IF(Table4[[#This Row],[AB Variances ]]&gt;$P$2,"Anomaly","Normal")</f>
        <v>Anomaly</v>
      </c>
      <c r="R924" s="5">
        <f>SUMIFS(Table4[BudgetAmount],Table4[ActualExpense],"pending")</f>
        <v>0</v>
      </c>
    </row>
    <row r="925" spans="1:18">
      <c r="A925" t="s">
        <v>1554</v>
      </c>
      <c r="B925" t="s">
        <v>1442</v>
      </c>
      <c r="C925" t="s">
        <v>64</v>
      </c>
      <c r="D925" t="s">
        <v>40</v>
      </c>
      <c r="E925" t="s">
        <v>27</v>
      </c>
      <c r="F925" t="s">
        <v>28</v>
      </c>
      <c r="G925" s="2">
        <v>420803</v>
      </c>
      <c r="H925" s="1">
        <v>429356</v>
      </c>
      <c r="I925">
        <v>8553</v>
      </c>
      <c r="J925" t="s">
        <v>54</v>
      </c>
      <c r="K925" t="s">
        <v>41</v>
      </c>
      <c r="L925" t="s">
        <v>30</v>
      </c>
      <c r="M925" t="s">
        <v>42</v>
      </c>
      <c r="N925" s="5">
        <f>Table4[[#This Row],[BudgetAmount]]/Table4[[#This Row],[Variance]]</f>
        <v>49.199462177013913</v>
      </c>
      <c r="O925" s="5" t="str">
        <f>TEXT(Table4[[#This Row],[Date]],"mmm")</f>
        <v>Aug</v>
      </c>
      <c r="P925" s="5">
        <f>ABS(Table4[[#This Row],[Variance]])</f>
        <v>8553</v>
      </c>
      <c r="Q925" s="5" t="str">
        <f>IF(Table4[[#This Row],[AB Variances ]]&gt;$P$2,"Anomaly","Normal")</f>
        <v>Normal</v>
      </c>
      <c r="R925" s="5">
        <f>SUMIFS(Table4[BudgetAmount],Table4[ActualExpense],"pending")</f>
        <v>0</v>
      </c>
    </row>
    <row r="926" spans="1:18">
      <c r="A926" t="s">
        <v>1555</v>
      </c>
      <c r="B926" t="s">
        <v>148</v>
      </c>
      <c r="C926" t="s">
        <v>35</v>
      </c>
      <c r="D926" t="s">
        <v>16</v>
      </c>
      <c r="E926" t="s">
        <v>27</v>
      </c>
      <c r="F926" t="s">
        <v>28</v>
      </c>
      <c r="G926" s="2">
        <v>307154</v>
      </c>
      <c r="H926" s="1">
        <v>238636</v>
      </c>
      <c r="I926">
        <v>-68518</v>
      </c>
      <c r="J926" t="s">
        <v>19</v>
      </c>
      <c r="K926" t="s">
        <v>20</v>
      </c>
      <c r="L926" t="s">
        <v>21</v>
      </c>
      <c r="M926" t="s">
        <v>42</v>
      </c>
      <c r="N926" s="5">
        <f>Table4[[#This Row],[BudgetAmount]]/Table4[[#This Row],[Variance]]</f>
        <v>-4.4828220321667303</v>
      </c>
      <c r="O926" s="5" t="str">
        <f>TEXT(Table4[[#This Row],[Date]],"mmm")</f>
        <v>Oct</v>
      </c>
      <c r="P926" s="5">
        <f>ABS(Table4[[#This Row],[Variance]])</f>
        <v>68518</v>
      </c>
      <c r="Q926" s="5" t="str">
        <f>IF(Table4[[#This Row],[AB Variances ]]&gt;$P$2,"Anomaly","Normal")</f>
        <v>Anomaly</v>
      </c>
      <c r="R926" s="5">
        <f>SUMIFS(Table4[BudgetAmount],Table4[ActualExpense],"pending")</f>
        <v>0</v>
      </c>
    </row>
    <row r="927" spans="1:18">
      <c r="A927" t="s">
        <v>1556</v>
      </c>
      <c r="B927" t="s">
        <v>1557</v>
      </c>
      <c r="C927" t="s">
        <v>45</v>
      </c>
      <c r="D927" t="s">
        <v>26</v>
      </c>
      <c r="E927" t="s">
        <v>17</v>
      </c>
      <c r="F927" t="s">
        <v>18</v>
      </c>
      <c r="G927" s="2">
        <v>276380</v>
      </c>
      <c r="H927" s="1">
        <v>326551</v>
      </c>
      <c r="I927">
        <v>50171</v>
      </c>
      <c r="J927" t="s">
        <v>19</v>
      </c>
      <c r="K927" t="s">
        <v>29</v>
      </c>
      <c r="L927" t="s">
        <v>68</v>
      </c>
      <c r="M927" t="s">
        <v>22</v>
      </c>
      <c r="N927" s="5">
        <f>Table4[[#This Row],[BudgetAmount]]/Table4[[#This Row],[Variance]]</f>
        <v>5.5087600406609392</v>
      </c>
      <c r="O927" s="5" t="str">
        <f>TEXT(Table4[[#This Row],[Date]],"mmm")</f>
        <v>Jul</v>
      </c>
      <c r="P927" s="5">
        <f>ABS(Table4[[#This Row],[Variance]])</f>
        <v>50171</v>
      </c>
      <c r="Q927" s="5" t="str">
        <f>IF(Table4[[#This Row],[AB Variances ]]&gt;$P$2,"Anomaly","Normal")</f>
        <v>Anomaly</v>
      </c>
      <c r="R927" s="5">
        <f>SUMIFS(Table4[BudgetAmount],Table4[ActualExpense],"pending")</f>
        <v>0</v>
      </c>
    </row>
    <row r="928" spans="1:18">
      <c r="A928" t="s">
        <v>1558</v>
      </c>
      <c r="B928" t="s">
        <v>1559</v>
      </c>
      <c r="C928" t="s">
        <v>45</v>
      </c>
      <c r="D928" t="s">
        <v>61</v>
      </c>
      <c r="E928" t="s">
        <v>85</v>
      </c>
      <c r="F928" t="s">
        <v>86</v>
      </c>
      <c r="G928" s="2">
        <v>388046</v>
      </c>
      <c r="H928" s="1">
        <v>529961</v>
      </c>
      <c r="I928">
        <v>141915</v>
      </c>
      <c r="J928" t="s">
        <v>19</v>
      </c>
      <c r="K928" t="s">
        <v>20</v>
      </c>
      <c r="L928" t="s">
        <v>30</v>
      </c>
      <c r="M928" t="s">
        <v>42</v>
      </c>
      <c r="N928" s="5">
        <f>Table4[[#This Row],[BudgetAmount]]/Table4[[#This Row],[Variance]]</f>
        <v>2.7343550716978471</v>
      </c>
      <c r="O928" s="5" t="str">
        <f>TEXT(Table4[[#This Row],[Date]],"mmm")</f>
        <v>Oct</v>
      </c>
      <c r="P928" s="5">
        <f>ABS(Table4[[#This Row],[Variance]])</f>
        <v>141915</v>
      </c>
      <c r="Q928" s="5" t="str">
        <f>IF(Table4[[#This Row],[AB Variances ]]&gt;$P$2,"Anomaly","Normal")</f>
        <v>Anomaly</v>
      </c>
      <c r="R928" s="5">
        <f>SUMIFS(Table4[BudgetAmount],Table4[ActualExpense],"pending")</f>
        <v>0</v>
      </c>
    </row>
    <row r="929" spans="1:18">
      <c r="A929" t="s">
        <v>1560</v>
      </c>
      <c r="B929" t="s">
        <v>1094</v>
      </c>
      <c r="C929" t="s">
        <v>64</v>
      </c>
      <c r="D929" t="s">
        <v>26</v>
      </c>
      <c r="E929" t="s">
        <v>17</v>
      </c>
      <c r="F929" t="s">
        <v>18</v>
      </c>
      <c r="G929" s="2">
        <v>487640</v>
      </c>
      <c r="H929" s="1">
        <v>514287</v>
      </c>
      <c r="I929">
        <v>26647</v>
      </c>
      <c r="J929" t="s">
        <v>37</v>
      </c>
      <c r="K929" t="s">
        <v>41</v>
      </c>
      <c r="L929" t="s">
        <v>49</v>
      </c>
      <c r="M929" t="s">
        <v>42</v>
      </c>
      <c r="N929" s="5">
        <f>Table4[[#This Row],[BudgetAmount]]/Table4[[#This Row],[Variance]]</f>
        <v>18.299996247232333</v>
      </c>
      <c r="O929" s="5" t="str">
        <f>TEXT(Table4[[#This Row],[Date]],"mmm")</f>
        <v>Jan</v>
      </c>
      <c r="P929" s="5">
        <f>ABS(Table4[[#This Row],[Variance]])</f>
        <v>26647</v>
      </c>
      <c r="Q929" s="5" t="str">
        <f>IF(Table4[[#This Row],[AB Variances ]]&gt;$P$2,"Anomaly","Normal")</f>
        <v>Anomaly</v>
      </c>
      <c r="R929" s="5">
        <f>SUMIFS(Table4[BudgetAmount],Table4[ActualExpense],"pending")</f>
        <v>0</v>
      </c>
    </row>
    <row r="930" spans="1:18">
      <c r="A930" t="s">
        <v>1561</v>
      </c>
      <c r="B930" t="s">
        <v>1562</v>
      </c>
      <c r="C930" t="s">
        <v>15</v>
      </c>
      <c r="D930" t="s">
        <v>40</v>
      </c>
      <c r="E930" t="s">
        <v>35</v>
      </c>
      <c r="F930" t="s">
        <v>36</v>
      </c>
      <c r="G930" s="2">
        <v>77385</v>
      </c>
      <c r="H930" s="1">
        <v>102345</v>
      </c>
      <c r="I930">
        <v>24960</v>
      </c>
      <c r="J930" t="s">
        <v>19</v>
      </c>
      <c r="K930" t="s">
        <v>67</v>
      </c>
      <c r="L930" t="s">
        <v>49</v>
      </c>
      <c r="M930" t="s">
        <v>42</v>
      </c>
      <c r="N930" s="5">
        <f>Table4[[#This Row],[BudgetAmount]]/Table4[[#This Row],[Variance]]</f>
        <v>3.1003605769230771</v>
      </c>
      <c r="O930" s="5" t="str">
        <f>TEXT(Table4[[#This Row],[Date]],"mmm")</f>
        <v>Jul</v>
      </c>
      <c r="P930" s="5">
        <f>ABS(Table4[[#This Row],[Variance]])</f>
        <v>24960</v>
      </c>
      <c r="Q930" s="5" t="str">
        <f>IF(Table4[[#This Row],[AB Variances ]]&gt;$P$2,"Anomaly","Normal")</f>
        <v>Anomaly</v>
      </c>
      <c r="R930" s="5">
        <f>SUMIFS(Table4[BudgetAmount],Table4[ActualExpense],"pending")</f>
        <v>0</v>
      </c>
    </row>
    <row r="931" spans="1:18">
      <c r="A931" t="s">
        <v>1563</v>
      </c>
      <c r="B931" t="s">
        <v>1564</v>
      </c>
      <c r="C931" t="s">
        <v>25</v>
      </c>
      <c r="D931" t="s">
        <v>61</v>
      </c>
      <c r="E931" t="s">
        <v>85</v>
      </c>
      <c r="F931" t="s">
        <v>86</v>
      </c>
      <c r="G931" s="2">
        <v>77893</v>
      </c>
      <c r="H931" s="1">
        <v>69847</v>
      </c>
      <c r="I931">
        <v>-8046</v>
      </c>
      <c r="J931" t="s">
        <v>19</v>
      </c>
      <c r="K931" t="s">
        <v>29</v>
      </c>
      <c r="L931" t="s">
        <v>68</v>
      </c>
      <c r="M931" t="s">
        <v>42</v>
      </c>
      <c r="N931" s="5">
        <f>Table4[[#This Row],[BudgetAmount]]/Table4[[#This Row],[Variance]]</f>
        <v>-9.6809594829729058</v>
      </c>
      <c r="O931" s="5" t="str">
        <f>TEXT(Table4[[#This Row],[Date]],"mmm")</f>
        <v>Feb</v>
      </c>
      <c r="P931" s="5">
        <f>ABS(Table4[[#This Row],[Variance]])</f>
        <v>8046</v>
      </c>
      <c r="Q931" s="5" t="str">
        <f>IF(Table4[[#This Row],[AB Variances ]]&gt;$P$2,"Anomaly","Normal")</f>
        <v>Normal</v>
      </c>
      <c r="R931" s="5">
        <f>SUMIFS(Table4[BudgetAmount],Table4[ActualExpense],"pending")</f>
        <v>0</v>
      </c>
    </row>
    <row r="932" spans="1:18">
      <c r="A932" t="s">
        <v>1565</v>
      </c>
      <c r="B932" t="s">
        <v>1006</v>
      </c>
      <c r="C932" t="s">
        <v>25</v>
      </c>
      <c r="D932" t="s">
        <v>40</v>
      </c>
      <c r="E932" t="s">
        <v>27</v>
      </c>
      <c r="F932" t="s">
        <v>28</v>
      </c>
      <c r="G932" s="2">
        <v>228530</v>
      </c>
      <c r="H932" s="1">
        <v>233304</v>
      </c>
      <c r="I932">
        <v>4774</v>
      </c>
      <c r="J932" t="s">
        <v>19</v>
      </c>
      <c r="K932" t="s">
        <v>41</v>
      </c>
      <c r="L932" t="s">
        <v>21</v>
      </c>
      <c r="M932" t="s">
        <v>42</v>
      </c>
      <c r="N932" s="5">
        <f>Table4[[#This Row],[BudgetAmount]]/Table4[[#This Row],[Variance]]</f>
        <v>47.869710934227065</v>
      </c>
      <c r="O932" s="5" t="str">
        <f>TEXT(Table4[[#This Row],[Date]],"mmm")</f>
        <v>Jan</v>
      </c>
      <c r="P932" s="5">
        <f>ABS(Table4[[#This Row],[Variance]])</f>
        <v>4774</v>
      </c>
      <c r="Q932" s="5" t="str">
        <f>IF(Table4[[#This Row],[AB Variances ]]&gt;$P$2,"Anomaly","Normal")</f>
        <v>Normal</v>
      </c>
      <c r="R932" s="5">
        <f>SUMIFS(Table4[BudgetAmount],Table4[ActualExpense],"pending")</f>
        <v>0</v>
      </c>
    </row>
    <row r="933" spans="1:18">
      <c r="A933" t="s">
        <v>1566</v>
      </c>
      <c r="B933" t="s">
        <v>750</v>
      </c>
      <c r="C933" t="s">
        <v>33</v>
      </c>
      <c r="D933" t="s">
        <v>26</v>
      </c>
      <c r="E933" t="s">
        <v>35</v>
      </c>
      <c r="F933" t="s">
        <v>36</v>
      </c>
      <c r="G933" s="2">
        <v>84007</v>
      </c>
      <c r="H933" s="1">
        <v>60127</v>
      </c>
      <c r="I933">
        <v>-23880</v>
      </c>
      <c r="J933" t="s">
        <v>19</v>
      </c>
      <c r="K933" t="s">
        <v>48</v>
      </c>
      <c r="L933" t="s">
        <v>30</v>
      </c>
      <c r="M933" t="s">
        <v>22</v>
      </c>
      <c r="N933" s="5">
        <f>Table4[[#This Row],[BudgetAmount]]/Table4[[#This Row],[Variance]]</f>
        <v>-3.5178810720268006</v>
      </c>
      <c r="O933" s="5" t="str">
        <f>TEXT(Table4[[#This Row],[Date]],"mmm")</f>
        <v>Sep</v>
      </c>
      <c r="P933" s="5">
        <f>ABS(Table4[[#This Row],[Variance]])</f>
        <v>23880</v>
      </c>
      <c r="Q933" s="5" t="str">
        <f>IF(Table4[[#This Row],[AB Variances ]]&gt;$P$2,"Anomaly","Normal")</f>
        <v>Anomaly</v>
      </c>
      <c r="R933" s="5">
        <f>SUMIFS(Table4[BudgetAmount],Table4[ActualExpense],"pending")</f>
        <v>0</v>
      </c>
    </row>
    <row r="934" spans="1:18">
      <c r="A934" t="s">
        <v>1567</v>
      </c>
      <c r="B934" t="s">
        <v>703</v>
      </c>
      <c r="C934" t="s">
        <v>15</v>
      </c>
      <c r="D934" t="s">
        <v>16</v>
      </c>
      <c r="E934" t="s">
        <v>17</v>
      </c>
      <c r="F934" t="s">
        <v>18</v>
      </c>
      <c r="G934" s="2">
        <v>161802</v>
      </c>
      <c r="H934" s="1">
        <v>200900</v>
      </c>
      <c r="I934">
        <v>39098</v>
      </c>
      <c r="J934" t="s">
        <v>54</v>
      </c>
      <c r="K934" t="s">
        <v>41</v>
      </c>
      <c r="L934" t="s">
        <v>68</v>
      </c>
      <c r="M934" t="s">
        <v>42</v>
      </c>
      <c r="N934" s="5">
        <f>Table4[[#This Row],[BudgetAmount]]/Table4[[#This Row],[Variance]]</f>
        <v>4.1383702491176022</v>
      </c>
      <c r="O934" s="5" t="str">
        <f>TEXT(Table4[[#This Row],[Date]],"mmm")</f>
        <v>Sep</v>
      </c>
      <c r="P934" s="5">
        <f>ABS(Table4[[#This Row],[Variance]])</f>
        <v>39098</v>
      </c>
      <c r="Q934" s="5" t="str">
        <f>IF(Table4[[#This Row],[AB Variances ]]&gt;$P$2,"Anomaly","Normal")</f>
        <v>Anomaly</v>
      </c>
      <c r="R934" s="5">
        <f>SUMIFS(Table4[BudgetAmount],Table4[ActualExpense],"pending")</f>
        <v>0</v>
      </c>
    </row>
    <row r="935" spans="1:18">
      <c r="A935" t="s">
        <v>1568</v>
      </c>
      <c r="B935" t="s">
        <v>469</v>
      </c>
      <c r="C935" t="s">
        <v>25</v>
      </c>
      <c r="D935" t="s">
        <v>40</v>
      </c>
      <c r="E935" t="s">
        <v>27</v>
      </c>
      <c r="F935" t="s">
        <v>28</v>
      </c>
      <c r="G935" s="2">
        <v>74363</v>
      </c>
      <c r="H935" s="1">
        <v>62646</v>
      </c>
      <c r="I935">
        <v>-11717</v>
      </c>
      <c r="J935" t="s">
        <v>19</v>
      </c>
      <c r="K935" t="s">
        <v>29</v>
      </c>
      <c r="L935" t="s">
        <v>30</v>
      </c>
      <c r="M935" t="s">
        <v>42</v>
      </c>
      <c r="N935" s="5">
        <f>Table4[[#This Row],[BudgetAmount]]/Table4[[#This Row],[Variance]]</f>
        <v>-6.3465904241700093</v>
      </c>
      <c r="O935" s="5" t="str">
        <f>TEXT(Table4[[#This Row],[Date]],"mmm")</f>
        <v>Nov</v>
      </c>
      <c r="P935" s="5">
        <f>ABS(Table4[[#This Row],[Variance]])</f>
        <v>11717</v>
      </c>
      <c r="Q935" s="5" t="str">
        <f>IF(Table4[[#This Row],[AB Variances ]]&gt;$P$2,"Anomaly","Normal")</f>
        <v>Normal</v>
      </c>
      <c r="R935" s="5">
        <f>SUMIFS(Table4[BudgetAmount],Table4[ActualExpense],"pending")</f>
        <v>0</v>
      </c>
    </row>
    <row r="936" spans="1:18">
      <c r="A936" t="s">
        <v>1569</v>
      </c>
      <c r="B936" t="s">
        <v>1570</v>
      </c>
      <c r="C936" t="s">
        <v>25</v>
      </c>
      <c r="D936" t="s">
        <v>16</v>
      </c>
      <c r="E936" t="s">
        <v>46</v>
      </c>
      <c r="F936" t="s">
        <v>47</v>
      </c>
      <c r="G936" s="2">
        <v>463557</v>
      </c>
      <c r="H936" s="1">
        <v>614164</v>
      </c>
      <c r="I936">
        <v>150607</v>
      </c>
      <c r="J936" t="s">
        <v>54</v>
      </c>
      <c r="K936" t="s">
        <v>48</v>
      </c>
      <c r="L936" t="s">
        <v>30</v>
      </c>
      <c r="M936" t="s">
        <v>42</v>
      </c>
      <c r="N936" s="5">
        <f>Table4[[#This Row],[BudgetAmount]]/Table4[[#This Row],[Variance]]</f>
        <v>3.0779246648562153</v>
      </c>
      <c r="O936" s="5" t="str">
        <f>TEXT(Table4[[#This Row],[Date]],"mmm")</f>
        <v>Jun</v>
      </c>
      <c r="P936" s="5">
        <f>ABS(Table4[[#This Row],[Variance]])</f>
        <v>150607</v>
      </c>
      <c r="Q936" s="5" t="str">
        <f>IF(Table4[[#This Row],[AB Variances ]]&gt;$P$2,"Anomaly","Normal")</f>
        <v>Anomaly</v>
      </c>
      <c r="R936" s="5">
        <f>SUMIFS(Table4[BudgetAmount],Table4[ActualExpense],"pending")</f>
        <v>0</v>
      </c>
    </row>
    <row r="937" spans="1:18">
      <c r="A937" t="s">
        <v>1571</v>
      </c>
      <c r="B937" t="s">
        <v>826</v>
      </c>
      <c r="C937" t="s">
        <v>25</v>
      </c>
      <c r="D937" t="s">
        <v>61</v>
      </c>
      <c r="E937" t="s">
        <v>27</v>
      </c>
      <c r="F937" t="s">
        <v>28</v>
      </c>
      <c r="G937" s="2">
        <v>376931</v>
      </c>
      <c r="H937" s="1">
        <v>384686</v>
      </c>
      <c r="I937">
        <v>7755</v>
      </c>
      <c r="J937" t="s">
        <v>54</v>
      </c>
      <c r="K937" t="s">
        <v>41</v>
      </c>
      <c r="L937" t="s">
        <v>21</v>
      </c>
      <c r="M937" t="s">
        <v>42</v>
      </c>
      <c r="N937" s="5">
        <f>Table4[[#This Row],[BudgetAmount]]/Table4[[#This Row],[Variance]]</f>
        <v>48.604900064474535</v>
      </c>
      <c r="O937" s="5" t="str">
        <f>TEXT(Table4[[#This Row],[Date]],"mmm")</f>
        <v>Oct</v>
      </c>
      <c r="P937" s="5">
        <f>ABS(Table4[[#This Row],[Variance]])</f>
        <v>7755</v>
      </c>
      <c r="Q937" s="5" t="str">
        <f>IF(Table4[[#This Row],[AB Variances ]]&gt;$P$2,"Anomaly","Normal")</f>
        <v>Normal</v>
      </c>
      <c r="R937" s="5">
        <f>SUMIFS(Table4[BudgetAmount],Table4[ActualExpense],"pending")</f>
        <v>0</v>
      </c>
    </row>
    <row r="938" spans="1:18">
      <c r="A938" t="s">
        <v>1572</v>
      </c>
      <c r="B938" t="s">
        <v>1573</v>
      </c>
      <c r="C938" t="s">
        <v>15</v>
      </c>
      <c r="D938" t="s">
        <v>34</v>
      </c>
      <c r="E938" t="s">
        <v>27</v>
      </c>
      <c r="F938" t="s">
        <v>28</v>
      </c>
      <c r="G938" s="2">
        <v>262345</v>
      </c>
      <c r="H938" s="1">
        <v>190689</v>
      </c>
      <c r="I938">
        <v>-71656</v>
      </c>
      <c r="J938" t="s">
        <v>54</v>
      </c>
      <c r="K938" t="s">
        <v>20</v>
      </c>
      <c r="L938" t="s">
        <v>49</v>
      </c>
      <c r="M938" t="s">
        <v>42</v>
      </c>
      <c r="N938" s="5">
        <f>Table4[[#This Row],[BudgetAmount]]/Table4[[#This Row],[Variance]]</f>
        <v>-3.6611728257228981</v>
      </c>
      <c r="O938" s="5" t="str">
        <f>TEXT(Table4[[#This Row],[Date]],"mmm")</f>
        <v>Jun</v>
      </c>
      <c r="P938" s="5">
        <f>ABS(Table4[[#This Row],[Variance]])</f>
        <v>71656</v>
      </c>
      <c r="Q938" s="5" t="str">
        <f>IF(Table4[[#This Row],[AB Variances ]]&gt;$P$2,"Anomaly","Normal")</f>
        <v>Anomaly</v>
      </c>
      <c r="R938" s="5">
        <f>SUMIFS(Table4[BudgetAmount],Table4[ActualExpense],"pending")</f>
        <v>0</v>
      </c>
    </row>
    <row r="939" spans="1:18">
      <c r="A939" t="s">
        <v>1574</v>
      </c>
      <c r="B939" t="s">
        <v>725</v>
      </c>
      <c r="C939" t="s">
        <v>33</v>
      </c>
      <c r="D939" t="s">
        <v>16</v>
      </c>
      <c r="E939" t="s">
        <v>85</v>
      </c>
      <c r="F939" t="s">
        <v>86</v>
      </c>
      <c r="G939" s="2">
        <v>346623</v>
      </c>
      <c r="H939" s="1">
        <v>364862</v>
      </c>
      <c r="I939">
        <v>18239</v>
      </c>
      <c r="J939" t="s">
        <v>19</v>
      </c>
      <c r="K939" t="s">
        <v>48</v>
      </c>
      <c r="L939" t="s">
        <v>49</v>
      </c>
      <c r="M939" t="s">
        <v>42</v>
      </c>
      <c r="N939" s="5">
        <f>Table4[[#This Row],[BudgetAmount]]/Table4[[#This Row],[Variance]]</f>
        <v>19.00449586051867</v>
      </c>
      <c r="O939" s="5" t="str">
        <f>TEXT(Table4[[#This Row],[Date]],"mmm")</f>
        <v>Nov</v>
      </c>
      <c r="P939" s="5">
        <f>ABS(Table4[[#This Row],[Variance]])</f>
        <v>18239</v>
      </c>
      <c r="Q939" s="5" t="str">
        <f>IF(Table4[[#This Row],[AB Variances ]]&gt;$P$2,"Anomaly","Normal")</f>
        <v>Anomaly</v>
      </c>
      <c r="R939" s="5">
        <f>SUMIFS(Table4[BudgetAmount],Table4[ActualExpense],"pending")</f>
        <v>0</v>
      </c>
    </row>
    <row r="940" spans="1:18">
      <c r="A940" t="s">
        <v>1575</v>
      </c>
      <c r="B940" t="s">
        <v>974</v>
      </c>
      <c r="C940" t="s">
        <v>45</v>
      </c>
      <c r="D940" t="s">
        <v>16</v>
      </c>
      <c r="E940" t="s">
        <v>71</v>
      </c>
      <c r="F940" t="s">
        <v>72</v>
      </c>
      <c r="G940" s="2">
        <v>175700</v>
      </c>
      <c r="H940" s="1">
        <v>242981</v>
      </c>
      <c r="I940">
        <v>67281</v>
      </c>
      <c r="J940" t="s">
        <v>37</v>
      </c>
      <c r="K940" t="s">
        <v>29</v>
      </c>
      <c r="L940" t="s">
        <v>30</v>
      </c>
      <c r="M940" t="s">
        <v>42</v>
      </c>
      <c r="N940" s="5">
        <f>Table4[[#This Row],[BudgetAmount]]/Table4[[#This Row],[Variance]]</f>
        <v>2.6114356207547451</v>
      </c>
      <c r="O940" s="5" t="str">
        <f>TEXT(Table4[[#This Row],[Date]],"mmm")</f>
        <v>Aug</v>
      </c>
      <c r="P940" s="5">
        <f>ABS(Table4[[#This Row],[Variance]])</f>
        <v>67281</v>
      </c>
      <c r="Q940" s="5" t="str">
        <f>IF(Table4[[#This Row],[AB Variances ]]&gt;$P$2,"Anomaly","Normal")</f>
        <v>Anomaly</v>
      </c>
      <c r="R940" s="5">
        <f>SUMIFS(Table4[BudgetAmount],Table4[ActualExpense],"pending")</f>
        <v>0</v>
      </c>
    </row>
    <row r="941" spans="1:18">
      <c r="A941" t="s">
        <v>1576</v>
      </c>
      <c r="B941" t="s">
        <v>1577</v>
      </c>
      <c r="C941" t="s">
        <v>33</v>
      </c>
      <c r="D941" t="s">
        <v>34</v>
      </c>
      <c r="E941" t="s">
        <v>85</v>
      </c>
      <c r="F941" t="s">
        <v>86</v>
      </c>
      <c r="G941" s="2">
        <v>471243</v>
      </c>
      <c r="H941" s="1">
        <v>618766</v>
      </c>
      <c r="I941">
        <v>147523</v>
      </c>
      <c r="J941" t="s">
        <v>37</v>
      </c>
      <c r="K941" t="s">
        <v>20</v>
      </c>
      <c r="L941" t="s">
        <v>68</v>
      </c>
      <c r="M941" t="s">
        <v>42</v>
      </c>
      <c r="N941" s="5">
        <f>Table4[[#This Row],[BudgetAmount]]/Table4[[#This Row],[Variance]]</f>
        <v>3.1943696915057314</v>
      </c>
      <c r="O941" s="5" t="str">
        <f>TEXT(Table4[[#This Row],[Date]],"mmm")</f>
        <v>Jun</v>
      </c>
      <c r="P941" s="5">
        <f>ABS(Table4[[#This Row],[Variance]])</f>
        <v>147523</v>
      </c>
      <c r="Q941" s="5" t="str">
        <f>IF(Table4[[#This Row],[AB Variances ]]&gt;$P$2,"Anomaly","Normal")</f>
        <v>Anomaly</v>
      </c>
      <c r="R941" s="5">
        <f>SUMIFS(Table4[BudgetAmount],Table4[ActualExpense],"pending")</f>
        <v>0</v>
      </c>
    </row>
    <row r="942" spans="1:18">
      <c r="A942" t="s">
        <v>1578</v>
      </c>
      <c r="B942" t="s">
        <v>764</v>
      </c>
      <c r="C942" t="s">
        <v>64</v>
      </c>
      <c r="D942" t="s">
        <v>16</v>
      </c>
      <c r="E942" t="s">
        <v>71</v>
      </c>
      <c r="F942" t="s">
        <v>72</v>
      </c>
      <c r="G942" s="2">
        <v>190326</v>
      </c>
      <c r="H942" s="1">
        <v>173641</v>
      </c>
      <c r="I942">
        <v>-16685</v>
      </c>
      <c r="J942" t="s">
        <v>54</v>
      </c>
      <c r="K942" t="s">
        <v>67</v>
      </c>
      <c r="L942" t="s">
        <v>30</v>
      </c>
      <c r="M942" t="s">
        <v>22</v>
      </c>
      <c r="N942" s="5">
        <f>Table4[[#This Row],[BudgetAmount]]/Table4[[#This Row],[Variance]]</f>
        <v>-11.407012286484866</v>
      </c>
      <c r="O942" s="5" t="str">
        <f>TEXT(Table4[[#This Row],[Date]],"mmm")</f>
        <v>May</v>
      </c>
      <c r="P942" s="5">
        <f>ABS(Table4[[#This Row],[Variance]])</f>
        <v>16685</v>
      </c>
      <c r="Q942" s="5" t="str">
        <f>IF(Table4[[#This Row],[AB Variances ]]&gt;$P$2,"Anomaly","Normal")</f>
        <v>Normal</v>
      </c>
      <c r="R942" s="5">
        <f>SUMIFS(Table4[BudgetAmount],Table4[ActualExpense],"pending")</f>
        <v>0</v>
      </c>
    </row>
    <row r="943" spans="1:18">
      <c r="A943" t="s">
        <v>1579</v>
      </c>
      <c r="B943" t="s">
        <v>1580</v>
      </c>
      <c r="C943" t="s">
        <v>33</v>
      </c>
      <c r="D943" t="s">
        <v>40</v>
      </c>
      <c r="E943" t="s">
        <v>71</v>
      </c>
      <c r="F943" t="s">
        <v>72</v>
      </c>
      <c r="G943" s="2">
        <v>274611</v>
      </c>
      <c r="H943" s="1">
        <v>366957</v>
      </c>
      <c r="I943">
        <v>92346</v>
      </c>
      <c r="J943" t="s">
        <v>19</v>
      </c>
      <c r="K943" t="s">
        <v>41</v>
      </c>
      <c r="L943" t="s">
        <v>49</v>
      </c>
      <c r="M943" t="s">
        <v>42</v>
      </c>
      <c r="N943" s="5">
        <f>Table4[[#This Row],[BudgetAmount]]/Table4[[#This Row],[Variance]]</f>
        <v>2.9737184068611526</v>
      </c>
      <c r="O943" s="5" t="str">
        <f>TEXT(Table4[[#This Row],[Date]],"mmm")</f>
        <v>Feb</v>
      </c>
      <c r="P943" s="5">
        <f>ABS(Table4[[#This Row],[Variance]])</f>
        <v>92346</v>
      </c>
      <c r="Q943" s="5" t="str">
        <f>IF(Table4[[#This Row],[AB Variances ]]&gt;$P$2,"Anomaly","Normal")</f>
        <v>Anomaly</v>
      </c>
      <c r="R943" s="5">
        <f>SUMIFS(Table4[BudgetAmount],Table4[ActualExpense],"pending")</f>
        <v>0</v>
      </c>
    </row>
    <row r="944" spans="1:18">
      <c r="A944" t="s">
        <v>1581</v>
      </c>
      <c r="B944" t="s">
        <v>1582</v>
      </c>
      <c r="C944" t="s">
        <v>25</v>
      </c>
      <c r="D944" t="s">
        <v>40</v>
      </c>
      <c r="E944" t="s">
        <v>71</v>
      </c>
      <c r="F944" t="s">
        <v>72</v>
      </c>
      <c r="G944" s="2">
        <v>204555</v>
      </c>
      <c r="H944" s="1">
        <v>169627</v>
      </c>
      <c r="I944">
        <v>-34928</v>
      </c>
      <c r="J944" t="s">
        <v>19</v>
      </c>
      <c r="K944" t="s">
        <v>41</v>
      </c>
      <c r="L944" t="s">
        <v>68</v>
      </c>
      <c r="M944" t="s">
        <v>22</v>
      </c>
      <c r="N944" s="5">
        <f>Table4[[#This Row],[BudgetAmount]]/Table4[[#This Row],[Variance]]</f>
        <v>-5.8564761795694</v>
      </c>
      <c r="O944" s="5" t="str">
        <f>TEXT(Table4[[#This Row],[Date]],"mmm")</f>
        <v>Oct</v>
      </c>
      <c r="P944" s="5">
        <f>ABS(Table4[[#This Row],[Variance]])</f>
        <v>34928</v>
      </c>
      <c r="Q944" s="5" t="str">
        <f>IF(Table4[[#This Row],[AB Variances ]]&gt;$P$2,"Anomaly","Normal")</f>
        <v>Anomaly</v>
      </c>
      <c r="R944" s="5">
        <f>SUMIFS(Table4[BudgetAmount],Table4[ActualExpense],"pending")</f>
        <v>0</v>
      </c>
    </row>
    <row r="945" spans="1:18">
      <c r="A945" t="s">
        <v>1583</v>
      </c>
      <c r="B945" t="s">
        <v>1584</v>
      </c>
      <c r="C945" t="s">
        <v>25</v>
      </c>
      <c r="D945" t="s">
        <v>16</v>
      </c>
      <c r="E945" t="s">
        <v>17</v>
      </c>
      <c r="F945" t="s">
        <v>18</v>
      </c>
      <c r="G945" s="2">
        <v>350242</v>
      </c>
      <c r="H945" s="1">
        <v>399002</v>
      </c>
      <c r="I945">
        <v>48760</v>
      </c>
      <c r="J945" t="s">
        <v>37</v>
      </c>
      <c r="K945" t="s">
        <v>67</v>
      </c>
      <c r="L945" t="s">
        <v>21</v>
      </c>
      <c r="M945" t="s">
        <v>42</v>
      </c>
      <c r="N945" s="5">
        <f>Table4[[#This Row],[BudgetAmount]]/Table4[[#This Row],[Variance]]</f>
        <v>7.1829778506972932</v>
      </c>
      <c r="O945" s="5" t="str">
        <f>TEXT(Table4[[#This Row],[Date]],"mmm")</f>
        <v>Apr</v>
      </c>
      <c r="P945" s="5">
        <f>ABS(Table4[[#This Row],[Variance]])</f>
        <v>48760</v>
      </c>
      <c r="Q945" s="5" t="str">
        <f>IF(Table4[[#This Row],[AB Variances ]]&gt;$P$2,"Anomaly","Normal")</f>
        <v>Anomaly</v>
      </c>
      <c r="R945" s="5">
        <f>SUMIFS(Table4[BudgetAmount],Table4[ActualExpense],"pending")</f>
        <v>0</v>
      </c>
    </row>
    <row r="946" spans="1:18">
      <c r="A946" t="s">
        <v>1585</v>
      </c>
      <c r="B946" t="s">
        <v>593</v>
      </c>
      <c r="C946" t="s">
        <v>64</v>
      </c>
      <c r="D946" t="s">
        <v>26</v>
      </c>
      <c r="E946" t="s">
        <v>27</v>
      </c>
      <c r="F946" t="s">
        <v>28</v>
      </c>
      <c r="G946" s="2">
        <v>329928</v>
      </c>
      <c r="H946" s="1">
        <v>372054</v>
      </c>
      <c r="I946">
        <v>42126</v>
      </c>
      <c r="J946" t="s">
        <v>54</v>
      </c>
      <c r="K946" t="s">
        <v>67</v>
      </c>
      <c r="L946" t="s">
        <v>21</v>
      </c>
      <c r="M946" t="s">
        <v>22</v>
      </c>
      <c r="N946" s="5">
        <f>Table4[[#This Row],[BudgetAmount]]/Table4[[#This Row],[Variance]]</f>
        <v>7.8319327731092434</v>
      </c>
      <c r="O946" s="5" t="str">
        <f>TEXT(Table4[[#This Row],[Date]],"mmm")</f>
        <v>May</v>
      </c>
      <c r="P946" s="5">
        <f>ABS(Table4[[#This Row],[Variance]])</f>
        <v>42126</v>
      </c>
      <c r="Q946" s="5" t="str">
        <f>IF(Table4[[#This Row],[AB Variances ]]&gt;$P$2,"Anomaly","Normal")</f>
        <v>Anomaly</v>
      </c>
      <c r="R946" s="5">
        <f>SUMIFS(Table4[BudgetAmount],Table4[ActualExpense],"pending")</f>
        <v>0</v>
      </c>
    </row>
    <row r="947" spans="1:18">
      <c r="A947" t="s">
        <v>1586</v>
      </c>
      <c r="B947" t="s">
        <v>640</v>
      </c>
      <c r="C947" t="s">
        <v>35</v>
      </c>
      <c r="D947" t="s">
        <v>40</v>
      </c>
      <c r="E947" t="s">
        <v>71</v>
      </c>
      <c r="F947" t="s">
        <v>72</v>
      </c>
      <c r="G947" s="2">
        <v>497114</v>
      </c>
      <c r="H947" s="1">
        <v>374241</v>
      </c>
      <c r="I947">
        <v>-122873</v>
      </c>
      <c r="J947" t="s">
        <v>19</v>
      </c>
      <c r="K947" t="s">
        <v>41</v>
      </c>
      <c r="L947" t="s">
        <v>49</v>
      </c>
      <c r="M947" t="s">
        <v>22</v>
      </c>
      <c r="N947" s="5">
        <f>Table4[[#This Row],[BudgetAmount]]/Table4[[#This Row],[Variance]]</f>
        <v>-4.0457545595859141</v>
      </c>
      <c r="O947" s="5" t="str">
        <f>TEXT(Table4[[#This Row],[Date]],"mmm")</f>
        <v>Dec</v>
      </c>
      <c r="P947" s="5">
        <f>ABS(Table4[[#This Row],[Variance]])</f>
        <v>122873</v>
      </c>
      <c r="Q947" s="5" t="str">
        <f>IF(Table4[[#This Row],[AB Variances ]]&gt;$P$2,"Anomaly","Normal")</f>
        <v>Anomaly</v>
      </c>
      <c r="R947" s="5">
        <f>SUMIFS(Table4[BudgetAmount],Table4[ActualExpense],"pending")</f>
        <v>0</v>
      </c>
    </row>
    <row r="948" spans="1:18">
      <c r="A948" t="s">
        <v>1587</v>
      </c>
      <c r="B948" t="s">
        <v>1588</v>
      </c>
      <c r="C948" t="s">
        <v>45</v>
      </c>
      <c r="D948" t="s">
        <v>16</v>
      </c>
      <c r="E948" t="s">
        <v>35</v>
      </c>
      <c r="F948" t="s">
        <v>36</v>
      </c>
      <c r="G948" s="2">
        <v>264122</v>
      </c>
      <c r="H948" s="1">
        <v>295903</v>
      </c>
      <c r="I948">
        <v>31781</v>
      </c>
      <c r="J948" t="s">
        <v>54</v>
      </c>
      <c r="K948" t="s">
        <v>29</v>
      </c>
      <c r="L948" t="s">
        <v>49</v>
      </c>
      <c r="M948" t="s">
        <v>22</v>
      </c>
      <c r="N948" s="5">
        <f>Table4[[#This Row],[BudgetAmount]]/Table4[[#This Row],[Variance]]</f>
        <v>8.310688776312892</v>
      </c>
      <c r="O948" s="5" t="str">
        <f>TEXT(Table4[[#This Row],[Date]],"mmm")</f>
        <v>Jan</v>
      </c>
      <c r="P948" s="5">
        <f>ABS(Table4[[#This Row],[Variance]])</f>
        <v>31781</v>
      </c>
      <c r="Q948" s="5" t="str">
        <f>IF(Table4[[#This Row],[AB Variances ]]&gt;$P$2,"Anomaly","Normal")</f>
        <v>Anomaly</v>
      </c>
      <c r="R948" s="5">
        <f>SUMIFS(Table4[BudgetAmount],Table4[ActualExpense],"pending")</f>
        <v>0</v>
      </c>
    </row>
    <row r="949" spans="1:18">
      <c r="A949" t="s">
        <v>1589</v>
      </c>
      <c r="B949" t="s">
        <v>1439</v>
      </c>
      <c r="C949" t="s">
        <v>35</v>
      </c>
      <c r="D949" t="s">
        <v>61</v>
      </c>
      <c r="E949" t="s">
        <v>27</v>
      </c>
      <c r="F949" t="s">
        <v>28</v>
      </c>
      <c r="G949" s="2">
        <v>431534</v>
      </c>
      <c r="H949" s="1">
        <v>367368</v>
      </c>
      <c r="I949">
        <v>-64166</v>
      </c>
      <c r="J949" t="s">
        <v>19</v>
      </c>
      <c r="K949" t="s">
        <v>48</v>
      </c>
      <c r="L949" t="s">
        <v>30</v>
      </c>
      <c r="M949" t="s">
        <v>42</v>
      </c>
      <c r="N949" s="5">
        <f>Table4[[#This Row],[BudgetAmount]]/Table4[[#This Row],[Variance]]</f>
        <v>-6.7252750677929125</v>
      </c>
      <c r="O949" s="5" t="str">
        <f>TEXT(Table4[[#This Row],[Date]],"mmm")</f>
        <v>Aug</v>
      </c>
      <c r="P949" s="5">
        <f>ABS(Table4[[#This Row],[Variance]])</f>
        <v>64166</v>
      </c>
      <c r="Q949" s="5" t="str">
        <f>IF(Table4[[#This Row],[AB Variances ]]&gt;$P$2,"Anomaly","Normal")</f>
        <v>Anomaly</v>
      </c>
      <c r="R949" s="5">
        <f>SUMIFS(Table4[BudgetAmount],Table4[ActualExpense],"pending")</f>
        <v>0</v>
      </c>
    </row>
    <row r="950" spans="1:18">
      <c r="A950" t="s">
        <v>1590</v>
      </c>
      <c r="B950" t="s">
        <v>1591</v>
      </c>
      <c r="C950" t="s">
        <v>45</v>
      </c>
      <c r="D950" t="s">
        <v>34</v>
      </c>
      <c r="E950" t="s">
        <v>27</v>
      </c>
      <c r="F950" t="s">
        <v>28</v>
      </c>
      <c r="G950" s="2">
        <v>407493</v>
      </c>
      <c r="H950" s="1">
        <v>481080</v>
      </c>
      <c r="I950">
        <v>73587</v>
      </c>
      <c r="J950" t="s">
        <v>54</v>
      </c>
      <c r="K950" t="s">
        <v>48</v>
      </c>
      <c r="L950" t="s">
        <v>49</v>
      </c>
      <c r="M950" t="s">
        <v>22</v>
      </c>
      <c r="N950" s="5">
        <f>Table4[[#This Row],[BudgetAmount]]/Table4[[#This Row],[Variance]]</f>
        <v>5.5375677769171183</v>
      </c>
      <c r="O950" s="5" t="str">
        <f>TEXT(Table4[[#This Row],[Date]],"mmm")</f>
        <v>Oct</v>
      </c>
      <c r="P950" s="5">
        <f>ABS(Table4[[#This Row],[Variance]])</f>
        <v>73587</v>
      </c>
      <c r="Q950" s="5" t="str">
        <f>IF(Table4[[#This Row],[AB Variances ]]&gt;$P$2,"Anomaly","Normal")</f>
        <v>Anomaly</v>
      </c>
      <c r="R950" s="5">
        <f>SUMIFS(Table4[BudgetAmount],Table4[ActualExpense],"pending")</f>
        <v>0</v>
      </c>
    </row>
    <row r="951" spans="1:18">
      <c r="A951" t="s">
        <v>1592</v>
      </c>
      <c r="B951" t="s">
        <v>528</v>
      </c>
      <c r="C951" t="s">
        <v>33</v>
      </c>
      <c r="D951" t="s">
        <v>61</v>
      </c>
      <c r="E951" t="s">
        <v>17</v>
      </c>
      <c r="F951" t="s">
        <v>18</v>
      </c>
      <c r="G951" s="2">
        <v>487815</v>
      </c>
      <c r="H951" s="1">
        <v>677220</v>
      </c>
      <c r="I951">
        <v>189405</v>
      </c>
      <c r="J951" t="s">
        <v>37</v>
      </c>
      <c r="K951" t="s">
        <v>20</v>
      </c>
      <c r="L951" t="s">
        <v>21</v>
      </c>
      <c r="M951" t="s">
        <v>22</v>
      </c>
      <c r="N951" s="5">
        <f>Table4[[#This Row],[BudgetAmount]]/Table4[[#This Row],[Variance]]</f>
        <v>2.575512790053061</v>
      </c>
      <c r="O951" s="5" t="str">
        <f>TEXT(Table4[[#This Row],[Date]],"mmm")</f>
        <v>Feb</v>
      </c>
      <c r="P951" s="5">
        <f>ABS(Table4[[#This Row],[Variance]])</f>
        <v>189405</v>
      </c>
      <c r="Q951" s="5" t="str">
        <f>IF(Table4[[#This Row],[AB Variances ]]&gt;$P$2,"Anomaly","Normal")</f>
        <v>Anomaly</v>
      </c>
      <c r="R951" s="5">
        <f>SUMIFS(Table4[BudgetAmount],Table4[ActualExpense],"pending")</f>
        <v>0</v>
      </c>
    </row>
    <row r="952" spans="1:18">
      <c r="A952" t="s">
        <v>1593</v>
      </c>
      <c r="B952" t="s">
        <v>646</v>
      </c>
      <c r="C952" t="s">
        <v>25</v>
      </c>
      <c r="D952" t="s">
        <v>61</v>
      </c>
      <c r="E952" t="s">
        <v>71</v>
      </c>
      <c r="F952" t="s">
        <v>72</v>
      </c>
      <c r="G952" s="2">
        <v>180338</v>
      </c>
      <c r="H952" s="1">
        <v>246905</v>
      </c>
      <c r="I952">
        <v>66567</v>
      </c>
      <c r="J952" t="s">
        <v>54</v>
      </c>
      <c r="K952" t="s">
        <v>41</v>
      </c>
      <c r="L952" t="s">
        <v>21</v>
      </c>
      <c r="M952" t="s">
        <v>42</v>
      </c>
      <c r="N952" s="5">
        <f>Table4[[#This Row],[BudgetAmount]]/Table4[[#This Row],[Variance]]</f>
        <v>2.7091201346012288</v>
      </c>
      <c r="O952" s="5" t="str">
        <f>TEXT(Table4[[#This Row],[Date]],"mmm")</f>
        <v>Nov</v>
      </c>
      <c r="P952" s="5">
        <f>ABS(Table4[[#This Row],[Variance]])</f>
        <v>66567</v>
      </c>
      <c r="Q952" s="5" t="str">
        <f>IF(Table4[[#This Row],[AB Variances ]]&gt;$P$2,"Anomaly","Normal")</f>
        <v>Anomaly</v>
      </c>
      <c r="R952" s="5">
        <f>SUMIFS(Table4[BudgetAmount],Table4[ActualExpense],"pending")</f>
        <v>0</v>
      </c>
    </row>
    <row r="953" spans="1:18">
      <c r="A953" t="s">
        <v>1594</v>
      </c>
      <c r="B953" t="s">
        <v>859</v>
      </c>
      <c r="C953" t="s">
        <v>45</v>
      </c>
      <c r="D953" t="s">
        <v>34</v>
      </c>
      <c r="E953" t="s">
        <v>46</v>
      </c>
      <c r="F953" t="s">
        <v>47</v>
      </c>
      <c r="G953" s="2">
        <v>312047</v>
      </c>
      <c r="H953" s="1">
        <v>270844</v>
      </c>
      <c r="I953">
        <v>-41203</v>
      </c>
      <c r="J953" t="s">
        <v>54</v>
      </c>
      <c r="K953" t="s">
        <v>29</v>
      </c>
      <c r="L953" t="s">
        <v>68</v>
      </c>
      <c r="M953" t="s">
        <v>42</v>
      </c>
      <c r="N953" s="5">
        <f>Table4[[#This Row],[BudgetAmount]]/Table4[[#This Row],[Variance]]</f>
        <v>-7.5734048491614692</v>
      </c>
      <c r="O953" s="5" t="str">
        <f>TEXT(Table4[[#This Row],[Date]],"mmm")</f>
        <v>Apr</v>
      </c>
      <c r="P953" s="5">
        <f>ABS(Table4[[#This Row],[Variance]])</f>
        <v>41203</v>
      </c>
      <c r="Q953" s="5" t="str">
        <f>IF(Table4[[#This Row],[AB Variances ]]&gt;$P$2,"Anomaly","Normal")</f>
        <v>Anomaly</v>
      </c>
      <c r="R953" s="5">
        <f>SUMIFS(Table4[BudgetAmount],Table4[ActualExpense],"pending")</f>
        <v>0</v>
      </c>
    </row>
    <row r="954" spans="1:18">
      <c r="A954" t="s">
        <v>1595</v>
      </c>
      <c r="B954" t="s">
        <v>1596</v>
      </c>
      <c r="C954" t="s">
        <v>33</v>
      </c>
      <c r="D954" t="s">
        <v>40</v>
      </c>
      <c r="E954" t="s">
        <v>46</v>
      </c>
      <c r="F954" t="s">
        <v>47</v>
      </c>
      <c r="G954" s="2">
        <v>155117</v>
      </c>
      <c r="H954" s="1">
        <v>127788</v>
      </c>
      <c r="I954">
        <v>-27329</v>
      </c>
      <c r="J954" t="s">
        <v>19</v>
      </c>
      <c r="K954" t="s">
        <v>67</v>
      </c>
      <c r="L954" t="s">
        <v>68</v>
      </c>
      <c r="M954" t="s">
        <v>42</v>
      </c>
      <c r="N954" s="5">
        <f>Table4[[#This Row],[BudgetAmount]]/Table4[[#This Row],[Variance]]</f>
        <v>-5.6759120348347905</v>
      </c>
      <c r="O954" s="5" t="str">
        <f>TEXT(Table4[[#This Row],[Date]],"mmm")</f>
        <v>May</v>
      </c>
      <c r="P954" s="5">
        <f>ABS(Table4[[#This Row],[Variance]])</f>
        <v>27329</v>
      </c>
      <c r="Q954" s="5" t="str">
        <f>IF(Table4[[#This Row],[AB Variances ]]&gt;$P$2,"Anomaly","Normal")</f>
        <v>Anomaly</v>
      </c>
      <c r="R954" s="5">
        <f>SUMIFS(Table4[BudgetAmount],Table4[ActualExpense],"pending")</f>
        <v>0</v>
      </c>
    </row>
    <row r="955" spans="1:18">
      <c r="A955" t="s">
        <v>1597</v>
      </c>
      <c r="B955" t="s">
        <v>1598</v>
      </c>
      <c r="C955" t="s">
        <v>64</v>
      </c>
      <c r="D955" t="s">
        <v>34</v>
      </c>
      <c r="E955" t="s">
        <v>46</v>
      </c>
      <c r="F955" t="s">
        <v>47</v>
      </c>
      <c r="G955" s="2">
        <v>480619</v>
      </c>
      <c r="H955" s="1">
        <v>369428</v>
      </c>
      <c r="I955">
        <v>-111191</v>
      </c>
      <c r="J955" t="s">
        <v>54</v>
      </c>
      <c r="K955" t="s">
        <v>29</v>
      </c>
      <c r="L955" t="s">
        <v>21</v>
      </c>
      <c r="M955" t="s">
        <v>22</v>
      </c>
      <c r="N955" s="5">
        <f>Table4[[#This Row],[BudgetAmount]]/Table4[[#This Row],[Variance]]</f>
        <v>-4.3224631489958716</v>
      </c>
      <c r="O955" s="5" t="str">
        <f>TEXT(Table4[[#This Row],[Date]],"mmm")</f>
        <v>May</v>
      </c>
      <c r="P955" s="5">
        <f>ABS(Table4[[#This Row],[Variance]])</f>
        <v>111191</v>
      </c>
      <c r="Q955" s="5" t="str">
        <f>IF(Table4[[#This Row],[AB Variances ]]&gt;$P$2,"Anomaly","Normal")</f>
        <v>Anomaly</v>
      </c>
      <c r="R955" s="5">
        <f>SUMIFS(Table4[BudgetAmount],Table4[ActualExpense],"pending")</f>
        <v>0</v>
      </c>
    </row>
    <row r="956" spans="1:18">
      <c r="A956" t="s">
        <v>1599</v>
      </c>
      <c r="B956" t="s">
        <v>1600</v>
      </c>
      <c r="C956" t="s">
        <v>33</v>
      </c>
      <c r="D956" t="s">
        <v>61</v>
      </c>
      <c r="E956" t="s">
        <v>27</v>
      </c>
      <c r="F956" t="s">
        <v>28</v>
      </c>
      <c r="G956" s="2">
        <v>308045</v>
      </c>
      <c r="H956" s="1">
        <v>235839</v>
      </c>
      <c r="I956">
        <v>-72206</v>
      </c>
      <c r="J956" t="s">
        <v>19</v>
      </c>
      <c r="K956" t="s">
        <v>41</v>
      </c>
      <c r="L956" t="s">
        <v>49</v>
      </c>
      <c r="M956" t="s">
        <v>22</v>
      </c>
      <c r="N956" s="5">
        <f>Table4[[#This Row],[BudgetAmount]]/Table4[[#This Row],[Variance]]</f>
        <v>-4.266196714954436</v>
      </c>
      <c r="O956" s="5" t="str">
        <f>TEXT(Table4[[#This Row],[Date]],"mmm")</f>
        <v>Dec</v>
      </c>
      <c r="P956" s="5">
        <f>ABS(Table4[[#This Row],[Variance]])</f>
        <v>72206</v>
      </c>
      <c r="Q956" s="5" t="str">
        <f>IF(Table4[[#This Row],[AB Variances ]]&gt;$P$2,"Anomaly","Normal")</f>
        <v>Anomaly</v>
      </c>
      <c r="R956" s="5">
        <f>SUMIFS(Table4[BudgetAmount],Table4[ActualExpense],"pending")</f>
        <v>0</v>
      </c>
    </row>
    <row r="957" spans="1:18">
      <c r="A957" t="s">
        <v>1601</v>
      </c>
      <c r="B957" t="s">
        <v>1463</v>
      </c>
      <c r="C957" t="s">
        <v>64</v>
      </c>
      <c r="D957" t="s">
        <v>26</v>
      </c>
      <c r="E957" t="s">
        <v>71</v>
      </c>
      <c r="F957" t="s">
        <v>72</v>
      </c>
      <c r="G957" s="2">
        <v>398659</v>
      </c>
      <c r="H957" s="1">
        <v>301074</v>
      </c>
      <c r="I957">
        <v>-97585</v>
      </c>
      <c r="J957" t="s">
        <v>54</v>
      </c>
      <c r="K957" t="s">
        <v>67</v>
      </c>
      <c r="L957" t="s">
        <v>49</v>
      </c>
      <c r="M957" t="s">
        <v>42</v>
      </c>
      <c r="N957" s="5">
        <f>Table4[[#This Row],[BudgetAmount]]/Table4[[#This Row],[Variance]]</f>
        <v>-4.0852487574934671</v>
      </c>
      <c r="O957" s="5" t="str">
        <f>TEXT(Table4[[#This Row],[Date]],"mmm")</f>
        <v>Aug</v>
      </c>
      <c r="P957" s="5">
        <f>ABS(Table4[[#This Row],[Variance]])</f>
        <v>97585</v>
      </c>
      <c r="Q957" s="5" t="str">
        <f>IF(Table4[[#This Row],[AB Variances ]]&gt;$P$2,"Anomaly","Normal")</f>
        <v>Anomaly</v>
      </c>
      <c r="R957" s="5">
        <f>SUMIFS(Table4[BudgetAmount],Table4[ActualExpense],"pending")</f>
        <v>0</v>
      </c>
    </row>
    <row r="958" spans="1:18">
      <c r="A958" t="s">
        <v>1602</v>
      </c>
      <c r="B958" t="s">
        <v>1526</v>
      </c>
      <c r="C958" t="s">
        <v>15</v>
      </c>
      <c r="D958" t="s">
        <v>26</v>
      </c>
      <c r="E958" t="s">
        <v>35</v>
      </c>
      <c r="F958" t="s">
        <v>36</v>
      </c>
      <c r="G958" s="2">
        <v>104223</v>
      </c>
      <c r="H958" s="1">
        <v>122275</v>
      </c>
      <c r="I958">
        <v>18052</v>
      </c>
      <c r="J958" t="s">
        <v>37</v>
      </c>
      <c r="K958" t="s">
        <v>20</v>
      </c>
      <c r="L958" t="s">
        <v>21</v>
      </c>
      <c r="M958" t="s">
        <v>22</v>
      </c>
      <c r="N958" s="5">
        <f>Table4[[#This Row],[BudgetAmount]]/Table4[[#This Row],[Variance]]</f>
        <v>5.7734877021936626</v>
      </c>
      <c r="O958" s="5" t="str">
        <f>TEXT(Table4[[#This Row],[Date]],"mmm")</f>
        <v>Jun</v>
      </c>
      <c r="P958" s="5">
        <f>ABS(Table4[[#This Row],[Variance]])</f>
        <v>18052</v>
      </c>
      <c r="Q958" s="5" t="str">
        <f>IF(Table4[[#This Row],[AB Variances ]]&gt;$P$2,"Anomaly","Normal")</f>
        <v>Anomaly</v>
      </c>
      <c r="R958" s="5">
        <f>SUMIFS(Table4[BudgetAmount],Table4[ActualExpense],"pending")</f>
        <v>0</v>
      </c>
    </row>
    <row r="959" spans="1:18">
      <c r="A959" t="s">
        <v>1603</v>
      </c>
      <c r="B959" t="s">
        <v>225</v>
      </c>
      <c r="C959" t="s">
        <v>45</v>
      </c>
      <c r="D959" t="s">
        <v>16</v>
      </c>
      <c r="E959" t="s">
        <v>17</v>
      </c>
      <c r="F959" t="s">
        <v>18</v>
      </c>
      <c r="G959" s="2">
        <v>470188</v>
      </c>
      <c r="H959" s="1">
        <v>384195</v>
      </c>
      <c r="I959">
        <v>-85993</v>
      </c>
      <c r="J959" t="s">
        <v>54</v>
      </c>
      <c r="K959" t="s">
        <v>29</v>
      </c>
      <c r="L959" t="s">
        <v>68</v>
      </c>
      <c r="M959" t="s">
        <v>42</v>
      </c>
      <c r="N959" s="5">
        <f>Table4[[#This Row],[BudgetAmount]]/Table4[[#This Row],[Variance]]</f>
        <v>-5.4677473747863194</v>
      </c>
      <c r="O959" s="5" t="str">
        <f>TEXT(Table4[[#This Row],[Date]],"mmm")</f>
        <v>Nov</v>
      </c>
      <c r="P959" s="5">
        <f>ABS(Table4[[#This Row],[Variance]])</f>
        <v>85993</v>
      </c>
      <c r="Q959" s="5" t="str">
        <f>IF(Table4[[#This Row],[AB Variances ]]&gt;$P$2,"Anomaly","Normal")</f>
        <v>Anomaly</v>
      </c>
      <c r="R959" s="5">
        <f>SUMIFS(Table4[BudgetAmount],Table4[ActualExpense],"pending")</f>
        <v>0</v>
      </c>
    </row>
    <row r="960" spans="1:18">
      <c r="A960" t="s">
        <v>1604</v>
      </c>
      <c r="B960" t="s">
        <v>1368</v>
      </c>
      <c r="C960" t="s">
        <v>25</v>
      </c>
      <c r="D960" t="s">
        <v>34</v>
      </c>
      <c r="E960" t="s">
        <v>35</v>
      </c>
      <c r="F960" t="s">
        <v>36</v>
      </c>
      <c r="G960" s="2">
        <v>326593</v>
      </c>
      <c r="H960" s="1">
        <v>304694</v>
      </c>
      <c r="I960">
        <v>-21899</v>
      </c>
      <c r="J960" t="s">
        <v>19</v>
      </c>
      <c r="K960" t="s">
        <v>20</v>
      </c>
      <c r="L960" t="s">
        <v>68</v>
      </c>
      <c r="M960" t="s">
        <v>22</v>
      </c>
      <c r="N960" s="5">
        <f>Table4[[#This Row],[BudgetAmount]]/Table4[[#This Row],[Variance]]</f>
        <v>-14.913603360884059</v>
      </c>
      <c r="O960" s="5" t="str">
        <f>TEXT(Table4[[#This Row],[Date]],"mmm")</f>
        <v>Feb</v>
      </c>
      <c r="P960" s="5">
        <f>ABS(Table4[[#This Row],[Variance]])</f>
        <v>21899</v>
      </c>
      <c r="Q960" s="5" t="str">
        <f>IF(Table4[[#This Row],[AB Variances ]]&gt;$P$2,"Anomaly","Normal")</f>
        <v>Anomaly</v>
      </c>
      <c r="R960" s="5">
        <f>SUMIFS(Table4[BudgetAmount],Table4[ActualExpense],"pending")</f>
        <v>0</v>
      </c>
    </row>
    <row r="961" spans="1:18">
      <c r="A961" t="s">
        <v>1605</v>
      </c>
      <c r="B961" t="s">
        <v>314</v>
      </c>
      <c r="C961" t="s">
        <v>33</v>
      </c>
      <c r="D961" t="s">
        <v>26</v>
      </c>
      <c r="E961" t="s">
        <v>17</v>
      </c>
      <c r="F961" t="s">
        <v>18</v>
      </c>
      <c r="G961" s="2">
        <v>365398</v>
      </c>
      <c r="H961" s="1">
        <v>408265</v>
      </c>
      <c r="I961">
        <v>42867</v>
      </c>
      <c r="J961" t="s">
        <v>37</v>
      </c>
      <c r="K961" t="s">
        <v>41</v>
      </c>
      <c r="L961" t="s">
        <v>21</v>
      </c>
      <c r="M961" t="s">
        <v>42</v>
      </c>
      <c r="N961" s="5">
        <f>Table4[[#This Row],[BudgetAmount]]/Table4[[#This Row],[Variance]]</f>
        <v>8.5239928149858866</v>
      </c>
      <c r="O961" s="5" t="str">
        <f>TEXT(Table4[[#This Row],[Date]],"mmm")</f>
        <v>Mar</v>
      </c>
      <c r="P961" s="5">
        <f>ABS(Table4[[#This Row],[Variance]])</f>
        <v>42867</v>
      </c>
      <c r="Q961" s="5" t="str">
        <f>IF(Table4[[#This Row],[AB Variances ]]&gt;$P$2,"Anomaly","Normal")</f>
        <v>Anomaly</v>
      </c>
      <c r="R961" s="5">
        <f>SUMIFS(Table4[BudgetAmount],Table4[ActualExpense],"pending")</f>
        <v>0</v>
      </c>
    </row>
    <row r="962" spans="1:18">
      <c r="A962" t="s">
        <v>1606</v>
      </c>
      <c r="B962" t="s">
        <v>750</v>
      </c>
      <c r="C962" t="s">
        <v>15</v>
      </c>
      <c r="D962" t="s">
        <v>40</v>
      </c>
      <c r="E962" t="s">
        <v>17</v>
      </c>
      <c r="F962" t="s">
        <v>18</v>
      </c>
      <c r="G962" s="2">
        <v>195334</v>
      </c>
      <c r="H962" s="1">
        <v>165019</v>
      </c>
      <c r="I962">
        <v>-30315</v>
      </c>
      <c r="J962" t="s">
        <v>54</v>
      </c>
      <c r="K962" t="s">
        <v>20</v>
      </c>
      <c r="L962" t="s">
        <v>21</v>
      </c>
      <c r="M962" t="s">
        <v>42</v>
      </c>
      <c r="N962" s="5">
        <f>Table4[[#This Row],[BudgetAmount]]/Table4[[#This Row],[Variance]]</f>
        <v>-6.4434768266534723</v>
      </c>
      <c r="O962" s="5" t="str">
        <f>TEXT(Table4[[#This Row],[Date]],"mmm")</f>
        <v>Sep</v>
      </c>
      <c r="P962" s="5">
        <f>ABS(Table4[[#This Row],[Variance]])</f>
        <v>30315</v>
      </c>
      <c r="Q962" s="5" t="str">
        <f>IF(Table4[[#This Row],[AB Variances ]]&gt;$P$2,"Anomaly","Normal")</f>
        <v>Anomaly</v>
      </c>
      <c r="R962" s="5">
        <f>SUMIFS(Table4[BudgetAmount],Table4[ActualExpense],"pending")</f>
        <v>0</v>
      </c>
    </row>
    <row r="963" spans="1:18">
      <c r="A963" t="s">
        <v>1607</v>
      </c>
      <c r="B963" t="s">
        <v>333</v>
      </c>
      <c r="C963" t="s">
        <v>33</v>
      </c>
      <c r="D963" t="s">
        <v>61</v>
      </c>
      <c r="E963" t="s">
        <v>17</v>
      </c>
      <c r="F963" t="s">
        <v>18</v>
      </c>
      <c r="G963" s="2">
        <v>147714</v>
      </c>
      <c r="H963" s="1">
        <v>158806</v>
      </c>
      <c r="I963">
        <v>11092</v>
      </c>
      <c r="J963" t="s">
        <v>54</v>
      </c>
      <c r="K963" t="s">
        <v>67</v>
      </c>
      <c r="L963" t="s">
        <v>21</v>
      </c>
      <c r="M963" t="s">
        <v>42</v>
      </c>
      <c r="N963" s="5">
        <f>Table4[[#This Row],[BudgetAmount]]/Table4[[#This Row],[Variance]]</f>
        <v>13.317165524702489</v>
      </c>
      <c r="O963" s="5" t="str">
        <f>TEXT(Table4[[#This Row],[Date]],"mmm")</f>
        <v>Oct</v>
      </c>
      <c r="P963" s="5">
        <f>ABS(Table4[[#This Row],[Variance]])</f>
        <v>11092</v>
      </c>
      <c r="Q963" s="5" t="str">
        <f>IF(Table4[[#This Row],[AB Variances ]]&gt;$P$2,"Anomaly","Normal")</f>
        <v>Normal</v>
      </c>
      <c r="R963" s="5">
        <f>SUMIFS(Table4[BudgetAmount],Table4[ActualExpense],"pending")</f>
        <v>0</v>
      </c>
    </row>
    <row r="964" spans="1:18">
      <c r="A964" t="s">
        <v>1608</v>
      </c>
      <c r="B964" t="s">
        <v>308</v>
      </c>
      <c r="C964" t="s">
        <v>64</v>
      </c>
      <c r="D964" t="s">
        <v>16</v>
      </c>
      <c r="E964" t="s">
        <v>85</v>
      </c>
      <c r="F964" t="s">
        <v>86</v>
      </c>
      <c r="G964" s="2">
        <v>148598</v>
      </c>
      <c r="H964" s="1">
        <v>147257</v>
      </c>
      <c r="I964">
        <v>-1341</v>
      </c>
      <c r="J964" t="s">
        <v>54</v>
      </c>
      <c r="K964" t="s">
        <v>67</v>
      </c>
      <c r="L964" t="s">
        <v>68</v>
      </c>
      <c r="M964" t="s">
        <v>42</v>
      </c>
      <c r="N964" s="5">
        <f>Table4[[#This Row],[BudgetAmount]]/Table4[[#This Row],[Variance]]</f>
        <v>-110.81133482475764</v>
      </c>
      <c r="O964" s="5" t="str">
        <f>TEXT(Table4[[#This Row],[Date]],"mmm")</f>
        <v>Jun</v>
      </c>
      <c r="P964" s="5">
        <f>ABS(Table4[[#This Row],[Variance]])</f>
        <v>1341</v>
      </c>
      <c r="Q964" s="5" t="str">
        <f>IF(Table4[[#This Row],[AB Variances ]]&gt;$P$2,"Anomaly","Normal")</f>
        <v>Normal</v>
      </c>
      <c r="R964" s="5">
        <f>SUMIFS(Table4[BudgetAmount],Table4[ActualExpense],"pending")</f>
        <v>0</v>
      </c>
    </row>
    <row r="965" spans="1:18">
      <c r="A965" t="s">
        <v>1609</v>
      </c>
      <c r="B965" t="s">
        <v>1286</v>
      </c>
      <c r="C965" t="s">
        <v>45</v>
      </c>
      <c r="D965" t="s">
        <v>34</v>
      </c>
      <c r="E965" t="s">
        <v>46</v>
      </c>
      <c r="F965" t="s">
        <v>47</v>
      </c>
      <c r="G965" s="2">
        <v>480087</v>
      </c>
      <c r="H965" s="1">
        <v>557731</v>
      </c>
      <c r="I965">
        <v>77644</v>
      </c>
      <c r="J965" t="s">
        <v>37</v>
      </c>
      <c r="K965" t="s">
        <v>20</v>
      </c>
      <c r="L965" t="s">
        <v>68</v>
      </c>
      <c r="M965" t="s">
        <v>22</v>
      </c>
      <c r="N965" s="5">
        <f>Table4[[#This Row],[BudgetAmount]]/Table4[[#This Row],[Variance]]</f>
        <v>6.1831822162691257</v>
      </c>
      <c r="O965" s="5" t="str">
        <f>TEXT(Table4[[#This Row],[Date]],"mmm")</f>
        <v>Nov</v>
      </c>
      <c r="P965" s="5">
        <f>ABS(Table4[[#This Row],[Variance]])</f>
        <v>77644</v>
      </c>
      <c r="Q965" s="5" t="str">
        <f>IF(Table4[[#This Row],[AB Variances ]]&gt;$P$2,"Anomaly","Normal")</f>
        <v>Anomaly</v>
      </c>
      <c r="R965" s="5">
        <f>SUMIFS(Table4[BudgetAmount],Table4[ActualExpense],"pending")</f>
        <v>0</v>
      </c>
    </row>
    <row r="966" spans="1:18">
      <c r="A966" t="s">
        <v>1610</v>
      </c>
      <c r="B966" t="s">
        <v>1611</v>
      </c>
      <c r="C966" t="s">
        <v>33</v>
      </c>
      <c r="D966" t="s">
        <v>26</v>
      </c>
      <c r="E966" t="s">
        <v>71</v>
      </c>
      <c r="F966" t="s">
        <v>72</v>
      </c>
      <c r="G966" s="2">
        <v>305840</v>
      </c>
      <c r="H966" s="1">
        <v>331170</v>
      </c>
      <c r="I966">
        <v>25330</v>
      </c>
      <c r="J966" t="s">
        <v>19</v>
      </c>
      <c r="K966" t="s">
        <v>48</v>
      </c>
      <c r="L966" t="s">
        <v>30</v>
      </c>
      <c r="M966" t="s">
        <v>42</v>
      </c>
      <c r="N966" s="5">
        <f>Table4[[#This Row],[BudgetAmount]]/Table4[[#This Row],[Variance]]</f>
        <v>12.074220292143703</v>
      </c>
      <c r="O966" s="5" t="str">
        <f>TEXT(Table4[[#This Row],[Date]],"mmm")</f>
        <v>Aug</v>
      </c>
      <c r="P966" s="5">
        <f>ABS(Table4[[#This Row],[Variance]])</f>
        <v>25330</v>
      </c>
      <c r="Q966" s="5" t="str">
        <f>IF(Table4[[#This Row],[AB Variances ]]&gt;$P$2,"Anomaly","Normal")</f>
        <v>Anomaly</v>
      </c>
      <c r="R966" s="5">
        <f>SUMIFS(Table4[BudgetAmount],Table4[ActualExpense],"pending")</f>
        <v>0</v>
      </c>
    </row>
    <row r="967" spans="1:18">
      <c r="A967" t="s">
        <v>1612</v>
      </c>
      <c r="B967" t="s">
        <v>1305</v>
      </c>
      <c r="C967" t="s">
        <v>25</v>
      </c>
      <c r="D967" t="s">
        <v>40</v>
      </c>
      <c r="E967" t="s">
        <v>27</v>
      </c>
      <c r="F967" t="s">
        <v>28</v>
      </c>
      <c r="G967" s="2">
        <v>222393</v>
      </c>
      <c r="H967" s="1">
        <v>162999</v>
      </c>
      <c r="I967">
        <v>-59394</v>
      </c>
      <c r="J967" t="s">
        <v>19</v>
      </c>
      <c r="K967" t="s">
        <v>48</v>
      </c>
      <c r="L967" t="s">
        <v>68</v>
      </c>
      <c r="M967" t="s">
        <v>42</v>
      </c>
      <c r="N967" s="5">
        <f>Table4[[#This Row],[BudgetAmount]]/Table4[[#This Row],[Variance]]</f>
        <v>-3.7443681179917165</v>
      </c>
      <c r="O967" s="5" t="str">
        <f>TEXT(Table4[[#This Row],[Date]],"mmm")</f>
        <v>Oct</v>
      </c>
      <c r="P967" s="5">
        <f>ABS(Table4[[#This Row],[Variance]])</f>
        <v>59394</v>
      </c>
      <c r="Q967" s="5" t="str">
        <f>IF(Table4[[#This Row],[AB Variances ]]&gt;$P$2,"Anomaly","Normal")</f>
        <v>Anomaly</v>
      </c>
      <c r="R967" s="5">
        <f>SUMIFS(Table4[BudgetAmount],Table4[ActualExpense],"pending")</f>
        <v>0</v>
      </c>
    </row>
    <row r="968" spans="1:18">
      <c r="A968" t="s">
        <v>1613</v>
      </c>
      <c r="B968" t="s">
        <v>124</v>
      </c>
      <c r="C968" t="s">
        <v>45</v>
      </c>
      <c r="D968" t="s">
        <v>34</v>
      </c>
      <c r="E968" t="s">
        <v>27</v>
      </c>
      <c r="F968" t="s">
        <v>28</v>
      </c>
      <c r="G968" s="2">
        <v>109043</v>
      </c>
      <c r="H968" s="1">
        <v>79893</v>
      </c>
      <c r="I968">
        <v>-29150</v>
      </c>
      <c r="J968" t="s">
        <v>54</v>
      </c>
      <c r="K968" t="s">
        <v>67</v>
      </c>
      <c r="L968" t="s">
        <v>49</v>
      </c>
      <c r="M968" t="s">
        <v>22</v>
      </c>
      <c r="N968" s="5">
        <f>Table4[[#This Row],[BudgetAmount]]/Table4[[#This Row],[Variance]]</f>
        <v>-3.7407547169811322</v>
      </c>
      <c r="O968" s="5" t="str">
        <f>TEXT(Table4[[#This Row],[Date]],"mmm")</f>
        <v>Sep</v>
      </c>
      <c r="P968" s="5">
        <f>ABS(Table4[[#This Row],[Variance]])</f>
        <v>29150</v>
      </c>
      <c r="Q968" s="5" t="str">
        <f>IF(Table4[[#This Row],[AB Variances ]]&gt;$P$2,"Anomaly","Normal")</f>
        <v>Anomaly</v>
      </c>
      <c r="R968" s="5">
        <f>SUMIFS(Table4[BudgetAmount],Table4[ActualExpense],"pending")</f>
        <v>0</v>
      </c>
    </row>
    <row r="969" spans="1:18">
      <c r="A969" t="s">
        <v>1614</v>
      </c>
      <c r="B969" t="s">
        <v>146</v>
      </c>
      <c r="C969" t="s">
        <v>33</v>
      </c>
      <c r="D969" t="s">
        <v>16</v>
      </c>
      <c r="E969" t="s">
        <v>85</v>
      </c>
      <c r="F969" t="s">
        <v>86</v>
      </c>
      <c r="G969" s="2">
        <v>480387</v>
      </c>
      <c r="H969" s="1">
        <v>417416</v>
      </c>
      <c r="I969">
        <v>-62971</v>
      </c>
      <c r="J969" t="s">
        <v>37</v>
      </c>
      <c r="K969" t="s">
        <v>41</v>
      </c>
      <c r="L969" t="s">
        <v>21</v>
      </c>
      <c r="M969" t="s">
        <v>42</v>
      </c>
      <c r="N969" s="5">
        <f>Table4[[#This Row],[BudgetAmount]]/Table4[[#This Row],[Variance]]</f>
        <v>-7.6287021009671117</v>
      </c>
      <c r="O969" s="5" t="str">
        <f>TEXT(Table4[[#This Row],[Date]],"mmm")</f>
        <v>Nov</v>
      </c>
      <c r="P969" s="5">
        <f>ABS(Table4[[#This Row],[Variance]])</f>
        <v>62971</v>
      </c>
      <c r="Q969" s="5" t="str">
        <f>IF(Table4[[#This Row],[AB Variances ]]&gt;$P$2,"Anomaly","Normal")</f>
        <v>Anomaly</v>
      </c>
      <c r="R969" s="5">
        <f>SUMIFS(Table4[BudgetAmount],Table4[ActualExpense],"pending")</f>
        <v>0</v>
      </c>
    </row>
    <row r="970" spans="1:18">
      <c r="A970" t="s">
        <v>1615</v>
      </c>
      <c r="B970" t="s">
        <v>1006</v>
      </c>
      <c r="C970" t="s">
        <v>45</v>
      </c>
      <c r="D970" t="s">
        <v>26</v>
      </c>
      <c r="E970" t="s">
        <v>27</v>
      </c>
      <c r="F970" t="s">
        <v>28</v>
      </c>
      <c r="G970" s="2">
        <v>273453</v>
      </c>
      <c r="H970" s="1">
        <v>224888</v>
      </c>
      <c r="I970">
        <v>-48565</v>
      </c>
      <c r="J970" t="s">
        <v>37</v>
      </c>
      <c r="K970" t="s">
        <v>20</v>
      </c>
      <c r="L970" t="s">
        <v>49</v>
      </c>
      <c r="M970" t="s">
        <v>42</v>
      </c>
      <c r="N970" s="5">
        <f>Table4[[#This Row],[BudgetAmount]]/Table4[[#This Row],[Variance]]</f>
        <v>-5.6306599402862147</v>
      </c>
      <c r="O970" s="5" t="str">
        <f>TEXT(Table4[[#This Row],[Date]],"mmm")</f>
        <v>Jan</v>
      </c>
      <c r="P970" s="5">
        <f>ABS(Table4[[#This Row],[Variance]])</f>
        <v>48565</v>
      </c>
      <c r="Q970" s="5" t="str">
        <f>IF(Table4[[#This Row],[AB Variances ]]&gt;$P$2,"Anomaly","Normal")</f>
        <v>Anomaly</v>
      </c>
      <c r="R970" s="5">
        <f>SUMIFS(Table4[BudgetAmount],Table4[ActualExpense],"pending")</f>
        <v>0</v>
      </c>
    </row>
    <row r="971" spans="1:18">
      <c r="A971" t="s">
        <v>1616</v>
      </c>
      <c r="B971" t="s">
        <v>508</v>
      </c>
      <c r="C971" t="s">
        <v>35</v>
      </c>
      <c r="D971" t="s">
        <v>26</v>
      </c>
      <c r="E971" t="s">
        <v>17</v>
      </c>
      <c r="F971" t="s">
        <v>18</v>
      </c>
      <c r="G971" s="2">
        <v>202075</v>
      </c>
      <c r="H971" s="1">
        <v>204505</v>
      </c>
      <c r="I971">
        <v>2430</v>
      </c>
      <c r="J971" t="s">
        <v>54</v>
      </c>
      <c r="K971" t="s">
        <v>20</v>
      </c>
      <c r="L971" t="s">
        <v>49</v>
      </c>
      <c r="M971" t="s">
        <v>22</v>
      </c>
      <c r="N971" s="5">
        <f>Table4[[#This Row],[BudgetAmount]]/Table4[[#This Row],[Variance]]</f>
        <v>83.158436213991763</v>
      </c>
      <c r="O971" s="5" t="str">
        <f>TEXT(Table4[[#This Row],[Date]],"mmm")</f>
        <v>Jan</v>
      </c>
      <c r="P971" s="5">
        <f>ABS(Table4[[#This Row],[Variance]])</f>
        <v>2430</v>
      </c>
      <c r="Q971" s="5" t="str">
        <f>IF(Table4[[#This Row],[AB Variances ]]&gt;$P$2,"Anomaly","Normal")</f>
        <v>Normal</v>
      </c>
      <c r="R971" s="5">
        <f>SUMIFS(Table4[BudgetAmount],Table4[ActualExpense],"pending")</f>
        <v>0</v>
      </c>
    </row>
    <row r="972" spans="1:18">
      <c r="A972" t="s">
        <v>1617</v>
      </c>
      <c r="B972" t="s">
        <v>877</v>
      </c>
      <c r="C972" t="s">
        <v>35</v>
      </c>
      <c r="D972" t="s">
        <v>34</v>
      </c>
      <c r="E972" t="s">
        <v>46</v>
      </c>
      <c r="F972" t="s">
        <v>47</v>
      </c>
      <c r="G972" s="2">
        <v>132613</v>
      </c>
      <c r="H972" s="1">
        <v>106425</v>
      </c>
      <c r="I972">
        <v>-26188</v>
      </c>
      <c r="J972" t="s">
        <v>37</v>
      </c>
      <c r="K972" t="s">
        <v>20</v>
      </c>
      <c r="L972" t="s">
        <v>49</v>
      </c>
      <c r="M972" t="s">
        <v>42</v>
      </c>
      <c r="N972" s="5">
        <f>Table4[[#This Row],[BudgetAmount]]/Table4[[#This Row],[Variance]]</f>
        <v>-5.0638842217809685</v>
      </c>
      <c r="O972" s="5" t="str">
        <f>TEXT(Table4[[#This Row],[Date]],"mmm")</f>
        <v>Jan</v>
      </c>
      <c r="P972" s="5">
        <f>ABS(Table4[[#This Row],[Variance]])</f>
        <v>26188</v>
      </c>
      <c r="Q972" s="5" t="str">
        <f>IF(Table4[[#This Row],[AB Variances ]]&gt;$P$2,"Anomaly","Normal")</f>
        <v>Anomaly</v>
      </c>
      <c r="R972" s="5">
        <f>SUMIFS(Table4[BudgetAmount],Table4[ActualExpense],"pending")</f>
        <v>0</v>
      </c>
    </row>
    <row r="973" spans="1:18">
      <c r="A973" t="s">
        <v>1618</v>
      </c>
      <c r="B973" t="s">
        <v>439</v>
      </c>
      <c r="C973" t="s">
        <v>15</v>
      </c>
      <c r="D973" t="s">
        <v>40</v>
      </c>
      <c r="E973" t="s">
        <v>17</v>
      </c>
      <c r="F973" t="s">
        <v>18</v>
      </c>
      <c r="G973" s="2">
        <v>303458</v>
      </c>
      <c r="H973" s="1">
        <v>222813</v>
      </c>
      <c r="I973">
        <v>-80645</v>
      </c>
      <c r="J973" t="s">
        <v>37</v>
      </c>
      <c r="K973" t="s">
        <v>29</v>
      </c>
      <c r="L973" t="s">
        <v>68</v>
      </c>
      <c r="M973" t="s">
        <v>42</v>
      </c>
      <c r="N973" s="5">
        <f>Table4[[#This Row],[BudgetAmount]]/Table4[[#This Row],[Variance]]</f>
        <v>-3.7628867257734515</v>
      </c>
      <c r="O973" s="5" t="str">
        <f>TEXT(Table4[[#This Row],[Date]],"mmm")</f>
        <v>Jun</v>
      </c>
      <c r="P973" s="5">
        <f>ABS(Table4[[#This Row],[Variance]])</f>
        <v>80645</v>
      </c>
      <c r="Q973" s="5" t="str">
        <f>IF(Table4[[#This Row],[AB Variances ]]&gt;$P$2,"Anomaly","Normal")</f>
        <v>Anomaly</v>
      </c>
      <c r="R973" s="5">
        <f>SUMIFS(Table4[BudgetAmount],Table4[ActualExpense],"pending")</f>
        <v>0</v>
      </c>
    </row>
    <row r="974" spans="1:18">
      <c r="A974" t="s">
        <v>1619</v>
      </c>
      <c r="B974" t="s">
        <v>845</v>
      </c>
      <c r="C974" t="s">
        <v>35</v>
      </c>
      <c r="D974" t="s">
        <v>61</v>
      </c>
      <c r="E974" t="s">
        <v>71</v>
      </c>
      <c r="F974" t="s">
        <v>72</v>
      </c>
      <c r="G974" s="2">
        <v>123332</v>
      </c>
      <c r="H974" s="1">
        <v>141728</v>
      </c>
      <c r="I974">
        <v>18396</v>
      </c>
      <c r="J974" t="s">
        <v>54</v>
      </c>
      <c r="K974" t="s">
        <v>41</v>
      </c>
      <c r="L974" t="s">
        <v>30</v>
      </c>
      <c r="M974" t="s">
        <v>22</v>
      </c>
      <c r="N974" s="5">
        <f>Table4[[#This Row],[BudgetAmount]]/Table4[[#This Row],[Variance]]</f>
        <v>6.7042835398999783</v>
      </c>
      <c r="O974" s="5" t="str">
        <f>TEXT(Table4[[#This Row],[Date]],"mmm")</f>
        <v>Mar</v>
      </c>
      <c r="P974" s="5">
        <f>ABS(Table4[[#This Row],[Variance]])</f>
        <v>18396</v>
      </c>
      <c r="Q974" s="5" t="str">
        <f>IF(Table4[[#This Row],[AB Variances ]]&gt;$P$2,"Anomaly","Normal")</f>
        <v>Anomaly</v>
      </c>
      <c r="R974" s="5">
        <f>SUMIFS(Table4[BudgetAmount],Table4[ActualExpense],"pending")</f>
        <v>0</v>
      </c>
    </row>
    <row r="975" spans="1:18">
      <c r="A975" t="s">
        <v>1620</v>
      </c>
      <c r="B975" t="s">
        <v>1111</v>
      </c>
      <c r="C975" t="s">
        <v>35</v>
      </c>
      <c r="D975" t="s">
        <v>16</v>
      </c>
      <c r="E975" t="s">
        <v>46</v>
      </c>
      <c r="F975" t="s">
        <v>47</v>
      </c>
      <c r="G975" s="2">
        <v>475266</v>
      </c>
      <c r="H975" s="1">
        <v>391037</v>
      </c>
      <c r="I975">
        <v>-84229</v>
      </c>
      <c r="J975" t="s">
        <v>19</v>
      </c>
      <c r="K975" t="s">
        <v>67</v>
      </c>
      <c r="L975" t="s">
        <v>49</v>
      </c>
      <c r="M975" t="s">
        <v>42</v>
      </c>
      <c r="N975" s="5">
        <f>Table4[[#This Row],[BudgetAmount]]/Table4[[#This Row],[Variance]]</f>
        <v>-5.6425459164895697</v>
      </c>
      <c r="O975" s="5" t="str">
        <f>TEXT(Table4[[#This Row],[Date]],"mmm")</f>
        <v>Jan</v>
      </c>
      <c r="P975" s="5">
        <f>ABS(Table4[[#This Row],[Variance]])</f>
        <v>84229</v>
      </c>
      <c r="Q975" s="5" t="str">
        <f>IF(Table4[[#This Row],[AB Variances ]]&gt;$P$2,"Anomaly","Normal")</f>
        <v>Anomaly</v>
      </c>
      <c r="R975" s="5">
        <f>SUMIFS(Table4[BudgetAmount],Table4[ActualExpense],"pending")</f>
        <v>0</v>
      </c>
    </row>
    <row r="976" spans="1:18">
      <c r="A976" t="s">
        <v>1621</v>
      </c>
      <c r="B976" t="s">
        <v>1622</v>
      </c>
      <c r="C976" t="s">
        <v>64</v>
      </c>
      <c r="D976" t="s">
        <v>34</v>
      </c>
      <c r="E976" t="s">
        <v>71</v>
      </c>
      <c r="F976" t="s">
        <v>72</v>
      </c>
      <c r="G976" s="2">
        <v>219970</v>
      </c>
      <c r="H976" s="1">
        <v>196255</v>
      </c>
      <c r="I976">
        <v>-23715</v>
      </c>
      <c r="J976" t="s">
        <v>54</v>
      </c>
      <c r="K976" t="s">
        <v>67</v>
      </c>
      <c r="L976" t="s">
        <v>30</v>
      </c>
      <c r="M976" t="s">
        <v>22</v>
      </c>
      <c r="N976" s="5">
        <f>Table4[[#This Row],[BudgetAmount]]/Table4[[#This Row],[Variance]]</f>
        <v>-9.2755639890364741</v>
      </c>
      <c r="O976" s="5" t="str">
        <f>TEXT(Table4[[#This Row],[Date]],"mmm")</f>
        <v>Aug</v>
      </c>
      <c r="P976" s="5">
        <f>ABS(Table4[[#This Row],[Variance]])</f>
        <v>23715</v>
      </c>
      <c r="Q976" s="5" t="str">
        <f>IF(Table4[[#This Row],[AB Variances ]]&gt;$P$2,"Anomaly","Normal")</f>
        <v>Anomaly</v>
      </c>
      <c r="R976" s="5">
        <f>SUMIFS(Table4[BudgetAmount],Table4[ActualExpense],"pending")</f>
        <v>0</v>
      </c>
    </row>
    <row r="977" spans="1:18">
      <c r="A977" t="s">
        <v>1623</v>
      </c>
      <c r="B977" t="s">
        <v>1380</v>
      </c>
      <c r="C977" t="s">
        <v>25</v>
      </c>
      <c r="D977" t="s">
        <v>16</v>
      </c>
      <c r="E977" t="s">
        <v>71</v>
      </c>
      <c r="F977" t="s">
        <v>72</v>
      </c>
      <c r="G977" s="2">
        <v>92857</v>
      </c>
      <c r="H977" s="1">
        <v>114384</v>
      </c>
      <c r="I977">
        <v>21527</v>
      </c>
      <c r="J977" t="s">
        <v>37</v>
      </c>
      <c r="K977" t="s">
        <v>20</v>
      </c>
      <c r="L977" t="s">
        <v>21</v>
      </c>
      <c r="M977" t="s">
        <v>22</v>
      </c>
      <c r="N977" s="5">
        <f>Table4[[#This Row],[BudgetAmount]]/Table4[[#This Row],[Variance]]</f>
        <v>4.3135132624146424</v>
      </c>
      <c r="O977" s="5" t="str">
        <f>TEXT(Table4[[#This Row],[Date]],"mmm")</f>
        <v>May</v>
      </c>
      <c r="P977" s="5">
        <f>ABS(Table4[[#This Row],[Variance]])</f>
        <v>21527</v>
      </c>
      <c r="Q977" s="5" t="str">
        <f>IF(Table4[[#This Row],[AB Variances ]]&gt;$P$2,"Anomaly","Normal")</f>
        <v>Anomaly</v>
      </c>
      <c r="R977" s="5">
        <f>SUMIFS(Table4[BudgetAmount],Table4[ActualExpense],"pending")</f>
        <v>0</v>
      </c>
    </row>
    <row r="978" spans="1:18">
      <c r="A978" t="s">
        <v>1624</v>
      </c>
      <c r="B978" t="s">
        <v>1625</v>
      </c>
      <c r="C978" t="s">
        <v>15</v>
      </c>
      <c r="D978" t="s">
        <v>40</v>
      </c>
      <c r="E978" t="s">
        <v>85</v>
      </c>
      <c r="F978" t="s">
        <v>86</v>
      </c>
      <c r="G978" s="2">
        <v>119292</v>
      </c>
      <c r="H978" s="1">
        <v>83995</v>
      </c>
      <c r="I978">
        <v>-35297</v>
      </c>
      <c r="J978" t="s">
        <v>37</v>
      </c>
      <c r="K978" t="s">
        <v>20</v>
      </c>
      <c r="L978" t="s">
        <v>68</v>
      </c>
      <c r="M978" t="s">
        <v>22</v>
      </c>
      <c r="N978" s="5">
        <f>Table4[[#This Row],[BudgetAmount]]/Table4[[#This Row],[Variance]]</f>
        <v>-3.379663994107148</v>
      </c>
      <c r="O978" s="5" t="str">
        <f>TEXT(Table4[[#This Row],[Date]],"mmm")</f>
        <v>Aug</v>
      </c>
      <c r="P978" s="5">
        <f>ABS(Table4[[#This Row],[Variance]])</f>
        <v>35297</v>
      </c>
      <c r="Q978" s="5" t="str">
        <f>IF(Table4[[#This Row],[AB Variances ]]&gt;$P$2,"Anomaly","Normal")</f>
        <v>Anomaly</v>
      </c>
      <c r="R978" s="5">
        <f>SUMIFS(Table4[BudgetAmount],Table4[ActualExpense],"pending")</f>
        <v>0</v>
      </c>
    </row>
    <row r="979" spans="1:18">
      <c r="A979" t="s">
        <v>1626</v>
      </c>
      <c r="B979" t="s">
        <v>1546</v>
      </c>
      <c r="C979" t="s">
        <v>33</v>
      </c>
      <c r="D979" t="s">
        <v>16</v>
      </c>
      <c r="E979" t="s">
        <v>46</v>
      </c>
      <c r="F979" t="s">
        <v>47</v>
      </c>
      <c r="G979" s="2">
        <v>117751</v>
      </c>
      <c r="H979" s="1">
        <v>90281</v>
      </c>
      <c r="I979">
        <v>-27470</v>
      </c>
      <c r="J979" t="s">
        <v>19</v>
      </c>
      <c r="K979" t="s">
        <v>20</v>
      </c>
      <c r="L979" t="s">
        <v>49</v>
      </c>
      <c r="M979" t="s">
        <v>22</v>
      </c>
      <c r="N979" s="5">
        <f>Table4[[#This Row],[BudgetAmount]]/Table4[[#This Row],[Variance]]</f>
        <v>-4.2865307608299963</v>
      </c>
      <c r="O979" s="5" t="str">
        <f>TEXT(Table4[[#This Row],[Date]],"mmm")</f>
        <v>Aug</v>
      </c>
      <c r="P979" s="5">
        <f>ABS(Table4[[#This Row],[Variance]])</f>
        <v>27470</v>
      </c>
      <c r="Q979" s="5" t="str">
        <f>IF(Table4[[#This Row],[AB Variances ]]&gt;$P$2,"Anomaly","Normal")</f>
        <v>Anomaly</v>
      </c>
      <c r="R979" s="5">
        <f>SUMIFS(Table4[BudgetAmount],Table4[ActualExpense],"pending")</f>
        <v>0</v>
      </c>
    </row>
    <row r="980" spans="1:18">
      <c r="A980" t="s">
        <v>1627</v>
      </c>
      <c r="B980" t="s">
        <v>261</v>
      </c>
      <c r="C980" t="s">
        <v>15</v>
      </c>
      <c r="D980" t="s">
        <v>40</v>
      </c>
      <c r="E980" t="s">
        <v>17</v>
      </c>
      <c r="F980" t="s">
        <v>18</v>
      </c>
      <c r="G980" s="2">
        <v>317386</v>
      </c>
      <c r="H980" s="1">
        <v>272614</v>
      </c>
      <c r="I980">
        <v>-44772</v>
      </c>
      <c r="J980" t="s">
        <v>37</v>
      </c>
      <c r="K980" t="s">
        <v>41</v>
      </c>
      <c r="L980" t="s">
        <v>49</v>
      </c>
      <c r="M980" t="s">
        <v>22</v>
      </c>
      <c r="N980" s="5">
        <f>Table4[[#This Row],[BudgetAmount]]/Table4[[#This Row],[Variance]]</f>
        <v>-7.088939515768784</v>
      </c>
      <c r="O980" s="5" t="str">
        <f>TEXT(Table4[[#This Row],[Date]],"mmm")</f>
        <v>Oct</v>
      </c>
      <c r="P980" s="5">
        <f>ABS(Table4[[#This Row],[Variance]])</f>
        <v>44772</v>
      </c>
      <c r="Q980" s="5" t="str">
        <f>IF(Table4[[#This Row],[AB Variances ]]&gt;$P$2,"Anomaly","Normal")</f>
        <v>Anomaly</v>
      </c>
      <c r="R980" s="5">
        <f>SUMIFS(Table4[BudgetAmount],Table4[ActualExpense],"pending")</f>
        <v>0</v>
      </c>
    </row>
    <row r="981" spans="1:18">
      <c r="A981" t="s">
        <v>1628</v>
      </c>
      <c r="B981" t="s">
        <v>803</v>
      </c>
      <c r="C981" t="s">
        <v>64</v>
      </c>
      <c r="D981" t="s">
        <v>61</v>
      </c>
      <c r="E981" t="s">
        <v>46</v>
      </c>
      <c r="F981" t="s">
        <v>47</v>
      </c>
      <c r="G981" s="2">
        <v>390183</v>
      </c>
      <c r="H981" s="1">
        <v>521674</v>
      </c>
      <c r="I981">
        <v>131491</v>
      </c>
      <c r="J981" t="s">
        <v>19</v>
      </c>
      <c r="K981" t="s">
        <v>20</v>
      </c>
      <c r="L981" t="s">
        <v>21</v>
      </c>
      <c r="M981" t="s">
        <v>22</v>
      </c>
      <c r="N981" s="5">
        <f>Table4[[#This Row],[BudgetAmount]]/Table4[[#This Row],[Variance]]</f>
        <v>2.9673741929105413</v>
      </c>
      <c r="O981" s="5" t="str">
        <f>TEXT(Table4[[#This Row],[Date]],"mmm")</f>
        <v>Jan</v>
      </c>
      <c r="P981" s="5">
        <f>ABS(Table4[[#This Row],[Variance]])</f>
        <v>131491</v>
      </c>
      <c r="Q981" s="5" t="str">
        <f>IF(Table4[[#This Row],[AB Variances ]]&gt;$P$2,"Anomaly","Normal")</f>
        <v>Anomaly</v>
      </c>
      <c r="R981" s="5">
        <f>SUMIFS(Table4[BudgetAmount],Table4[ActualExpense],"pending")</f>
        <v>0</v>
      </c>
    </row>
    <row r="982" spans="1:18">
      <c r="A982" t="s">
        <v>1629</v>
      </c>
      <c r="B982" t="s">
        <v>1148</v>
      </c>
      <c r="C982" t="s">
        <v>45</v>
      </c>
      <c r="D982" t="s">
        <v>40</v>
      </c>
      <c r="E982" t="s">
        <v>27</v>
      </c>
      <c r="F982" t="s">
        <v>28</v>
      </c>
      <c r="G982" s="2">
        <v>460916</v>
      </c>
      <c r="H982" s="1">
        <v>430623</v>
      </c>
      <c r="I982">
        <v>-30293</v>
      </c>
      <c r="J982" t="s">
        <v>37</v>
      </c>
      <c r="K982" t="s">
        <v>67</v>
      </c>
      <c r="L982" t="s">
        <v>68</v>
      </c>
      <c r="M982" t="s">
        <v>22</v>
      </c>
      <c r="N982" s="5">
        <f>Table4[[#This Row],[BudgetAmount]]/Table4[[#This Row],[Variance]]</f>
        <v>-15.215264252467566</v>
      </c>
      <c r="O982" s="5" t="str">
        <f>TEXT(Table4[[#This Row],[Date]],"mmm")</f>
        <v>May</v>
      </c>
      <c r="P982" s="5">
        <f>ABS(Table4[[#This Row],[Variance]])</f>
        <v>30293</v>
      </c>
      <c r="Q982" s="5" t="str">
        <f>IF(Table4[[#This Row],[AB Variances ]]&gt;$P$2,"Anomaly","Normal")</f>
        <v>Anomaly</v>
      </c>
      <c r="R982" s="5">
        <f>SUMIFS(Table4[BudgetAmount],Table4[ActualExpense],"pending")</f>
        <v>0</v>
      </c>
    </row>
    <row r="983" spans="1:18">
      <c r="A983" t="s">
        <v>1630</v>
      </c>
      <c r="B983" t="s">
        <v>1152</v>
      </c>
      <c r="C983" t="s">
        <v>35</v>
      </c>
      <c r="D983" t="s">
        <v>26</v>
      </c>
      <c r="E983" t="s">
        <v>17</v>
      </c>
      <c r="F983" t="s">
        <v>18</v>
      </c>
      <c r="G983" s="2">
        <v>439254</v>
      </c>
      <c r="H983" s="1">
        <v>494196</v>
      </c>
      <c r="I983">
        <v>54942</v>
      </c>
      <c r="J983" t="s">
        <v>37</v>
      </c>
      <c r="K983" t="s">
        <v>48</v>
      </c>
      <c r="L983" t="s">
        <v>49</v>
      </c>
      <c r="M983" t="s">
        <v>22</v>
      </c>
      <c r="N983" s="5">
        <f>Table4[[#This Row],[BudgetAmount]]/Table4[[#This Row],[Variance]]</f>
        <v>7.9948673146226934</v>
      </c>
      <c r="O983" s="5" t="str">
        <f>TEXT(Table4[[#This Row],[Date]],"mmm")</f>
        <v>Jan</v>
      </c>
      <c r="P983" s="5">
        <f>ABS(Table4[[#This Row],[Variance]])</f>
        <v>54942</v>
      </c>
      <c r="Q983" s="5" t="str">
        <f>IF(Table4[[#This Row],[AB Variances ]]&gt;$P$2,"Anomaly","Normal")</f>
        <v>Anomaly</v>
      </c>
      <c r="R983" s="5">
        <f>SUMIFS(Table4[BudgetAmount],Table4[ActualExpense],"pending")</f>
        <v>0</v>
      </c>
    </row>
    <row r="984" spans="1:18">
      <c r="A984" t="s">
        <v>1631</v>
      </c>
      <c r="B984" t="s">
        <v>526</v>
      </c>
      <c r="C984" t="s">
        <v>45</v>
      </c>
      <c r="D984" t="s">
        <v>16</v>
      </c>
      <c r="E984" t="s">
        <v>35</v>
      </c>
      <c r="F984" t="s">
        <v>36</v>
      </c>
      <c r="G984" s="2">
        <v>451386</v>
      </c>
      <c r="H984" s="1">
        <v>318173</v>
      </c>
      <c r="I984">
        <v>-133213</v>
      </c>
      <c r="J984" t="s">
        <v>54</v>
      </c>
      <c r="K984" t="s">
        <v>41</v>
      </c>
      <c r="L984" t="s">
        <v>49</v>
      </c>
      <c r="M984" t="s">
        <v>22</v>
      </c>
      <c r="N984" s="5">
        <f>Table4[[#This Row],[BudgetAmount]]/Table4[[#This Row],[Variance]]</f>
        <v>-3.3884530789037104</v>
      </c>
      <c r="O984" s="5" t="str">
        <f>TEXT(Table4[[#This Row],[Date]],"mmm")</f>
        <v>Jul</v>
      </c>
      <c r="P984" s="5">
        <f>ABS(Table4[[#This Row],[Variance]])</f>
        <v>133213</v>
      </c>
      <c r="Q984" s="5" t="str">
        <f>IF(Table4[[#This Row],[AB Variances ]]&gt;$P$2,"Anomaly","Normal")</f>
        <v>Anomaly</v>
      </c>
      <c r="R984" s="5">
        <f>SUMIFS(Table4[BudgetAmount],Table4[ActualExpense],"pending")</f>
        <v>0</v>
      </c>
    </row>
    <row r="985" spans="1:18">
      <c r="A985" t="s">
        <v>1632</v>
      </c>
      <c r="B985" t="s">
        <v>1089</v>
      </c>
      <c r="C985" t="s">
        <v>15</v>
      </c>
      <c r="D985" t="s">
        <v>34</v>
      </c>
      <c r="E985" t="s">
        <v>85</v>
      </c>
      <c r="F985" t="s">
        <v>86</v>
      </c>
      <c r="G985" s="2">
        <v>219173</v>
      </c>
      <c r="H985" s="1">
        <v>293572</v>
      </c>
      <c r="I985">
        <v>74399</v>
      </c>
      <c r="J985" t="s">
        <v>54</v>
      </c>
      <c r="K985" t="s">
        <v>29</v>
      </c>
      <c r="L985" t="s">
        <v>49</v>
      </c>
      <c r="M985" t="s">
        <v>42</v>
      </c>
      <c r="N985" s="5">
        <f>Table4[[#This Row],[BudgetAmount]]/Table4[[#This Row],[Variance]]</f>
        <v>2.9459132515221977</v>
      </c>
      <c r="O985" s="5" t="str">
        <f>TEXT(Table4[[#This Row],[Date]],"mmm")</f>
        <v>Apr</v>
      </c>
      <c r="P985" s="5">
        <f>ABS(Table4[[#This Row],[Variance]])</f>
        <v>74399</v>
      </c>
      <c r="Q985" s="5" t="str">
        <f>IF(Table4[[#This Row],[AB Variances ]]&gt;$P$2,"Anomaly","Normal")</f>
        <v>Anomaly</v>
      </c>
      <c r="R985" s="5">
        <f>SUMIFS(Table4[BudgetAmount],Table4[ActualExpense],"pending")</f>
        <v>0</v>
      </c>
    </row>
    <row r="986" spans="1:18">
      <c r="A986" t="s">
        <v>1633</v>
      </c>
      <c r="B986" t="s">
        <v>1634</v>
      </c>
      <c r="C986" t="s">
        <v>33</v>
      </c>
      <c r="D986" t="s">
        <v>61</v>
      </c>
      <c r="E986" t="s">
        <v>71</v>
      </c>
      <c r="F986" t="s">
        <v>72</v>
      </c>
      <c r="G986" s="2">
        <v>153447</v>
      </c>
      <c r="H986" s="1">
        <v>124113</v>
      </c>
      <c r="I986">
        <v>-29334</v>
      </c>
      <c r="J986" t="s">
        <v>37</v>
      </c>
      <c r="K986" t="s">
        <v>41</v>
      </c>
      <c r="L986" t="s">
        <v>49</v>
      </c>
      <c r="M986" t="s">
        <v>42</v>
      </c>
      <c r="N986" s="5">
        <f>Table4[[#This Row],[BudgetAmount]]/Table4[[#This Row],[Variance]]</f>
        <v>-5.2310288402536305</v>
      </c>
      <c r="O986" s="5" t="str">
        <f>TEXT(Table4[[#This Row],[Date]],"mmm")</f>
        <v>Nov</v>
      </c>
      <c r="P986" s="5">
        <f>ABS(Table4[[#This Row],[Variance]])</f>
        <v>29334</v>
      </c>
      <c r="Q986" s="5" t="str">
        <f>IF(Table4[[#This Row],[AB Variances ]]&gt;$P$2,"Anomaly","Normal")</f>
        <v>Anomaly</v>
      </c>
      <c r="R986" s="5">
        <f>SUMIFS(Table4[BudgetAmount],Table4[ActualExpense],"pending")</f>
        <v>0</v>
      </c>
    </row>
    <row r="987" spans="1:18">
      <c r="A987" t="s">
        <v>1635</v>
      </c>
      <c r="B987" t="s">
        <v>1636</v>
      </c>
      <c r="C987" t="s">
        <v>15</v>
      </c>
      <c r="D987" t="s">
        <v>16</v>
      </c>
      <c r="E987" t="s">
        <v>85</v>
      </c>
      <c r="F987" t="s">
        <v>86</v>
      </c>
      <c r="G987" s="2">
        <v>468900</v>
      </c>
      <c r="H987" s="1">
        <v>638586</v>
      </c>
      <c r="I987">
        <v>169686</v>
      </c>
      <c r="J987" t="s">
        <v>19</v>
      </c>
      <c r="K987" t="s">
        <v>41</v>
      </c>
      <c r="L987" t="s">
        <v>49</v>
      </c>
      <c r="M987" t="s">
        <v>22</v>
      </c>
      <c r="N987" s="5">
        <f>Table4[[#This Row],[BudgetAmount]]/Table4[[#This Row],[Variance]]</f>
        <v>2.763339344436194</v>
      </c>
      <c r="O987" s="5" t="str">
        <f>TEXT(Table4[[#This Row],[Date]],"mmm")</f>
        <v>Feb</v>
      </c>
      <c r="P987" s="5">
        <f>ABS(Table4[[#This Row],[Variance]])</f>
        <v>169686</v>
      </c>
      <c r="Q987" s="5" t="str">
        <f>IF(Table4[[#This Row],[AB Variances ]]&gt;$P$2,"Anomaly","Normal")</f>
        <v>Anomaly</v>
      </c>
      <c r="R987" s="5">
        <f>SUMIFS(Table4[BudgetAmount],Table4[ActualExpense],"pending")</f>
        <v>0</v>
      </c>
    </row>
    <row r="988" spans="1:18">
      <c r="A988" t="s">
        <v>1637</v>
      </c>
      <c r="B988" t="s">
        <v>879</v>
      </c>
      <c r="C988" t="s">
        <v>35</v>
      </c>
      <c r="D988" t="s">
        <v>40</v>
      </c>
      <c r="E988" t="s">
        <v>17</v>
      </c>
      <c r="F988" t="s">
        <v>18</v>
      </c>
      <c r="G988" s="2">
        <v>455872</v>
      </c>
      <c r="H988" s="1">
        <v>635430</v>
      </c>
      <c r="I988">
        <v>179558</v>
      </c>
      <c r="J988" t="s">
        <v>19</v>
      </c>
      <c r="K988" t="s">
        <v>67</v>
      </c>
      <c r="L988" t="s">
        <v>49</v>
      </c>
      <c r="M988" t="s">
        <v>22</v>
      </c>
      <c r="N988" s="5">
        <f>Table4[[#This Row],[BudgetAmount]]/Table4[[#This Row],[Variance]]</f>
        <v>2.5388565254680939</v>
      </c>
      <c r="O988" s="5" t="str">
        <f>TEXT(Table4[[#This Row],[Date]],"mmm")</f>
        <v>May</v>
      </c>
      <c r="P988" s="5">
        <f>ABS(Table4[[#This Row],[Variance]])</f>
        <v>179558</v>
      </c>
      <c r="Q988" s="5" t="str">
        <f>IF(Table4[[#This Row],[AB Variances ]]&gt;$P$2,"Anomaly","Normal")</f>
        <v>Anomaly</v>
      </c>
      <c r="R988" s="5">
        <f>SUMIFS(Table4[BudgetAmount],Table4[ActualExpense],"pending")</f>
        <v>0</v>
      </c>
    </row>
    <row r="989" spans="1:18">
      <c r="A989" t="s">
        <v>1638</v>
      </c>
      <c r="B989" t="s">
        <v>310</v>
      </c>
      <c r="C989" t="s">
        <v>45</v>
      </c>
      <c r="D989" t="s">
        <v>26</v>
      </c>
      <c r="E989" t="s">
        <v>17</v>
      </c>
      <c r="F989" t="s">
        <v>18</v>
      </c>
      <c r="G989" s="2">
        <v>488298</v>
      </c>
      <c r="H989" s="1">
        <v>643859</v>
      </c>
      <c r="I989">
        <v>155561</v>
      </c>
      <c r="J989" t="s">
        <v>37</v>
      </c>
      <c r="K989" t="s">
        <v>29</v>
      </c>
      <c r="L989" t="s">
        <v>49</v>
      </c>
      <c r="M989" t="s">
        <v>42</v>
      </c>
      <c r="N989" s="5">
        <f>Table4[[#This Row],[BudgetAmount]]/Table4[[#This Row],[Variance]]</f>
        <v>3.1389487082237837</v>
      </c>
      <c r="O989" s="5" t="str">
        <f>TEXT(Table4[[#This Row],[Date]],"mmm")</f>
        <v>Mar</v>
      </c>
      <c r="P989" s="5">
        <f>ABS(Table4[[#This Row],[Variance]])</f>
        <v>155561</v>
      </c>
      <c r="Q989" s="5" t="str">
        <f>IF(Table4[[#This Row],[AB Variances ]]&gt;$P$2,"Anomaly","Normal")</f>
        <v>Anomaly</v>
      </c>
      <c r="R989" s="5">
        <f>SUMIFS(Table4[BudgetAmount],Table4[ActualExpense],"pending")</f>
        <v>0</v>
      </c>
    </row>
    <row r="990" spans="1:18">
      <c r="A990" t="s">
        <v>1639</v>
      </c>
      <c r="B990" t="s">
        <v>1244</v>
      </c>
      <c r="C990" t="s">
        <v>15</v>
      </c>
      <c r="D990" t="s">
        <v>16</v>
      </c>
      <c r="E990" t="s">
        <v>85</v>
      </c>
      <c r="F990" t="s">
        <v>86</v>
      </c>
      <c r="G990" s="2">
        <v>360849</v>
      </c>
      <c r="H990" s="1">
        <v>322031</v>
      </c>
      <c r="I990">
        <v>-38818</v>
      </c>
      <c r="J990" t="s">
        <v>19</v>
      </c>
      <c r="K990" t="s">
        <v>41</v>
      </c>
      <c r="L990" t="s">
        <v>30</v>
      </c>
      <c r="M990" t="s">
        <v>22</v>
      </c>
      <c r="N990" s="5">
        <f>Table4[[#This Row],[BudgetAmount]]/Table4[[#This Row],[Variance]]</f>
        <v>-9.2959194188263172</v>
      </c>
      <c r="O990" s="5" t="str">
        <f>TEXT(Table4[[#This Row],[Date]],"mmm")</f>
        <v>May</v>
      </c>
      <c r="P990" s="5">
        <f>ABS(Table4[[#This Row],[Variance]])</f>
        <v>38818</v>
      </c>
      <c r="Q990" s="5" t="str">
        <f>IF(Table4[[#This Row],[AB Variances ]]&gt;$P$2,"Anomaly","Normal")</f>
        <v>Anomaly</v>
      </c>
      <c r="R990" s="5">
        <f>SUMIFS(Table4[BudgetAmount],Table4[ActualExpense],"pending")</f>
        <v>0</v>
      </c>
    </row>
    <row r="991" spans="1:18">
      <c r="A991" t="s">
        <v>1640</v>
      </c>
      <c r="B991" t="s">
        <v>906</v>
      </c>
      <c r="C991" t="s">
        <v>64</v>
      </c>
      <c r="D991" t="s">
        <v>61</v>
      </c>
      <c r="E991" t="s">
        <v>85</v>
      </c>
      <c r="F991" t="s">
        <v>86</v>
      </c>
      <c r="G991" s="2">
        <v>301535</v>
      </c>
      <c r="H991" s="1">
        <v>409038</v>
      </c>
      <c r="I991">
        <v>107503</v>
      </c>
      <c r="J991" t="s">
        <v>19</v>
      </c>
      <c r="K991" t="s">
        <v>67</v>
      </c>
      <c r="L991" t="s">
        <v>30</v>
      </c>
      <c r="M991" t="s">
        <v>42</v>
      </c>
      <c r="N991" s="5">
        <f>Table4[[#This Row],[BudgetAmount]]/Table4[[#This Row],[Variance]]</f>
        <v>2.8048984679497315</v>
      </c>
      <c r="O991" s="5" t="str">
        <f>TEXT(Table4[[#This Row],[Date]],"mmm")</f>
        <v>Aug</v>
      </c>
      <c r="P991" s="5">
        <f>ABS(Table4[[#This Row],[Variance]])</f>
        <v>107503</v>
      </c>
      <c r="Q991" s="5" t="str">
        <f>IF(Table4[[#This Row],[AB Variances ]]&gt;$P$2,"Anomaly","Normal")</f>
        <v>Anomaly</v>
      </c>
      <c r="R991" s="5">
        <f>SUMIFS(Table4[BudgetAmount],Table4[ActualExpense],"pending")</f>
        <v>0</v>
      </c>
    </row>
    <row r="992" spans="1:18">
      <c r="A992" t="s">
        <v>1641</v>
      </c>
      <c r="B992" t="s">
        <v>1642</v>
      </c>
      <c r="C992" t="s">
        <v>15</v>
      </c>
      <c r="D992" t="s">
        <v>26</v>
      </c>
      <c r="E992" t="s">
        <v>46</v>
      </c>
      <c r="F992" t="s">
        <v>47</v>
      </c>
      <c r="G992" s="2">
        <v>194220</v>
      </c>
      <c r="H992" s="1">
        <v>245240</v>
      </c>
      <c r="I992">
        <v>51020</v>
      </c>
      <c r="J992" t="s">
        <v>54</v>
      </c>
      <c r="K992" t="s">
        <v>29</v>
      </c>
      <c r="L992" t="s">
        <v>30</v>
      </c>
      <c r="M992" t="s">
        <v>22</v>
      </c>
      <c r="N992" s="5">
        <f>Table4[[#This Row],[BudgetAmount]]/Table4[[#This Row],[Variance]]</f>
        <v>3.8067424539396315</v>
      </c>
      <c r="O992" s="5" t="str">
        <f>TEXT(Table4[[#This Row],[Date]],"mmm")</f>
        <v>Aug</v>
      </c>
      <c r="P992" s="5">
        <f>ABS(Table4[[#This Row],[Variance]])</f>
        <v>51020</v>
      </c>
      <c r="Q992" s="5" t="str">
        <f>IF(Table4[[#This Row],[AB Variances ]]&gt;$P$2,"Anomaly","Normal")</f>
        <v>Anomaly</v>
      </c>
      <c r="R992" s="5">
        <f>SUMIFS(Table4[BudgetAmount],Table4[ActualExpense],"pending")</f>
        <v>0</v>
      </c>
    </row>
    <row r="993" spans="1:18">
      <c r="A993" t="s">
        <v>1643</v>
      </c>
      <c r="B993" t="s">
        <v>544</v>
      </c>
      <c r="C993" t="s">
        <v>25</v>
      </c>
      <c r="D993" t="s">
        <v>61</v>
      </c>
      <c r="E993" t="s">
        <v>46</v>
      </c>
      <c r="F993" t="s">
        <v>47</v>
      </c>
      <c r="G993" s="2">
        <v>399257</v>
      </c>
      <c r="H993" s="1">
        <v>544880</v>
      </c>
      <c r="I993">
        <v>145623</v>
      </c>
      <c r="J993" t="s">
        <v>37</v>
      </c>
      <c r="K993" t="s">
        <v>41</v>
      </c>
      <c r="L993" t="s">
        <v>30</v>
      </c>
      <c r="M993" t="s">
        <v>22</v>
      </c>
      <c r="N993" s="5">
        <f>Table4[[#This Row],[BudgetAmount]]/Table4[[#This Row],[Variance]]</f>
        <v>2.7417166244343272</v>
      </c>
      <c r="O993" s="5" t="str">
        <f>TEXT(Table4[[#This Row],[Date]],"mmm")</f>
        <v>Sep</v>
      </c>
      <c r="P993" s="5">
        <f>ABS(Table4[[#This Row],[Variance]])</f>
        <v>145623</v>
      </c>
      <c r="Q993" s="5" t="str">
        <f>IF(Table4[[#This Row],[AB Variances ]]&gt;$P$2,"Anomaly","Normal")</f>
        <v>Anomaly</v>
      </c>
      <c r="R993" s="5">
        <f>SUMIFS(Table4[BudgetAmount],Table4[ActualExpense],"pending")</f>
        <v>0</v>
      </c>
    </row>
    <row r="994" spans="1:18">
      <c r="A994" t="s">
        <v>1644</v>
      </c>
      <c r="B994" t="s">
        <v>451</v>
      </c>
      <c r="C994" t="s">
        <v>64</v>
      </c>
      <c r="D994" t="s">
        <v>16</v>
      </c>
      <c r="E994" t="s">
        <v>85</v>
      </c>
      <c r="F994" t="s">
        <v>86</v>
      </c>
      <c r="G994" s="2">
        <v>121457</v>
      </c>
      <c r="H994" s="1">
        <v>163582</v>
      </c>
      <c r="I994">
        <v>42125</v>
      </c>
      <c r="J994" t="s">
        <v>19</v>
      </c>
      <c r="K994" t="s">
        <v>20</v>
      </c>
      <c r="L994" t="s">
        <v>68</v>
      </c>
      <c r="M994" t="s">
        <v>42</v>
      </c>
      <c r="N994" s="5">
        <f>Table4[[#This Row],[BudgetAmount]]/Table4[[#This Row],[Variance]]</f>
        <v>2.8832522255192878</v>
      </c>
      <c r="O994" s="5" t="str">
        <f>TEXT(Table4[[#This Row],[Date]],"mmm")</f>
        <v>Feb</v>
      </c>
      <c r="P994" s="5">
        <f>ABS(Table4[[#This Row],[Variance]])</f>
        <v>42125</v>
      </c>
      <c r="Q994" s="5" t="str">
        <f>IF(Table4[[#This Row],[AB Variances ]]&gt;$P$2,"Anomaly","Normal")</f>
        <v>Anomaly</v>
      </c>
      <c r="R994" s="5">
        <f>SUMIFS(Table4[BudgetAmount],Table4[ActualExpense],"pending")</f>
        <v>0</v>
      </c>
    </row>
    <row r="995" spans="1:18">
      <c r="A995" t="s">
        <v>1645</v>
      </c>
      <c r="B995" t="s">
        <v>1646</v>
      </c>
      <c r="C995" t="s">
        <v>64</v>
      </c>
      <c r="D995" t="s">
        <v>34</v>
      </c>
      <c r="E995" t="s">
        <v>46</v>
      </c>
      <c r="F995" t="s">
        <v>47</v>
      </c>
      <c r="G995" s="2">
        <v>81310</v>
      </c>
      <c r="H995" s="1">
        <v>63441</v>
      </c>
      <c r="I995">
        <v>-17869</v>
      </c>
      <c r="J995" t="s">
        <v>54</v>
      </c>
      <c r="K995" t="s">
        <v>67</v>
      </c>
      <c r="L995" t="s">
        <v>49</v>
      </c>
      <c r="M995" t="s">
        <v>22</v>
      </c>
      <c r="N995" s="5">
        <f>Table4[[#This Row],[BudgetAmount]]/Table4[[#This Row],[Variance]]</f>
        <v>-4.5503385751860765</v>
      </c>
      <c r="O995" s="5" t="str">
        <f>TEXT(Table4[[#This Row],[Date]],"mmm")</f>
        <v>Apr</v>
      </c>
      <c r="P995" s="5">
        <f>ABS(Table4[[#This Row],[Variance]])</f>
        <v>17869</v>
      </c>
      <c r="Q995" s="5" t="str">
        <f>IF(Table4[[#This Row],[AB Variances ]]&gt;$P$2,"Anomaly","Normal")</f>
        <v>Anomaly</v>
      </c>
      <c r="R995" s="5">
        <f>SUMIFS(Table4[BudgetAmount],Table4[ActualExpense],"pending")</f>
        <v>0</v>
      </c>
    </row>
    <row r="996" spans="1:18">
      <c r="A996" t="s">
        <v>1647</v>
      </c>
      <c r="B996" t="s">
        <v>373</v>
      </c>
      <c r="C996" t="s">
        <v>45</v>
      </c>
      <c r="D996" t="s">
        <v>40</v>
      </c>
      <c r="E996" t="s">
        <v>46</v>
      </c>
      <c r="F996" t="s">
        <v>47</v>
      </c>
      <c r="G996" s="2">
        <v>461923</v>
      </c>
      <c r="H996" s="1">
        <v>620763</v>
      </c>
      <c r="I996">
        <v>158840</v>
      </c>
      <c r="J996" t="s">
        <v>19</v>
      </c>
      <c r="K996" t="s">
        <v>29</v>
      </c>
      <c r="L996" t="s">
        <v>30</v>
      </c>
      <c r="M996" t="s">
        <v>22</v>
      </c>
      <c r="N996" s="5">
        <f>Table4[[#This Row],[BudgetAmount]]/Table4[[#This Row],[Variance]]</f>
        <v>2.9081024930747921</v>
      </c>
      <c r="O996" s="5" t="str">
        <f>TEXT(Table4[[#This Row],[Date]],"mmm")</f>
        <v>Nov</v>
      </c>
      <c r="P996" s="5">
        <f>ABS(Table4[[#This Row],[Variance]])</f>
        <v>158840</v>
      </c>
      <c r="Q996" s="5" t="str">
        <f>IF(Table4[[#This Row],[AB Variances ]]&gt;$P$2,"Anomaly","Normal")</f>
        <v>Anomaly</v>
      </c>
      <c r="R996" s="5">
        <f>SUMIFS(Table4[BudgetAmount],Table4[ActualExpense],"pending")</f>
        <v>0</v>
      </c>
    </row>
    <row r="997" spans="1:18">
      <c r="A997" t="s">
        <v>1648</v>
      </c>
      <c r="B997" t="s">
        <v>1329</v>
      </c>
      <c r="C997" t="s">
        <v>33</v>
      </c>
      <c r="D997" t="s">
        <v>26</v>
      </c>
      <c r="E997" t="s">
        <v>71</v>
      </c>
      <c r="F997" t="s">
        <v>72</v>
      </c>
      <c r="G997" s="2">
        <v>57036</v>
      </c>
      <c r="H997" s="1">
        <v>52575</v>
      </c>
      <c r="I997">
        <v>-4461</v>
      </c>
      <c r="J997" t="s">
        <v>54</v>
      </c>
      <c r="K997" t="s">
        <v>67</v>
      </c>
      <c r="L997" t="s">
        <v>21</v>
      </c>
      <c r="M997" t="s">
        <v>22</v>
      </c>
      <c r="N997" s="5">
        <f>Table4[[#This Row],[BudgetAmount]]/Table4[[#This Row],[Variance]]</f>
        <v>-12.785474108944182</v>
      </c>
      <c r="O997" s="5" t="str">
        <f>TEXT(Table4[[#This Row],[Date]],"mmm")</f>
        <v>Jan</v>
      </c>
      <c r="P997" s="5">
        <f>ABS(Table4[[#This Row],[Variance]])</f>
        <v>4461</v>
      </c>
      <c r="Q997" s="5" t="str">
        <f>IF(Table4[[#This Row],[AB Variances ]]&gt;$P$2,"Anomaly","Normal")</f>
        <v>Normal</v>
      </c>
      <c r="R997" s="5">
        <f>SUMIFS(Table4[BudgetAmount],Table4[ActualExpense],"pending")</f>
        <v>0</v>
      </c>
    </row>
    <row r="998" spans="1:18">
      <c r="A998" t="s">
        <v>1649</v>
      </c>
      <c r="B998" t="s">
        <v>1227</v>
      </c>
      <c r="C998" t="s">
        <v>45</v>
      </c>
      <c r="D998" t="s">
        <v>40</v>
      </c>
      <c r="E998" t="s">
        <v>71</v>
      </c>
      <c r="F998" t="s">
        <v>72</v>
      </c>
      <c r="G998" s="2">
        <v>253727</v>
      </c>
      <c r="H998" s="1">
        <v>354629</v>
      </c>
      <c r="I998">
        <v>100902</v>
      </c>
      <c r="J998" t="s">
        <v>37</v>
      </c>
      <c r="K998" t="s">
        <v>67</v>
      </c>
      <c r="L998" t="s">
        <v>68</v>
      </c>
      <c r="M998" t="s">
        <v>42</v>
      </c>
      <c r="N998" s="5">
        <f>Table4[[#This Row],[BudgetAmount]]/Table4[[#This Row],[Variance]]</f>
        <v>2.5145884125190778</v>
      </c>
      <c r="O998" s="5" t="str">
        <f>TEXT(Table4[[#This Row],[Date]],"mmm")</f>
        <v>Nov</v>
      </c>
      <c r="P998" s="5">
        <f>ABS(Table4[[#This Row],[Variance]])</f>
        <v>100902</v>
      </c>
      <c r="Q998" s="5" t="str">
        <f>IF(Table4[[#This Row],[AB Variances ]]&gt;$P$2,"Anomaly","Normal")</f>
        <v>Anomaly</v>
      </c>
      <c r="R998" s="5">
        <f>SUMIFS(Table4[BudgetAmount],Table4[ActualExpense],"pending")</f>
        <v>0</v>
      </c>
    </row>
    <row r="999" spans="1:18">
      <c r="A999" t="s">
        <v>1650</v>
      </c>
      <c r="B999" t="s">
        <v>1261</v>
      </c>
      <c r="C999" t="s">
        <v>25</v>
      </c>
      <c r="D999" t="s">
        <v>26</v>
      </c>
      <c r="E999" t="s">
        <v>35</v>
      </c>
      <c r="F999" t="s">
        <v>36</v>
      </c>
      <c r="G999" s="2">
        <v>376566</v>
      </c>
      <c r="H999" s="1">
        <v>274960</v>
      </c>
      <c r="I999">
        <v>-101606</v>
      </c>
      <c r="J999" t="s">
        <v>54</v>
      </c>
      <c r="K999" t="s">
        <v>20</v>
      </c>
      <c r="L999" t="s">
        <v>68</v>
      </c>
      <c r="M999" t="s">
        <v>42</v>
      </c>
      <c r="N999" s="5">
        <f>Table4[[#This Row],[BudgetAmount]]/Table4[[#This Row],[Variance]]</f>
        <v>-3.7061394012164635</v>
      </c>
      <c r="O999" s="5" t="str">
        <f>TEXT(Table4[[#This Row],[Date]],"mmm")</f>
        <v>Jan</v>
      </c>
      <c r="P999" s="5">
        <f>ABS(Table4[[#This Row],[Variance]])</f>
        <v>101606</v>
      </c>
      <c r="Q999" s="5" t="str">
        <f>IF(Table4[[#This Row],[AB Variances ]]&gt;$P$2,"Anomaly","Normal")</f>
        <v>Anomaly</v>
      </c>
      <c r="R999" s="5">
        <f>SUMIFS(Table4[BudgetAmount],Table4[ActualExpense],"pending")</f>
        <v>0</v>
      </c>
    </row>
    <row r="1000" spans="1:18">
      <c r="A1000" t="s">
        <v>1651</v>
      </c>
      <c r="B1000" t="s">
        <v>1211</v>
      </c>
      <c r="C1000" t="s">
        <v>35</v>
      </c>
      <c r="D1000" t="s">
        <v>26</v>
      </c>
      <c r="E1000" t="s">
        <v>17</v>
      </c>
      <c r="F1000" t="s">
        <v>18</v>
      </c>
      <c r="G1000" s="2">
        <v>149003</v>
      </c>
      <c r="H1000" s="1">
        <v>184501</v>
      </c>
      <c r="I1000">
        <v>35498</v>
      </c>
      <c r="J1000" t="s">
        <v>19</v>
      </c>
      <c r="K1000" t="s">
        <v>20</v>
      </c>
      <c r="L1000" t="s">
        <v>49</v>
      </c>
      <c r="M1000" t="s">
        <v>42</v>
      </c>
      <c r="N1000" s="5">
        <f>Table4[[#This Row],[BudgetAmount]]/Table4[[#This Row],[Variance]]</f>
        <v>4.1975040847371679</v>
      </c>
      <c r="O1000" s="5" t="str">
        <f>TEXT(Table4[[#This Row],[Date]],"mmm")</f>
        <v>Apr</v>
      </c>
      <c r="P1000" s="5">
        <f>ABS(Table4[[#This Row],[Variance]])</f>
        <v>35498</v>
      </c>
      <c r="Q1000" s="5" t="str">
        <f>IF(Table4[[#This Row],[AB Variances ]]&gt;$P$2,"Anomaly","Normal")</f>
        <v>Anomaly</v>
      </c>
      <c r="R1000" s="5">
        <f>SUMIFS(Table4[BudgetAmount],Table4[ActualExpense],"pending")</f>
        <v>0</v>
      </c>
    </row>
    <row r="1001" spans="1:18">
      <c r="A1001" t="s">
        <v>1652</v>
      </c>
      <c r="B1001" t="s">
        <v>995</v>
      </c>
      <c r="C1001" t="s">
        <v>45</v>
      </c>
      <c r="D1001" t="s">
        <v>16</v>
      </c>
      <c r="E1001" t="s">
        <v>71</v>
      </c>
      <c r="F1001" t="s">
        <v>72</v>
      </c>
      <c r="G1001" s="2">
        <v>318918</v>
      </c>
      <c r="H1001" s="1">
        <v>256034</v>
      </c>
      <c r="I1001">
        <v>-62884</v>
      </c>
      <c r="J1001" t="s">
        <v>54</v>
      </c>
      <c r="K1001" t="s">
        <v>67</v>
      </c>
      <c r="L1001" t="s">
        <v>21</v>
      </c>
      <c r="M1001" t="s">
        <v>42</v>
      </c>
      <c r="N1001" s="5">
        <f>Table4[[#This Row],[BudgetAmount]]/Table4[[#This Row],[Variance]]</f>
        <v>-5.0715285287195471</v>
      </c>
      <c r="O1001" s="5" t="str">
        <f>TEXT(Table4[[#This Row],[Date]],"mmm")</f>
        <v>Feb</v>
      </c>
      <c r="P1001" s="5">
        <f>ABS(Table4[[#This Row],[Variance]])</f>
        <v>62884</v>
      </c>
      <c r="Q1001" s="5" t="str">
        <f>IF(Table4[[#This Row],[AB Variances ]]&gt;$P$2,"Anomaly","Normal")</f>
        <v>Anomaly</v>
      </c>
      <c r="R1001" s="5">
        <f>SUMIFS(Table4[BudgetAmount],Table4[ActualExpense],"pending")</f>
        <v>0</v>
      </c>
    </row>
    <row r="1002" spans="1:18">
      <c r="G1002" s="2">
        <f>SUM(G2:G1001)</f>
        <v>276168932</v>
      </c>
      <c r="H1002" s="1">
        <f>SUM(H2:H1001)</f>
        <v>289812071</v>
      </c>
      <c r="I1002">
        <f>SUM(I2:I1001)</f>
        <v>13643139</v>
      </c>
      <c r="N1002" s="5"/>
      <c r="O1002" s="5"/>
      <c r="P1002" s="5"/>
      <c r="Q1002" s="5"/>
      <c r="R1002"/>
    </row>
    <row r="1048576" spans="9:9">
      <c r="I1048576">
        <f>SUM(I2:I1048575)</f>
        <v>27286278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2026-04-23T13:05:52Z</dcterms:created>
  <dcterms:modified xsi:type="dcterms:W3CDTF">2026-05-07T13:21:14Z</dcterms:modified>
  <cp:category/>
  <cp:contentStatus/>
</cp:coreProperties>
</file>